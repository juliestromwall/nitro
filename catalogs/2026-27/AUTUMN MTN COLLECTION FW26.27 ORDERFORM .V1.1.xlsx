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Richards/Desktop/26.27 DOCS/"/>
    </mc:Choice>
  </mc:AlternateContent>
  <xr:revisionPtr revIDLastSave="0" documentId="13_ncr:1_{E5349246-DB11-3A43-B4AC-D57493F33C8D}" xr6:coauthVersionLast="47" xr6:coauthVersionMax="47" xr10:uidLastSave="{00000000-0000-0000-0000-000000000000}"/>
  <bookViews>
    <workbookView xWindow="31600" yWindow="760" windowWidth="29220" windowHeight="17540" xr2:uid="{B9C78ABF-E102-8E41-8C54-3724086686C2}"/>
  </bookViews>
  <sheets>
    <sheet name="Order Form" sheetId="1" r:id="rId1"/>
    <sheet name="Policy" sheetId="2" r:id="rId2"/>
  </sheets>
  <definedNames>
    <definedName name="_xlnm.Print_Area" localSheetId="0">'Order Form'!#REF!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3" i="1" l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392" i="1"/>
  <c r="J390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61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34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282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25" i="1"/>
  <c r="J222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31" i="1"/>
  <c r="E24" i="1"/>
  <c r="G345" i="1"/>
  <c r="G344" i="1"/>
  <c r="G343" i="1"/>
  <c r="G342" i="1"/>
  <c r="G341" i="1"/>
  <c r="G340" i="1"/>
  <c r="G244" i="1"/>
  <c r="G243" i="1"/>
  <c r="G242" i="1"/>
  <c r="G241" i="1"/>
  <c r="G240" i="1"/>
  <c r="G239" i="1"/>
  <c r="G238" i="1"/>
  <c r="G237" i="1"/>
  <c r="G236" i="1"/>
  <c r="G235" i="1"/>
  <c r="G254" i="1"/>
  <c r="G253" i="1"/>
  <c r="G252" i="1"/>
  <c r="G251" i="1"/>
  <c r="G250" i="1"/>
  <c r="G249" i="1"/>
  <c r="G248" i="1"/>
  <c r="G247" i="1"/>
  <c r="G246" i="1"/>
  <c r="G245" i="1"/>
  <c r="G234" i="1"/>
  <c r="G233" i="1"/>
  <c r="G232" i="1"/>
  <c r="G231" i="1"/>
  <c r="G230" i="1"/>
  <c r="G229" i="1"/>
  <c r="G228" i="1"/>
  <c r="G227" i="1"/>
  <c r="G226" i="1"/>
  <c r="G22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20" i="1"/>
  <c r="G119" i="1"/>
  <c r="G118" i="1"/>
  <c r="G117" i="1"/>
  <c r="G116" i="1"/>
  <c r="G115" i="1"/>
  <c r="G84" i="1"/>
  <c r="G83" i="1"/>
  <c r="G82" i="1"/>
  <c r="G81" i="1"/>
  <c r="G80" i="1"/>
  <c r="G79" i="1"/>
  <c r="G96" i="1"/>
  <c r="G95" i="1"/>
  <c r="G94" i="1"/>
  <c r="G93" i="1"/>
  <c r="G92" i="1"/>
  <c r="G91" i="1"/>
  <c r="G90" i="1"/>
  <c r="G89" i="1"/>
  <c r="G88" i="1"/>
  <c r="G87" i="1"/>
  <c r="G86" i="1"/>
  <c r="G85" i="1"/>
  <c r="G72" i="1"/>
  <c r="G71" i="1"/>
  <c r="G70" i="1"/>
  <c r="G69" i="1"/>
  <c r="G68" i="1"/>
  <c r="G67" i="1"/>
  <c r="G78" i="1"/>
  <c r="G77" i="1"/>
  <c r="G76" i="1"/>
  <c r="G75" i="1"/>
  <c r="G74" i="1"/>
  <c r="G73" i="1"/>
  <c r="G36" i="1"/>
  <c r="G35" i="1"/>
  <c r="G34" i="1"/>
  <c r="G33" i="1"/>
  <c r="G32" i="1"/>
  <c r="G31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97" i="1"/>
  <c r="G98" i="1"/>
  <c r="G99" i="1"/>
  <c r="G100" i="1"/>
  <c r="G101" i="1"/>
  <c r="G102" i="1"/>
  <c r="G372" i="1"/>
  <c r="G366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1" i="1"/>
  <c r="G370" i="1"/>
  <c r="G369" i="1"/>
  <c r="G368" i="1"/>
  <c r="G367" i="1"/>
  <c r="G365" i="1"/>
  <c r="G364" i="1"/>
  <c r="G363" i="1"/>
  <c r="G362" i="1"/>
  <c r="G361" i="1"/>
  <c r="G24" i="1" l="1"/>
  <c r="I412" i="1"/>
  <c r="G357" i="1"/>
  <c r="G356" i="1"/>
  <c r="G355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8" i="1"/>
  <c r="G39" i="1"/>
  <c r="G40" i="1"/>
  <c r="G41" i="1"/>
  <c r="G42" i="1"/>
  <c r="G43" i="1"/>
  <c r="G44" i="1"/>
  <c r="G45" i="1"/>
  <c r="G46" i="1"/>
  <c r="G47" i="1"/>
  <c r="G48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37" i="1"/>
  <c r="G351" i="1"/>
  <c r="G350" i="1"/>
  <c r="G349" i="1"/>
  <c r="G348" i="1"/>
  <c r="G347" i="1"/>
  <c r="G346" i="1"/>
  <c r="G339" i="1"/>
  <c r="G338" i="1"/>
  <c r="G337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J412" i="1" l="1"/>
</calcChain>
</file>

<file path=xl/sharedStrings.xml><?xml version="1.0" encoding="utf-8"?>
<sst xmlns="http://schemas.openxmlformats.org/spreadsheetml/2006/main" count="1696" uniqueCount="605">
  <si>
    <t>FOUNDRY DISTRIBUTION</t>
  </si>
  <si>
    <t>801-994-6484</t>
  </si>
  <si>
    <t>Store Name</t>
  </si>
  <si>
    <t>Address</t>
  </si>
  <si>
    <t>City</t>
  </si>
  <si>
    <t>State</t>
  </si>
  <si>
    <t>Zip</t>
  </si>
  <si>
    <t>Tel #</t>
  </si>
  <si>
    <t>Email</t>
  </si>
  <si>
    <t>Total QTY</t>
  </si>
  <si>
    <t>Customer PO #</t>
  </si>
  <si>
    <t>Delivery Start</t>
  </si>
  <si>
    <t>STYLE NUMBER</t>
  </si>
  <si>
    <t>STYLE NAME</t>
  </si>
  <si>
    <t>COLOR</t>
  </si>
  <si>
    <t>XXL</t>
  </si>
  <si>
    <t>TOTAL $</t>
  </si>
  <si>
    <t>BLACK</t>
  </si>
  <si>
    <t>NAVY</t>
  </si>
  <si>
    <t>GREY</t>
  </si>
  <si>
    <t>WHITE</t>
  </si>
  <si>
    <t>NATURAL</t>
  </si>
  <si>
    <t>BROWN</t>
  </si>
  <si>
    <t>ARMY</t>
  </si>
  <si>
    <t>SAND</t>
  </si>
  <si>
    <t>AUTUMN HEADWEAR</t>
  </si>
  <si>
    <t>Notes:</t>
  </si>
  <si>
    <t xml:space="preserve">QUANTITY </t>
  </si>
  <si>
    <t>SIZE</t>
  </si>
  <si>
    <t>SMALL</t>
  </si>
  <si>
    <t>MEDIUM</t>
  </si>
  <si>
    <t>LARGE</t>
  </si>
  <si>
    <t>X-LARGE</t>
  </si>
  <si>
    <t>3602 VIA TERRA ST.</t>
  </si>
  <si>
    <t>SKU</t>
  </si>
  <si>
    <t>QUANTITY</t>
  </si>
  <si>
    <t>Order Total:</t>
  </si>
  <si>
    <t>Order Deadline</t>
  </si>
  <si>
    <t>Ship To:</t>
  </si>
  <si>
    <t>Bill To: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</si>
  <si>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</si>
  <si>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</si>
  <si>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</si>
  <si>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</si>
  <si>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</si>
  <si>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</si>
  <si>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</si>
  <si>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</si>
  <si>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</si>
  <si>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</si>
  <si>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</si>
  <si>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</si>
  <si>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</si>
  <si>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</si>
  <si>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</si>
  <si>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</si>
  <si>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</si>
  <si>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</si>
  <si>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</si>
  <si>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</si>
  <si>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</si>
  <si>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</si>
  <si>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</si>
  <si>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</si>
  <si>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</si>
  <si>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</si>
  <si>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</si>
  <si>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</si>
  <si>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</si>
  <si>
    <t>Requested Ship Date</t>
  </si>
  <si>
    <t>SALT LAKE CITY, UT  84115</t>
  </si>
  <si>
    <t>ORDER TOTAL</t>
  </si>
  <si>
    <t>VOLUME DISCOUNT</t>
  </si>
  <si>
    <t xml:space="preserve">*Orders received after booking deadline will not be eligible for discounts. </t>
  </si>
  <si>
    <t>APPAREL DISCOUNT</t>
  </si>
  <si>
    <t>UPC</t>
  </si>
  <si>
    <t>RETAIL</t>
  </si>
  <si>
    <t>FIELD JACKET</t>
  </si>
  <si>
    <t>SERVICE PANT</t>
  </si>
  <si>
    <t>WHSL</t>
  </si>
  <si>
    <r>
      <t xml:space="preserve">*All orders are subject to availability. </t>
    </r>
    <r>
      <rPr>
        <b/>
        <sz val="12"/>
        <color rgb="FF000000"/>
        <rFont val="PT Sans"/>
        <family val="2"/>
        <charset val="204"/>
      </rPr>
      <t>Discount is only applied to apparel only.</t>
    </r>
  </si>
  <si>
    <t xml:space="preserve">  MTN COLLECTION ORDERFORM</t>
  </si>
  <si>
    <t>CREST 3L JACKET</t>
  </si>
  <si>
    <t>RESERVE 3L PANT</t>
  </si>
  <si>
    <t>SLATE</t>
  </si>
  <si>
    <t>YARD JACKET</t>
  </si>
  <si>
    <t>PERFORMANCE SNOW SOCKS</t>
  </si>
  <si>
    <t>Total Value ($)</t>
  </si>
  <si>
    <t>$5K+</t>
  </si>
  <si>
    <t>$7.5K+</t>
  </si>
  <si>
    <t>$10K+</t>
  </si>
  <si>
    <t>15K+</t>
  </si>
  <si>
    <t>FALL/WINTER 26/27</t>
  </si>
  <si>
    <t>810183366011</t>
  </si>
  <si>
    <t>A27090-01</t>
  </si>
  <si>
    <t>COSMOS</t>
  </si>
  <si>
    <t>810183366028</t>
  </si>
  <si>
    <t>810183366035</t>
  </si>
  <si>
    <t>810183366042</t>
  </si>
  <si>
    <t>810183366059</t>
  </si>
  <si>
    <t>810183366066</t>
  </si>
  <si>
    <t>810183366073</t>
  </si>
  <si>
    <t>A27090-02</t>
  </si>
  <si>
    <t>CHICORY</t>
  </si>
  <si>
    <t>810183366080</t>
  </si>
  <si>
    <t>810183366097</t>
  </si>
  <si>
    <t>810183366103</t>
  </si>
  <si>
    <t>810183366110</t>
  </si>
  <si>
    <t>810183366127</t>
  </si>
  <si>
    <t>810183366134</t>
  </si>
  <si>
    <t>A27090-03</t>
  </si>
  <si>
    <t>PLUM</t>
  </si>
  <si>
    <t>810183366141</t>
  </si>
  <si>
    <t>810183366158</t>
  </si>
  <si>
    <t>810183366165</t>
  </si>
  <si>
    <t>810183366172</t>
  </si>
  <si>
    <t>810183366189</t>
  </si>
  <si>
    <t>810183366196</t>
  </si>
  <si>
    <t>A27091-01</t>
  </si>
  <si>
    <t>BUTTE 3L BIB</t>
  </si>
  <si>
    <t>810183366202</t>
  </si>
  <si>
    <t>810183366219</t>
  </si>
  <si>
    <t>810183366226</t>
  </si>
  <si>
    <t>810183366233</t>
  </si>
  <si>
    <t>810183366240</t>
  </si>
  <si>
    <t>810183366004</t>
  </si>
  <si>
    <t>A26082-01</t>
  </si>
  <si>
    <t>810183366257</t>
  </si>
  <si>
    <t>A27092-02</t>
  </si>
  <si>
    <t>810183366264</t>
  </si>
  <si>
    <t>810183366271</t>
  </si>
  <si>
    <t>810183366288</t>
  </si>
  <si>
    <t>810183366295</t>
  </si>
  <si>
    <t>810183366301</t>
  </si>
  <si>
    <t>810183366318</t>
  </si>
  <si>
    <t>A27093-01</t>
  </si>
  <si>
    <t>CAMBER 3L JACKET</t>
  </si>
  <si>
    <t>810183366325</t>
  </si>
  <si>
    <t>810183366332</t>
  </si>
  <si>
    <t>810183366349</t>
  </si>
  <si>
    <t>810183366356</t>
  </si>
  <si>
    <t>810183366363</t>
  </si>
  <si>
    <t>810183366370</t>
  </si>
  <si>
    <t>A27093-02</t>
  </si>
  <si>
    <t>PEBBLE</t>
  </si>
  <si>
    <t>810183366387</t>
  </si>
  <si>
    <t>810183366394</t>
  </si>
  <si>
    <t>810183366400</t>
  </si>
  <si>
    <t>810183366417</t>
  </si>
  <si>
    <t>810183366424</t>
  </si>
  <si>
    <t>810183366431</t>
  </si>
  <si>
    <t>A27093-03</t>
  </si>
  <si>
    <t>FIR</t>
  </si>
  <si>
    <t>810183366448</t>
  </si>
  <si>
    <t>810183366455</t>
  </si>
  <si>
    <t>810183366462</t>
  </si>
  <si>
    <t>810183366479</t>
  </si>
  <si>
    <t>810183366486</t>
  </si>
  <si>
    <t>810183366493</t>
  </si>
  <si>
    <t>A27094-01</t>
  </si>
  <si>
    <t>SHADOW 3L PANT</t>
  </si>
  <si>
    <t>810183366509</t>
  </si>
  <si>
    <t>810183366516</t>
  </si>
  <si>
    <t>810183366523</t>
  </si>
  <si>
    <t>810183366530</t>
  </si>
  <si>
    <t>810183366547</t>
  </si>
  <si>
    <t>810183366554</t>
  </si>
  <si>
    <t>A27094-02</t>
  </si>
  <si>
    <t>810183366561</t>
  </si>
  <si>
    <t>810183366578</t>
  </si>
  <si>
    <t>810183366585</t>
  </si>
  <si>
    <t>810183366592</t>
  </si>
  <si>
    <t>810183366608</t>
  </si>
  <si>
    <t>810183366615</t>
  </si>
  <si>
    <t>A27094-03</t>
  </si>
  <si>
    <t>810183366622</t>
  </si>
  <si>
    <t>810183366639</t>
  </si>
  <si>
    <t>810183366646</t>
  </si>
  <si>
    <t>810183366653</t>
  </si>
  <si>
    <t>810183366660</t>
  </si>
  <si>
    <t>810183366677</t>
  </si>
  <si>
    <t>A27095-01</t>
  </si>
  <si>
    <t>CHANNEL JACKET</t>
  </si>
  <si>
    <t>810183366684</t>
  </si>
  <si>
    <t>810183366691</t>
  </si>
  <si>
    <t>810183366707</t>
  </si>
  <si>
    <t>810183366714</t>
  </si>
  <si>
    <t>810183366721</t>
  </si>
  <si>
    <t>810183366738</t>
  </si>
  <si>
    <t>A27095-02</t>
  </si>
  <si>
    <t>UTILITY</t>
  </si>
  <si>
    <t>810183366745</t>
  </si>
  <si>
    <t>810183366752</t>
  </si>
  <si>
    <t>810183366769</t>
  </si>
  <si>
    <t>810183366776</t>
  </si>
  <si>
    <t>810183366783</t>
  </si>
  <si>
    <t>810183366790</t>
  </si>
  <si>
    <t>A27096-01</t>
  </si>
  <si>
    <t>SCALE INSULATED JACKET</t>
  </si>
  <si>
    <t>810183366806</t>
  </si>
  <si>
    <t>810183366813</t>
  </si>
  <si>
    <t>810183366820</t>
  </si>
  <si>
    <t>810183366837</t>
  </si>
  <si>
    <t>810183366844</t>
  </si>
  <si>
    <t>810183366851</t>
  </si>
  <si>
    <t>A27096-02</t>
  </si>
  <si>
    <t>RUST</t>
  </si>
  <si>
    <t>810183366868</t>
  </si>
  <si>
    <t>810183366875</t>
  </si>
  <si>
    <t>810183366882</t>
  </si>
  <si>
    <t>810183366899</t>
  </si>
  <si>
    <t>810183366905</t>
  </si>
  <si>
    <t>810183366912</t>
  </si>
  <si>
    <t>A27097-01</t>
  </si>
  <si>
    <t>STORAGE PANT</t>
  </si>
  <si>
    <t>810183366929</t>
  </si>
  <si>
    <t>810183366936</t>
  </si>
  <si>
    <t>810183366943</t>
  </si>
  <si>
    <t>810183366950</t>
  </si>
  <si>
    <t>810183366967</t>
  </si>
  <si>
    <t>810183366974</t>
  </si>
  <si>
    <t>A27097-02</t>
  </si>
  <si>
    <t>810183366981</t>
  </si>
  <si>
    <t>810183366998</t>
  </si>
  <si>
    <t>810183367001</t>
  </si>
  <si>
    <t>810183367018</t>
  </si>
  <si>
    <t>810183367025</t>
  </si>
  <si>
    <t>810183367032</t>
  </si>
  <si>
    <t>A27097-03</t>
  </si>
  <si>
    <t>810183367049</t>
  </si>
  <si>
    <t>810183367056</t>
  </si>
  <si>
    <t>810183367063</t>
  </si>
  <si>
    <t>810183367070</t>
  </si>
  <si>
    <t>810183367087</t>
  </si>
  <si>
    <t>810183367094</t>
  </si>
  <si>
    <t>A27098-01</t>
  </si>
  <si>
    <t>MAGMA PUFFY JACKET</t>
  </si>
  <si>
    <t>810183367100</t>
  </si>
  <si>
    <t>810183367117</t>
  </si>
  <si>
    <t>810183367124</t>
  </si>
  <si>
    <t>810183367131</t>
  </si>
  <si>
    <t>810183367148</t>
  </si>
  <si>
    <t>810183367155</t>
  </si>
  <si>
    <t>A27099-01</t>
  </si>
  <si>
    <t>PAINTED DESERT CAMO</t>
  </si>
  <si>
    <t>810183367162</t>
  </si>
  <si>
    <t>810183367179</t>
  </si>
  <si>
    <t>810183367186</t>
  </si>
  <si>
    <t>810183367193</t>
  </si>
  <si>
    <t>810183367209</t>
  </si>
  <si>
    <t>810183367216</t>
  </si>
  <si>
    <t>A27099-02</t>
  </si>
  <si>
    <t>810183367223</t>
  </si>
  <si>
    <t>810183367230</t>
  </si>
  <si>
    <t>810183367247</t>
  </si>
  <si>
    <t>810183367254</t>
  </si>
  <si>
    <t>810183367261</t>
  </si>
  <si>
    <t>810183367278</t>
  </si>
  <si>
    <t>A27099-03</t>
  </si>
  <si>
    <t>STONE</t>
  </si>
  <si>
    <t>810183367285</t>
  </si>
  <si>
    <t>810183367292</t>
  </si>
  <si>
    <t>810183367308</t>
  </si>
  <si>
    <t>810183367315</t>
  </si>
  <si>
    <t>810183367322</t>
  </si>
  <si>
    <t>810183367339</t>
  </si>
  <si>
    <t>A27100-01</t>
  </si>
  <si>
    <t>CARGO PANT</t>
  </si>
  <si>
    <t>810183367346</t>
  </si>
  <si>
    <t>810183367353</t>
  </si>
  <si>
    <t>810183367360</t>
  </si>
  <si>
    <t>810183367377</t>
  </si>
  <si>
    <t>810183367384</t>
  </si>
  <si>
    <t>810183367391</t>
  </si>
  <si>
    <t>A27100-02</t>
  </si>
  <si>
    <t>810183367407</t>
  </si>
  <si>
    <t>810183367414</t>
  </si>
  <si>
    <t>810183367421</t>
  </si>
  <si>
    <t>810183367438</t>
  </si>
  <si>
    <t>810183367445</t>
  </si>
  <si>
    <t>810183367452</t>
  </si>
  <si>
    <t>OLD GROWTH CAMO</t>
  </si>
  <si>
    <t>810183367469</t>
  </si>
  <si>
    <t>810183367476</t>
  </si>
  <si>
    <t>810183367483</t>
  </si>
  <si>
    <t>810183367490</t>
  </si>
  <si>
    <t>810183367506</t>
  </si>
  <si>
    <t>810183367513</t>
  </si>
  <si>
    <t>A27101-01</t>
  </si>
  <si>
    <t>810183367520</t>
  </si>
  <si>
    <t>810183367537</t>
  </si>
  <si>
    <t>810183367544</t>
  </si>
  <si>
    <t>810183367551</t>
  </si>
  <si>
    <t>810183367568</t>
  </si>
  <si>
    <t>810183367575</t>
  </si>
  <si>
    <t>A27101-02</t>
  </si>
  <si>
    <t>810183367582</t>
  </si>
  <si>
    <t>810183367599</t>
  </si>
  <si>
    <t>810183367605</t>
  </si>
  <si>
    <t>810183367612</t>
  </si>
  <si>
    <t>810183367629</t>
  </si>
  <si>
    <t>810183367636</t>
  </si>
  <si>
    <t>A27101-03</t>
  </si>
  <si>
    <t>MAHOGANY</t>
  </si>
  <si>
    <t>810183367643</t>
  </si>
  <si>
    <t>810183367650</t>
  </si>
  <si>
    <t>810183367667</t>
  </si>
  <si>
    <t>810183367674</t>
  </si>
  <si>
    <t>810183367681</t>
  </si>
  <si>
    <t>810183367698</t>
  </si>
  <si>
    <t>A27102-01</t>
  </si>
  <si>
    <t>810183367704</t>
  </si>
  <si>
    <t>810183367711</t>
  </si>
  <si>
    <t>810183367728</t>
  </si>
  <si>
    <t>810183367735</t>
  </si>
  <si>
    <t>810183367742</t>
  </si>
  <si>
    <t>810183367759</t>
  </si>
  <si>
    <t>A27102-02</t>
  </si>
  <si>
    <t>810183367766</t>
  </si>
  <si>
    <t>810183367773</t>
  </si>
  <si>
    <t>810183367780</t>
  </si>
  <si>
    <t>810183367797</t>
  </si>
  <si>
    <t>810183367803</t>
  </si>
  <si>
    <t>810183367810</t>
  </si>
  <si>
    <t>A27102-03</t>
  </si>
  <si>
    <t>810183367827</t>
  </si>
  <si>
    <t>810183367834</t>
  </si>
  <si>
    <t>810183367841</t>
  </si>
  <si>
    <t>810183367858</t>
  </si>
  <si>
    <t>810183367865</t>
  </si>
  <si>
    <t>X-SMALL</t>
  </si>
  <si>
    <t xml:space="preserve"> X-SMALL </t>
  </si>
  <si>
    <t>*In order to qualify for preseason apparel booking terms a minimum order of $ 1,000 must be made by the order deadline January 16th, 2025</t>
  </si>
  <si>
    <t>30k+</t>
  </si>
  <si>
    <t>50k+</t>
  </si>
  <si>
    <t>* Dealer pricing can fluctuate according to currency vs. Jan 1, 2026</t>
  </si>
  <si>
    <t>* Earliest Delivery date is September 1st , 2026.</t>
  </si>
  <si>
    <t>* Packing Slip will be attached to outside of box #1.</t>
  </si>
  <si>
    <t>* Cancel date for product not shipped is December 31, 2026 or later.</t>
  </si>
  <si>
    <r>
      <rPr>
        <b/>
        <sz val="12"/>
        <color theme="1"/>
        <rFont val="Helvetica"/>
        <family val="2"/>
      </rPr>
      <t>*BONUS INCENTIVE EXTRA 2%</t>
    </r>
    <r>
      <rPr>
        <sz val="12"/>
        <color theme="1"/>
        <rFont val="Helvetica"/>
        <family val="2"/>
      </rPr>
      <t xml:space="preserve"> on all if you book a minimum of $7.5k in apparel and $5k in Headwear / Face Coverings</t>
    </r>
  </si>
  <si>
    <t>Technical Outerwear</t>
  </si>
  <si>
    <t>APPAREL</t>
  </si>
  <si>
    <t>DARK OLIVE</t>
  </si>
  <si>
    <t>810183367872</t>
  </si>
  <si>
    <t>A27103-01</t>
  </si>
  <si>
    <t>FLEECE SHIRT</t>
  </si>
  <si>
    <t>810183367889</t>
  </si>
  <si>
    <t>810183367896</t>
  </si>
  <si>
    <t>810183367902</t>
  </si>
  <si>
    <t>810183367919</t>
  </si>
  <si>
    <t>810183367926</t>
  </si>
  <si>
    <t>A27103-02</t>
  </si>
  <si>
    <t>PLAID</t>
  </si>
  <si>
    <t>810183367933</t>
  </si>
  <si>
    <t>810183367940</t>
  </si>
  <si>
    <t>810183367957</t>
  </si>
  <si>
    <t>810183367964</t>
  </si>
  <si>
    <t>810183367971</t>
  </si>
  <si>
    <t>A27104-01</t>
  </si>
  <si>
    <t>VORTEX LTE</t>
  </si>
  <si>
    <t>810183367988</t>
  </si>
  <si>
    <t>810183367995</t>
  </si>
  <si>
    <t>810183368008</t>
  </si>
  <si>
    <t>810183368015</t>
  </si>
  <si>
    <t>810183368022</t>
  </si>
  <si>
    <t>A27105-01</t>
  </si>
  <si>
    <t>VORTEX FLEECE</t>
  </si>
  <si>
    <t>GRID CAMO</t>
  </si>
  <si>
    <t>810183368039</t>
  </si>
  <si>
    <t>810183368046</t>
  </si>
  <si>
    <t>810183368053</t>
  </si>
  <si>
    <t>810183368060</t>
  </si>
  <si>
    <t>810183368077</t>
  </si>
  <si>
    <t>A27106-01</t>
  </si>
  <si>
    <t>BASK CARGO PANT</t>
  </si>
  <si>
    <t>810183368084</t>
  </si>
  <si>
    <t>810183368091</t>
  </si>
  <si>
    <t>810183368107</t>
  </si>
  <si>
    <t>810183368114</t>
  </si>
  <si>
    <t>810183368121</t>
  </si>
  <si>
    <t>A27107-01</t>
  </si>
  <si>
    <t>DENIM</t>
  </si>
  <si>
    <t>810183368138</t>
  </si>
  <si>
    <t>810183368145</t>
  </si>
  <si>
    <t>810183368152</t>
  </si>
  <si>
    <t>810183368169</t>
  </si>
  <si>
    <t>810183368176</t>
  </si>
  <si>
    <t>A27107-02</t>
  </si>
  <si>
    <t>GOTHIC OLIVE</t>
  </si>
  <si>
    <t>810183368183</t>
  </si>
  <si>
    <t>810183368190</t>
  </si>
  <si>
    <t>810183368206</t>
  </si>
  <si>
    <t>810183368213</t>
  </si>
  <si>
    <t>810183368220</t>
  </si>
  <si>
    <t>A27108-01</t>
  </si>
  <si>
    <t>810183368237</t>
  </si>
  <si>
    <t>810183368244</t>
  </si>
  <si>
    <t>810183368251</t>
  </si>
  <si>
    <t>810183368268</t>
  </si>
  <si>
    <t>810183368275</t>
  </si>
  <si>
    <t>A27108-02</t>
  </si>
  <si>
    <t>UMBER</t>
  </si>
  <si>
    <t>810183368282</t>
  </si>
  <si>
    <t>810183368299</t>
  </si>
  <si>
    <t>810183368305</t>
  </si>
  <si>
    <t>810183368312</t>
  </si>
  <si>
    <t>810183368329</t>
  </si>
  <si>
    <t>A27109-01</t>
  </si>
  <si>
    <t>ZIP RUGBY</t>
  </si>
  <si>
    <t>810183368336</t>
  </si>
  <si>
    <t>810183368343</t>
  </si>
  <si>
    <t>810183368350</t>
  </si>
  <si>
    <t>810183368367</t>
  </si>
  <si>
    <t>810183368374</t>
  </si>
  <si>
    <t>A27109-02</t>
  </si>
  <si>
    <t>HEATHER GREY</t>
  </si>
  <si>
    <t>810183368381</t>
  </si>
  <si>
    <t>810183368398</t>
  </si>
  <si>
    <t>810183368404</t>
  </si>
  <si>
    <t>810183368411</t>
  </si>
  <si>
    <t>PRINTABLES</t>
  </si>
  <si>
    <t>810183368428</t>
  </si>
  <si>
    <t>A27110-01</t>
  </si>
  <si>
    <t>AIRTIME HOODED FLEECE</t>
  </si>
  <si>
    <t>810183368442</t>
  </si>
  <si>
    <t>810183368459</t>
  </si>
  <si>
    <t>810183368466</t>
  </si>
  <si>
    <t>810183368473</t>
  </si>
  <si>
    <t>A27111-01</t>
  </si>
  <si>
    <t>CROWN HOODED FLEECE</t>
  </si>
  <si>
    <t>810183368480</t>
  </si>
  <si>
    <t>810183368497</t>
  </si>
  <si>
    <t>810183368503</t>
  </si>
  <si>
    <t>810183368510</t>
  </si>
  <si>
    <t>810183368527</t>
  </si>
  <si>
    <t>A27112-01</t>
  </si>
  <si>
    <t>SOY LADY MTN HOODED FLEECE</t>
  </si>
  <si>
    <t>810183368534</t>
  </si>
  <si>
    <t>810183368541</t>
  </si>
  <si>
    <t>810183368558</t>
  </si>
  <si>
    <t>810183368565</t>
  </si>
  <si>
    <t>810183368572</t>
  </si>
  <si>
    <t>A27113-01</t>
  </si>
  <si>
    <t>SOY FONT HOODED FLEECE</t>
  </si>
  <si>
    <t>810183368589</t>
  </si>
  <si>
    <t>810183368596</t>
  </si>
  <si>
    <t>810183368602</t>
  </si>
  <si>
    <t>810183368619</t>
  </si>
  <si>
    <t>810183368626</t>
  </si>
  <si>
    <t>A27114-01</t>
  </si>
  <si>
    <t>GRIF QUIVER LS TEE</t>
  </si>
  <si>
    <t>810183368633</t>
  </si>
  <si>
    <t>810183368640</t>
  </si>
  <si>
    <t>810183368657</t>
  </si>
  <si>
    <t>810183368664</t>
  </si>
  <si>
    <t>810183368671</t>
  </si>
  <si>
    <t>A27115-01</t>
  </si>
  <si>
    <t>BLOSSOM ICON LS TEE</t>
  </si>
  <si>
    <t>810183368688</t>
  </si>
  <si>
    <t>810183368695</t>
  </si>
  <si>
    <t>810183368701</t>
  </si>
  <si>
    <t>810183368718</t>
  </si>
  <si>
    <t>810183368725</t>
  </si>
  <si>
    <t>A27116-01</t>
  </si>
  <si>
    <t>SOY FOLIAGE SS TEE</t>
  </si>
  <si>
    <t>810183368732</t>
  </si>
  <si>
    <t>810183368749</t>
  </si>
  <si>
    <t>810183368756</t>
  </si>
  <si>
    <t>810183368763</t>
  </si>
  <si>
    <t>810183368770</t>
  </si>
  <si>
    <t>A27117-01</t>
  </si>
  <si>
    <t>TREE SERVICE SS TEE</t>
  </si>
  <si>
    <t>VINTAGE WHITE</t>
  </si>
  <si>
    <t>810183368787</t>
  </si>
  <si>
    <t>810183368794</t>
  </si>
  <si>
    <t>810183368800</t>
  </si>
  <si>
    <t>810183368817</t>
  </si>
  <si>
    <t>810183368824</t>
  </si>
  <si>
    <t>A27118-01</t>
  </si>
  <si>
    <t>ENERGY SS TEE</t>
  </si>
  <si>
    <t>POLAR  NAVY</t>
  </si>
  <si>
    <t>810183368831</t>
  </si>
  <si>
    <t>810183368848</t>
  </si>
  <si>
    <t>810183368855</t>
  </si>
  <si>
    <t>810183368862</t>
  </si>
  <si>
    <t>810183368879</t>
  </si>
  <si>
    <t>A27119-01</t>
  </si>
  <si>
    <t>FLOWER FIELD SS TEE</t>
  </si>
  <si>
    <t>810183368886</t>
  </si>
  <si>
    <t>810183368893</t>
  </si>
  <si>
    <t>810183368909</t>
  </si>
  <si>
    <t>810183368916</t>
  </si>
  <si>
    <t>SNOW SOCKS</t>
  </si>
  <si>
    <t>A26112-01</t>
  </si>
  <si>
    <t>STEEPS SOCK</t>
  </si>
  <si>
    <t>810183368923</t>
  </si>
  <si>
    <t>A27081-01</t>
  </si>
  <si>
    <t>GREEN</t>
  </si>
  <si>
    <t>810183368930</t>
  </si>
  <si>
    <t>810183368947</t>
  </si>
  <si>
    <t>810183368954</t>
  </si>
  <si>
    <t>A27082-01</t>
  </si>
  <si>
    <t>SERVICE SOCK</t>
  </si>
  <si>
    <t>810183368961</t>
  </si>
  <si>
    <t>810183368978</t>
  </si>
  <si>
    <t>810183368985</t>
  </si>
  <si>
    <t>A27082-02</t>
  </si>
  <si>
    <t>810183368992</t>
  </si>
  <si>
    <t>810183369005</t>
  </si>
  <si>
    <t>810183369012</t>
  </si>
  <si>
    <t>A27082-03</t>
  </si>
  <si>
    <t>810183369029</t>
  </si>
  <si>
    <t>810183369036</t>
  </si>
  <si>
    <t>810183369043</t>
  </si>
  <si>
    <t>A27082-04</t>
  </si>
  <si>
    <t>810183369050</t>
  </si>
  <si>
    <t>810183369067</t>
  </si>
  <si>
    <t>810183369074</t>
  </si>
  <si>
    <t>A27083-01</t>
  </si>
  <si>
    <t>810183369081</t>
  </si>
  <si>
    <t>810183369098</t>
  </si>
  <si>
    <t>810183369104</t>
  </si>
  <si>
    <t>A27083-02</t>
  </si>
  <si>
    <t>810183369111</t>
  </si>
  <si>
    <t>810183369128</t>
  </si>
  <si>
    <t>autumnMTN COLLECTION + CORDUROY</t>
  </si>
  <si>
    <t>810183369715</t>
  </si>
  <si>
    <t>A27540-01</t>
  </si>
  <si>
    <t>WORK/NOT WORK HOODIE</t>
  </si>
  <si>
    <t>CHOCOLATE</t>
  </si>
  <si>
    <t>810183369722</t>
  </si>
  <si>
    <t>810183369739</t>
  </si>
  <si>
    <t>810183369746</t>
  </si>
  <si>
    <t>810183369753</t>
  </si>
  <si>
    <t>810183369760</t>
  </si>
  <si>
    <t>810183369777</t>
  </si>
  <si>
    <t>A27540-02</t>
  </si>
  <si>
    <t>GRASS</t>
  </si>
  <si>
    <t>810183369784</t>
  </si>
  <si>
    <t>810183369791</t>
  </si>
  <si>
    <t>810183369807</t>
  </si>
  <si>
    <t>810183369814</t>
  </si>
  <si>
    <t>810183369821</t>
  </si>
  <si>
    <t>810183369838</t>
  </si>
  <si>
    <t>A27541-01</t>
  </si>
  <si>
    <t>TWOFER HOODIE</t>
  </si>
  <si>
    <t>MAROON</t>
  </si>
  <si>
    <t>810183369845</t>
  </si>
  <si>
    <t>810183369852</t>
  </si>
  <si>
    <t>810183369869</t>
  </si>
  <si>
    <t>810183369876</t>
  </si>
  <si>
    <t>810183369883</t>
  </si>
  <si>
    <t>810183369890</t>
  </si>
  <si>
    <t>A27542-01</t>
  </si>
  <si>
    <t>BALBOA HOODIE</t>
  </si>
  <si>
    <t>BONE</t>
  </si>
  <si>
    <t>810183369906</t>
  </si>
  <si>
    <t>810183369913</t>
  </si>
  <si>
    <t>810183369920</t>
  </si>
  <si>
    <t>810183369937</t>
  </si>
  <si>
    <t>810183369944</t>
  </si>
  <si>
    <t>810183369951</t>
  </si>
  <si>
    <t>A27542-02</t>
  </si>
  <si>
    <t>810183369968</t>
  </si>
  <si>
    <t>810183369975</t>
  </si>
  <si>
    <t>810183369982</t>
  </si>
  <si>
    <t>810183369999</t>
  </si>
  <si>
    <t>810183365922</t>
  </si>
  <si>
    <t>810212842622</t>
  </si>
  <si>
    <t>A27543-01</t>
  </si>
  <si>
    <t>JAMIE CAT HOODED FLEECE</t>
  </si>
  <si>
    <t>810212842639</t>
  </si>
  <si>
    <t>810212842646</t>
  </si>
  <si>
    <t>810212842653</t>
  </si>
  <si>
    <t>810212842660</t>
  </si>
  <si>
    <t>810212842677</t>
  </si>
  <si>
    <t>A27544-01</t>
  </si>
  <si>
    <t>STUDS HOODED FLEECE</t>
  </si>
  <si>
    <t>810212842684</t>
  </si>
  <si>
    <t>810212842691</t>
  </si>
  <si>
    <t>810212842707</t>
  </si>
  <si>
    <t>810212842714</t>
  </si>
  <si>
    <t>810212842721</t>
  </si>
  <si>
    <t>A27545-01</t>
  </si>
  <si>
    <t>HOSTLE LS TEE</t>
  </si>
  <si>
    <t>810212842738</t>
  </si>
  <si>
    <t>810212842745</t>
  </si>
  <si>
    <t>810212842752</t>
  </si>
  <si>
    <t>810212842769</t>
  </si>
  <si>
    <t>810212842776</t>
  </si>
  <si>
    <t>A27546-01</t>
  </si>
  <si>
    <t>HIGH-VIS TEE</t>
  </si>
  <si>
    <t>SAFETY GREEN</t>
  </si>
  <si>
    <t>810212842783</t>
  </si>
  <si>
    <t>810212842790</t>
  </si>
  <si>
    <t>810212842806</t>
  </si>
  <si>
    <t>810212842813</t>
  </si>
  <si>
    <t>CORDUROY</t>
  </si>
  <si>
    <t>RIDING HOODIES</t>
  </si>
  <si>
    <t>QTY</t>
  </si>
  <si>
    <t>$</t>
  </si>
  <si>
    <t>DWR RIDING HOODIE</t>
  </si>
  <si>
    <t>D&amp;C JACKET</t>
  </si>
  <si>
    <t>DUET SOCK 2PK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</si>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</sst>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name val="Texta"/>
    </font>
    <font>
      <b/>
      <sz val="12"/>
      <name val="Texta"/>
    </font>
    <font>
      <b/>
      <sz val="16"/>
      <name val="Texta"/>
    </font>
    <font>
      <b/>
      <sz val="12"/>
      <color theme="1"/>
      <name val="Texta"/>
    </font>
    <font>
      <b/>
      <sz val="22"/>
      <name val="Texta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Texta"/>
    </font>
    <font>
      <b/>
      <sz val="14"/>
      <color rgb="FF000000"/>
      <name val="Cordia New"/>
      <family val="2"/>
    </font>
    <font>
      <sz val="14"/>
      <color theme="1"/>
      <name val="Calibri"/>
      <family val="2"/>
      <scheme val="minor"/>
    </font>
    <font>
      <sz val="14"/>
      <color rgb="FF000000"/>
      <name val="Cordia New"/>
      <family val="2"/>
    </font>
    <font>
      <sz val="12"/>
      <color theme="1"/>
      <name val="Texta"/>
    </font>
    <font>
      <sz val="8"/>
      <name val="Calibri"/>
      <family val="2"/>
      <scheme val="minor"/>
    </font>
    <font>
      <b/>
      <sz val="6"/>
      <color theme="1"/>
      <name val="PT Sans"/>
      <family val="2"/>
      <charset val="204"/>
    </font>
    <font>
      <b/>
      <sz val="12"/>
      <color indexed="8"/>
      <name val="PT Sans"/>
      <family val="2"/>
      <charset val="204"/>
    </font>
    <font>
      <sz val="12"/>
      <color indexed="8"/>
      <name val="PT Sans"/>
      <family val="2"/>
      <charset val="204"/>
    </font>
    <font>
      <sz val="12"/>
      <color rgb="FF000000"/>
      <name val="Calibri"/>
      <family val="2"/>
      <scheme val="minor"/>
    </font>
    <font>
      <b/>
      <sz val="12"/>
      <color theme="1"/>
      <name val="PT Sans"/>
      <family val="2"/>
      <charset val="204"/>
    </font>
    <font>
      <b/>
      <sz val="12"/>
      <color rgb="FF000000"/>
      <name val="PT Sans"/>
      <family val="2"/>
      <charset val="204"/>
    </font>
    <font>
      <sz val="12"/>
      <color rgb="FF000000"/>
      <name val="Aptos Narrow"/>
      <family val="2"/>
    </font>
    <font>
      <sz val="11"/>
      <name val="Arial"/>
      <family val="1"/>
    </font>
    <font>
      <sz val="12"/>
      <color theme="1"/>
      <name val="Helvetica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Helvetica"/>
      <family val="2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7" fillId="0" borderId="0"/>
  </cellStyleXfs>
  <cellXfs count="205">
    <xf numFmtId="0" fontId="0" fillId="0" borderId="0" xfId="0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0" xfId="0" applyFill="1"/>
    <xf numFmtId="0" fontId="16" fillId="0" borderId="0" xfId="0" applyFont="1"/>
    <xf numFmtId="0" fontId="17" fillId="6" borderId="11" xfId="0" applyFont="1" applyFill="1" applyBorder="1" applyAlignment="1">
      <alignment horizontal="left" vertical="center"/>
    </xf>
    <xf numFmtId="1" fontId="17" fillId="6" borderId="0" xfId="0" applyNumberFormat="1" applyFont="1" applyFill="1" applyAlignment="1">
      <alignment horizontal="left" vertical="center"/>
    </xf>
    <xf numFmtId="1" fontId="17" fillId="6" borderId="12" xfId="0" applyNumberFormat="1" applyFont="1" applyFill="1" applyBorder="1" applyAlignment="1">
      <alignment horizontal="left" vertical="center"/>
    </xf>
    <xf numFmtId="0" fontId="17" fillId="6" borderId="13" xfId="0" applyFont="1" applyFill="1" applyBorder="1" applyAlignment="1">
      <alignment horizontal="left" vertical="center"/>
    </xf>
    <xf numFmtId="1" fontId="17" fillId="6" borderId="14" xfId="0" applyNumberFormat="1" applyFont="1" applyFill="1" applyBorder="1" applyAlignment="1">
      <alignment horizontal="left" vertical="center"/>
    </xf>
    <xf numFmtId="1" fontId="17" fillId="6" borderId="15" xfId="0" applyNumberFormat="1" applyFont="1" applyFill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1" fontId="17" fillId="6" borderId="0" xfId="0" applyNumberFormat="1" applyFont="1" applyFill="1" applyAlignment="1">
      <alignment vertical="center"/>
    </xf>
    <xf numFmtId="0" fontId="17" fillId="6" borderId="11" xfId="0" applyFont="1" applyFill="1" applyBorder="1" applyAlignment="1">
      <alignment vertical="center"/>
    </xf>
    <xf numFmtId="1" fontId="17" fillId="6" borderId="12" xfId="0" applyNumberFormat="1" applyFont="1" applyFill="1" applyBorder="1" applyAlignment="1">
      <alignment vertical="center"/>
    </xf>
    <xf numFmtId="0" fontId="17" fillId="6" borderId="13" xfId="0" applyFont="1" applyFill="1" applyBorder="1" applyAlignment="1">
      <alignment vertical="center"/>
    </xf>
    <xf numFmtId="1" fontId="17" fillId="6" borderId="14" xfId="0" applyNumberFormat="1" applyFont="1" applyFill="1" applyBorder="1" applyAlignment="1">
      <alignment vertical="center"/>
    </xf>
    <xf numFmtId="1" fontId="17" fillId="6" borderId="15" xfId="0" applyNumberFormat="1" applyFont="1" applyFill="1" applyBorder="1" applyAlignment="1">
      <alignment vertical="center"/>
    </xf>
    <xf numFmtId="0" fontId="17" fillId="6" borderId="14" xfId="0" applyFont="1" applyFill="1" applyBorder="1" applyAlignment="1">
      <alignment vertical="center"/>
    </xf>
    <xf numFmtId="1" fontId="1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top" wrapText="1"/>
    </xf>
    <xf numFmtId="44" fontId="0" fillId="2" borderId="3" xfId="0" applyNumberFormat="1" applyFill="1" applyBorder="1"/>
    <xf numFmtId="15" fontId="7" fillId="2" borderId="3" xfId="0" applyNumberFormat="1" applyFont="1" applyFill="1" applyBorder="1" applyAlignment="1" applyProtection="1">
      <alignment horizontal="center"/>
      <protection locked="0"/>
    </xf>
    <xf numFmtId="0" fontId="21" fillId="8" borderId="22" xfId="0" applyFont="1" applyFill="1" applyBorder="1" applyAlignment="1">
      <alignment horizontal="center" vertical="center"/>
    </xf>
    <xf numFmtId="9" fontId="21" fillId="8" borderId="2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2" fillId="8" borderId="19" xfId="0" applyFont="1" applyFill="1" applyBorder="1" applyAlignment="1">
      <alignment vertical="center"/>
    </xf>
    <xf numFmtId="0" fontId="21" fillId="8" borderId="26" xfId="0" applyFont="1" applyFill="1" applyBorder="1" applyAlignment="1">
      <alignment horizontal="center" vertical="center"/>
    </xf>
    <xf numFmtId="9" fontId="21" fillId="8" borderId="27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vertical="center"/>
    </xf>
    <xf numFmtId="0" fontId="20" fillId="7" borderId="3" xfId="0" applyFont="1" applyFill="1" applyBorder="1" applyAlignment="1">
      <alignment horizontal="left" vertical="center"/>
    </xf>
    <xf numFmtId="0" fontId="20" fillId="7" borderId="3" xfId="0" applyFont="1" applyFill="1" applyBorder="1" applyAlignment="1">
      <alignment vertical="center"/>
    </xf>
    <xf numFmtId="2" fontId="0" fillId="0" borderId="3" xfId="0" applyNumberFormat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2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18" fillId="2" borderId="0" xfId="0" applyFont="1" applyFill="1"/>
    <xf numFmtId="0" fontId="7" fillId="2" borderId="0" xfId="0" applyFont="1" applyFill="1"/>
    <xf numFmtId="0" fontId="11" fillId="2" borderId="0" xfId="0" applyFont="1" applyFill="1" applyAlignment="1">
      <alignment horizontal="center" vertical="center"/>
    </xf>
    <xf numFmtId="0" fontId="8" fillId="2" borderId="0" xfId="0" applyFont="1" applyFill="1"/>
    <xf numFmtId="0" fontId="14" fillId="2" borderId="0" xfId="0" applyFont="1" applyFill="1" applyAlignment="1">
      <alignment horizontal="center" vertical="center"/>
    </xf>
    <xf numFmtId="0" fontId="9" fillId="2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13" fillId="2" borderId="0" xfId="0" applyFont="1" applyFill="1"/>
    <xf numFmtId="0" fontId="2" fillId="2" borderId="3" xfId="0" applyFont="1" applyFill="1" applyBorder="1" applyAlignment="1" applyProtection="1">
      <alignment horizontal="center"/>
      <protection hidden="1"/>
    </xf>
    <xf numFmtId="0" fontId="7" fillId="2" borderId="3" xfId="0" applyFont="1" applyFill="1" applyBorder="1" applyAlignment="1">
      <alignment horizontal="center"/>
    </xf>
    <xf numFmtId="0" fontId="10" fillId="2" borderId="21" xfId="0" applyFont="1" applyFill="1" applyBorder="1" applyAlignment="1" applyProtection="1">
      <alignment horizontal="center" vertical="center"/>
      <protection hidden="1"/>
    </xf>
    <xf numFmtId="49" fontId="7" fillId="2" borderId="0" xfId="0" applyNumberFormat="1" applyFont="1" applyFill="1" applyAlignment="1" applyProtection="1">
      <alignment horizontal="center"/>
      <protection locked="0"/>
    </xf>
    <xf numFmtId="15" fontId="8" fillId="2" borderId="0" xfId="0" applyNumberFormat="1" applyFont="1" applyFill="1" applyAlignment="1" applyProtection="1">
      <alignment horizontal="center"/>
      <protection locked="0"/>
    </xf>
    <xf numFmtId="164" fontId="8" fillId="2" borderId="0" xfId="1" applyNumberFormat="1" applyFont="1" applyFill="1" applyAlignment="1" applyProtection="1">
      <alignment horizontal="center"/>
      <protection locked="0"/>
    </xf>
    <xf numFmtId="164" fontId="8" fillId="2" borderId="0" xfId="1" applyNumberFormat="1" applyFont="1" applyFill="1" applyAlignment="1">
      <alignment horizontal="center" vertical="center"/>
    </xf>
    <xf numFmtId="44" fontId="1" fillId="2" borderId="7" xfId="1" applyFont="1" applyFill="1" applyBorder="1" applyAlignment="1">
      <alignment horizontal="center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0" fillId="2" borderId="0" xfId="0" applyNumberFormat="1" applyFill="1"/>
    <xf numFmtId="0" fontId="2" fillId="2" borderId="0" xfId="0" applyFont="1" applyFill="1"/>
    <xf numFmtId="0" fontId="21" fillId="8" borderId="28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left" vertical="center"/>
    </xf>
    <xf numFmtId="0" fontId="28" fillId="0" borderId="19" xfId="0" applyFont="1" applyBorder="1"/>
    <xf numFmtId="0" fontId="21" fillId="8" borderId="29" xfId="0" applyFont="1" applyFill="1" applyBorder="1" applyAlignment="1">
      <alignment horizontal="center" vertical="center"/>
    </xf>
    <xf numFmtId="9" fontId="21" fillId="8" borderId="30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9" fontId="21" fillId="8" borderId="3" xfId="0" applyNumberFormat="1" applyFont="1" applyFill="1" applyBorder="1" applyAlignment="1">
      <alignment horizontal="center" vertical="center"/>
    </xf>
    <xf numFmtId="0" fontId="3" fillId="0" borderId="0" xfId="0" applyFont="1"/>
    <xf numFmtId="164" fontId="0" fillId="2" borderId="0" xfId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 vertical="center"/>
    </xf>
    <xf numFmtId="164" fontId="9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/>
    </xf>
    <xf numFmtId="164" fontId="8" fillId="2" borderId="3" xfId="1" applyNumberFormat="1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26" fillId="2" borderId="3" xfId="0" applyNumberFormat="1" applyFont="1" applyFill="1" applyBorder="1" applyAlignment="1">
      <alignment horizontal="center"/>
    </xf>
    <xf numFmtId="164" fontId="26" fillId="2" borderId="7" xfId="0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/>
    </xf>
    <xf numFmtId="164" fontId="14" fillId="2" borderId="0" xfId="1" applyNumberFormat="1" applyFont="1" applyFill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2" borderId="34" xfId="0" applyFont="1" applyFill="1" applyBorder="1" applyAlignment="1" applyProtection="1">
      <alignment horizontal="center"/>
      <protection hidden="1"/>
    </xf>
    <xf numFmtId="44" fontId="0" fillId="2" borderId="34" xfId="0" applyNumberFormat="1" applyFill="1" applyBorder="1"/>
    <xf numFmtId="2" fontId="0" fillId="9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49" fontId="8" fillId="2" borderId="3" xfId="0" applyNumberFormat="1" applyFont="1" applyFill="1" applyBorder="1" applyAlignment="1" applyProtection="1">
      <alignment horizontal="left" vertical="center"/>
      <protection locked="0"/>
    </xf>
    <xf numFmtId="49" fontId="8" fillId="2" borderId="3" xfId="0" applyNumberFormat="1" applyFont="1" applyFill="1" applyBorder="1" applyAlignment="1" applyProtection="1">
      <alignment vertical="center"/>
      <protection locked="0"/>
    </xf>
    <xf numFmtId="49" fontId="8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0" applyFont="1" applyFill="1" applyAlignment="1">
      <alignment vertical="center"/>
    </xf>
    <xf numFmtId="49" fontId="8" fillId="2" borderId="3" xfId="0" applyNumberFormat="1" applyFont="1" applyFill="1" applyBorder="1" applyAlignment="1" applyProtection="1">
      <alignment horizontal="center" vertical="center"/>
      <protection locked="0"/>
    </xf>
    <xf numFmtId="15" fontId="8" fillId="2" borderId="0" xfId="0" applyNumberFormat="1" applyFont="1" applyFill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44" fontId="1" fillId="9" borderId="7" xfId="1" applyFont="1" applyFill="1" applyBorder="1" applyAlignment="1">
      <alignment horizontal="center"/>
    </xf>
    <xf numFmtId="0" fontId="0" fillId="9" borderId="3" xfId="0" applyFill="1" applyBorder="1" applyAlignment="1" applyProtection="1">
      <alignment horizontal="center"/>
      <protection hidden="1"/>
    </xf>
    <xf numFmtId="164" fontId="0" fillId="9" borderId="3" xfId="0" applyNumberFormat="1" applyFill="1" applyBorder="1" applyAlignment="1">
      <alignment horizontal="center"/>
    </xf>
    <xf numFmtId="14" fontId="8" fillId="2" borderId="3" xfId="1" applyNumberFormat="1" applyFont="1" applyFill="1" applyBorder="1" applyAlignment="1" applyProtection="1">
      <alignment horizontal="center"/>
      <protection locked="0"/>
    </xf>
    <xf numFmtId="44" fontId="10" fillId="2" borderId="24" xfId="0" applyNumberFormat="1" applyFont="1" applyFill="1" applyBorder="1" applyProtection="1">
      <protection hidden="1"/>
    </xf>
    <xf numFmtId="0" fontId="7" fillId="2" borderId="35" xfId="0" applyFont="1" applyFill="1" applyBorder="1" applyAlignment="1">
      <alignment horizontal="center"/>
    </xf>
    <xf numFmtId="14" fontId="8" fillId="2" borderId="36" xfId="0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19" xfId="0" applyFont="1" applyFill="1" applyBorder="1"/>
    <xf numFmtId="0" fontId="0" fillId="10" borderId="0" xfId="0" applyFill="1"/>
    <xf numFmtId="2" fontId="0" fillId="7" borderId="3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0" fontId="0" fillId="7" borderId="3" xfId="0" applyFill="1" applyBorder="1" applyAlignment="1" applyProtection="1">
      <alignment horizontal="center"/>
      <protection hidden="1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4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3" fillId="3" borderId="7" xfId="0" applyFont="1" applyFill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9" borderId="3" xfId="1" applyNumberFormat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164" fontId="0" fillId="4" borderId="3" xfId="1" applyNumberFormat="1" applyFont="1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0" applyNumberFormat="1" applyBorder="1"/>
    <xf numFmtId="44" fontId="0" fillId="0" borderId="3" xfId="0" applyNumberFormat="1" applyBorder="1"/>
    <xf numFmtId="0" fontId="0" fillId="3" borderId="3" xfId="0" applyFill="1" applyBorder="1" applyAlignment="1">
      <alignment horizontal="center"/>
    </xf>
    <xf numFmtId="44" fontId="0" fillId="3" borderId="3" xfId="0" applyNumberFormat="1" applyFill="1" applyBorder="1"/>
    <xf numFmtId="0" fontId="13" fillId="11" borderId="1" xfId="0" applyFont="1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13" fillId="11" borderId="2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left"/>
    </xf>
    <xf numFmtId="0" fontId="13" fillId="3" borderId="20" xfId="0" applyFont="1" applyFill="1" applyBorder="1" applyAlignment="1">
      <alignment horizontal="left"/>
    </xf>
    <xf numFmtId="0" fontId="13" fillId="3" borderId="25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4" fontId="1" fillId="0" borderId="7" xfId="1" applyNumberFormat="1" applyFont="1" applyFill="1" applyBorder="1" applyAlignment="1">
      <alignment horizontal="center"/>
    </xf>
    <xf numFmtId="44" fontId="1" fillId="0" borderId="7" xfId="1" applyFont="1" applyFill="1" applyBorder="1" applyAlignment="1">
      <alignment horizontal="center"/>
    </xf>
    <xf numFmtId="0" fontId="0" fillId="0" borderId="7" xfId="1" applyNumberFormat="1" applyFont="1" applyFill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0" fontId="0" fillId="0" borderId="7" xfId="0" applyBorder="1" applyAlignment="1" applyProtection="1">
      <alignment horizontal="center"/>
      <protection hidden="1"/>
    </xf>
    <xf numFmtId="44" fontId="23" fillId="0" borderId="7" xfId="0" applyNumberFormat="1" applyFont="1" applyBorder="1" applyAlignment="1">
      <alignment horizontal="center"/>
    </xf>
    <xf numFmtId="164" fontId="1" fillId="0" borderId="3" xfId="1" applyNumberFormat="1" applyFont="1" applyFill="1" applyBorder="1" applyAlignment="1">
      <alignment horizontal="center"/>
    </xf>
    <xf numFmtId="164" fontId="0" fillId="7" borderId="3" xfId="1" applyNumberFormat="1" applyFont="1" applyFill="1" applyBorder="1" applyAlignment="1">
      <alignment horizontal="center"/>
    </xf>
    <xf numFmtId="164" fontId="1" fillId="7" borderId="7" xfId="1" applyNumberFormat="1" applyFont="1" applyFill="1" applyBorder="1" applyAlignment="1">
      <alignment horizontal="center"/>
    </xf>
    <xf numFmtId="44" fontId="1" fillId="7" borderId="7" xfId="1" applyFont="1" applyFill="1" applyBorder="1" applyAlignment="1">
      <alignment horizontal="center"/>
    </xf>
    <xf numFmtId="0" fontId="0" fillId="7" borderId="7" xfId="0" applyFill="1" applyBorder="1" applyAlignment="1" applyProtection="1">
      <alignment horizontal="center"/>
      <protection hidden="1"/>
    </xf>
    <xf numFmtId="1" fontId="0" fillId="7" borderId="3" xfId="0" applyNumberFormat="1" applyFill="1" applyBorder="1" applyAlignment="1">
      <alignment horizontal="center"/>
    </xf>
    <xf numFmtId="44" fontId="23" fillId="7" borderId="7" xfId="0" applyNumberFormat="1" applyFon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13" fillId="2" borderId="0" xfId="0" applyFont="1" applyFill="1" applyAlignment="1">
      <alignment vertical="center"/>
    </xf>
    <xf numFmtId="164" fontId="13" fillId="2" borderId="0" xfId="1" applyNumberFormat="1" applyFont="1" applyFill="1" applyAlignment="1">
      <alignment horizontal="center"/>
    </xf>
    <xf numFmtId="0" fontId="3" fillId="2" borderId="0" xfId="0" applyFont="1" applyFill="1"/>
    <xf numFmtId="164" fontId="3" fillId="2" borderId="0" xfId="1" applyNumberFormat="1" applyFont="1" applyFill="1" applyAlignment="1">
      <alignment horizontal="center"/>
    </xf>
    <xf numFmtId="0" fontId="7" fillId="2" borderId="1" xfId="0" applyFont="1" applyFill="1" applyBorder="1"/>
    <xf numFmtId="0" fontId="0" fillId="2" borderId="5" xfId="0" applyFill="1" applyBorder="1"/>
    <xf numFmtId="0" fontId="0" fillId="2" borderId="2" xfId="0" applyFill="1" applyBorder="1"/>
    <xf numFmtId="0" fontId="29" fillId="2" borderId="31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/>
    </xf>
    <xf numFmtId="0" fontId="29" fillId="2" borderId="33" xfId="0" applyFont="1" applyFill="1" applyBorder="1" applyAlignment="1">
      <alignment horizontal="center"/>
    </xf>
    <xf numFmtId="0" fontId="13" fillId="3" borderId="31" xfId="0" applyFont="1" applyFill="1" applyBorder="1"/>
    <xf numFmtId="0" fontId="13" fillId="3" borderId="32" xfId="0" applyFont="1" applyFill="1" applyBorder="1"/>
    <xf numFmtId="0" fontId="13" fillId="3" borderId="33" xfId="0" applyFont="1" applyFill="1" applyBorder="1"/>
    <xf numFmtId="44" fontId="2" fillId="2" borderId="6" xfId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7" fillId="2" borderId="3" xfId="0" applyFont="1" applyFill="1" applyBorder="1"/>
    <xf numFmtId="0" fontId="0" fillId="2" borderId="3" xfId="0" applyFill="1" applyBorder="1"/>
    <xf numFmtId="0" fontId="7" fillId="2" borderId="0" xfId="0" applyFont="1" applyFill="1"/>
    <xf numFmtId="0" fontId="0" fillId="2" borderId="0" xfId="0" applyFill="1"/>
    <xf numFmtId="49" fontId="13" fillId="2" borderId="6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/>
    </xf>
    <xf numFmtId="0" fontId="31" fillId="11" borderId="5" xfId="0" applyFont="1" applyFill="1" applyBorder="1" applyAlignment="1">
      <alignment horizontal="center"/>
    </xf>
    <xf numFmtId="0" fontId="32" fillId="11" borderId="2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vertical="center"/>
    </xf>
    <xf numFmtId="0" fontId="15" fillId="5" borderId="9" xfId="0" applyFont="1" applyFill="1" applyBorder="1" applyAlignment="1">
      <alignment vertical="center"/>
    </xf>
    <xf numFmtId="0" fontId="15" fillId="5" borderId="10" xfId="0" applyFont="1" applyFill="1" applyBorder="1" applyAlignment="1">
      <alignment vertical="center"/>
    </xf>
    <xf numFmtId="0" fontId="15" fillId="5" borderId="16" xfId="0" applyFont="1" applyFill="1" applyBorder="1" applyAlignment="1">
      <alignment vertical="center"/>
    </xf>
    <xf numFmtId="0" fontId="15" fillId="5" borderId="17" xfId="0" applyFont="1" applyFill="1" applyBorder="1" applyAlignment="1">
      <alignment vertical="center"/>
    </xf>
    <xf numFmtId="0" fontId="15" fillId="5" borderId="18" xfId="0" applyFont="1" applyFill="1" applyBorder="1" applyAlignment="1">
      <alignment vertical="center"/>
    </xf>
    <xf numFmtId="0" fontId="22" fillId="8" borderId="19" xfId="0" applyFont="1" applyFill="1" applyBorder="1" applyAlignment="1">
      <alignment vertical="center"/>
    </xf>
    <xf numFmtId="0" fontId="0" fillId="0" borderId="7" xfId="0" applyBorder="1" applyAlignment="1">
      <alignment vertical="center"/>
    </xf>
  </cellXfs>
  <cellStyles count="3">
    <cellStyle name="Currency" xfId="1" builtinId="4"/>
    <cellStyle name="Normal" xfId="0" builtinId="0"/>
    <cellStyle name="Normal 2" xfId="2" xr:uid="{AA0F4CC9-3AD7-5F4C-89FD-97172E299244}"/>
  </cellStyles>
  <dxfs count="0"/>
  <tableStyles count="0" defaultTableStyle="TableStyleMedium2" defaultPivotStyle="PivotStyleLight16"/>
  <colors>
    <mruColors>
      <color rgb="FFF5F6E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1995674</xdr:colOff>
      <xdr:row>0</xdr:row>
      <xdr:rowOff>0</xdr:rowOff>
    </xdr:from>
    <xdr:to>
      <xdr:col>5</xdr:col>
      <xdr:colOff>70432</xdr:colOff>
      <xdr:row>8</xdr:row>
      <xdr:rowOff>217681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C804D-B276-E440-491C-6D413549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2154" y="0"/>
          <a:ext cx="2108278" cy="227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AEF-3381-6940-9B44-A5B656CFAA76}">
  <dimension ref="A1:T654"/>
  <sheetViews>
    <sheetView showGridLines="0" tabSelected="1" zoomScale="110" zoomScaleNormal="110" workbookViewId="0">
      <selection activeCell="L131" sqref="L131"/>
    </sheetView>
  </sheetViews>
  <sheetFormatPr baseColWidth="10" defaultRowHeight="16"/>
  <cols>
    <col min="1" max="1" width="10.83203125" style="3" customWidth="1"/>
    <col min="2" max="2" width="19.1640625" style="3" customWidth="1"/>
    <col min="3" max="3" width="17" style="3" customWidth="1"/>
    <col min="4" max="4" width="28.1640625" style="93" bestFit="1" customWidth="1"/>
    <col min="5" max="5" width="24.83203125" style="3" customWidth="1"/>
    <col min="6" max="6" width="14.6640625" style="73" bestFit="1" customWidth="1"/>
    <col min="7" max="7" width="13.83203125" style="73" bestFit="1" customWidth="1"/>
    <col min="8" max="8" width="14.1640625" style="3" bestFit="1" customWidth="1"/>
    <col min="9" max="9" width="10.33203125" style="3" bestFit="1" customWidth="1"/>
    <col min="10" max="10" width="11.6640625" style="3" bestFit="1" customWidth="1"/>
    <col min="11" max="11" width="11.5" style="3" customWidth="1"/>
    <col min="12" max="12" width="6.33203125" style="3" customWidth="1"/>
    <col min="13" max="16384" width="10.83203125" style="3"/>
  </cols>
  <sheetData>
    <row r="1" spans="2:10">
      <c r="B1" s="48" t="s">
        <v>75</v>
      </c>
      <c r="C1" s="48" t="s">
        <v>34</v>
      </c>
      <c r="D1" s="164"/>
      <c r="E1" s="48"/>
      <c r="F1" s="165"/>
      <c r="G1" s="165"/>
      <c r="H1" s="48"/>
      <c r="I1" s="48" t="s">
        <v>35</v>
      </c>
    </row>
    <row r="2" spans="2:10">
      <c r="B2" s="48" t="s">
        <v>75</v>
      </c>
      <c r="C2" s="48" t="s">
        <v>34</v>
      </c>
      <c r="D2" s="164"/>
      <c r="E2" s="48"/>
      <c r="F2" s="165"/>
      <c r="G2" s="165"/>
      <c r="H2" s="48"/>
      <c r="I2" s="48" t="s">
        <v>35</v>
      </c>
    </row>
    <row r="3" spans="2:10">
      <c r="B3" s="166"/>
      <c r="C3" s="48"/>
      <c r="D3" s="164"/>
      <c r="E3" s="166"/>
      <c r="F3" s="167"/>
      <c r="G3" s="167"/>
      <c r="H3" s="166"/>
      <c r="I3" s="166"/>
    </row>
    <row r="4" spans="2:10">
      <c r="C4" s="35"/>
    </row>
    <row r="5" spans="2:10">
      <c r="C5" s="35"/>
    </row>
    <row r="7" spans="2:10" ht="33">
      <c r="C7" s="36" t="s">
        <v>604</v>
      </c>
      <c r="D7" s="94"/>
      <c r="E7" s="37"/>
      <c r="F7" s="76"/>
      <c r="G7" s="74"/>
      <c r="H7" s="38"/>
      <c r="I7" s="39"/>
      <c r="J7" s="40"/>
    </row>
    <row r="8" spans="2:10" ht="33">
      <c r="C8" s="36"/>
      <c r="D8" s="94"/>
      <c r="E8" s="37"/>
      <c r="F8" s="76"/>
      <c r="H8" s="38"/>
      <c r="I8" s="39"/>
      <c r="J8" s="40"/>
    </row>
    <row r="9" spans="2:10" ht="33">
      <c r="C9" s="36"/>
      <c r="D9" s="94"/>
      <c r="E9" s="41" t="s">
        <v>92</v>
      </c>
      <c r="F9" s="83"/>
      <c r="G9" s="74"/>
      <c r="H9" s="38"/>
      <c r="I9" s="39"/>
      <c r="J9" s="40"/>
    </row>
    <row r="10" spans="2:10" ht="20" customHeight="1">
      <c r="C10" s="42"/>
      <c r="D10" s="94"/>
      <c r="E10" s="43" t="s">
        <v>81</v>
      </c>
      <c r="F10" s="84"/>
      <c r="G10" s="74"/>
      <c r="H10" s="38"/>
      <c r="I10" s="39"/>
      <c r="J10" s="40"/>
    </row>
    <row r="11" spans="2:10" ht="13" customHeight="1">
      <c r="C11" s="40"/>
      <c r="D11" s="91"/>
      <c r="E11" s="44"/>
      <c r="F11" s="75"/>
      <c r="G11" s="75"/>
      <c r="H11" s="44"/>
      <c r="I11" s="39"/>
      <c r="J11" s="40"/>
    </row>
    <row r="12" spans="2:10">
      <c r="C12" s="45"/>
      <c r="D12" s="94"/>
      <c r="E12" s="45"/>
      <c r="F12" s="76"/>
      <c r="G12" s="76"/>
      <c r="H12" s="45"/>
      <c r="I12" s="39"/>
      <c r="J12" s="40"/>
    </row>
    <row r="13" spans="2:10">
      <c r="C13" s="46" t="s">
        <v>38</v>
      </c>
      <c r="D13" s="95"/>
      <c r="E13" s="46" t="s">
        <v>39</v>
      </c>
      <c r="F13" s="168"/>
      <c r="G13" s="169"/>
      <c r="H13" s="170"/>
    </row>
    <row r="14" spans="2:10">
      <c r="C14" s="47" t="s">
        <v>2</v>
      </c>
      <c r="D14" s="95"/>
      <c r="E14" s="47" t="s">
        <v>2</v>
      </c>
      <c r="F14" s="168"/>
      <c r="G14" s="169"/>
      <c r="H14" s="170"/>
    </row>
    <row r="15" spans="2:10">
      <c r="C15" s="47" t="s">
        <v>3</v>
      </c>
      <c r="D15" s="95"/>
      <c r="E15" s="47" t="s">
        <v>3</v>
      </c>
      <c r="F15" s="168"/>
      <c r="G15" s="169"/>
      <c r="H15" s="170"/>
    </row>
    <row r="16" spans="2:10">
      <c r="C16" s="47" t="s">
        <v>4</v>
      </c>
      <c r="D16" s="95"/>
      <c r="E16" s="47" t="s">
        <v>4</v>
      </c>
      <c r="F16" s="168"/>
      <c r="G16" s="169"/>
      <c r="H16" s="170"/>
    </row>
    <row r="17" spans="2:13">
      <c r="B17" s="48"/>
      <c r="C17" s="47" t="s">
        <v>5</v>
      </c>
      <c r="D17" s="96"/>
      <c r="E17" s="47" t="s">
        <v>5</v>
      </c>
      <c r="F17" s="168"/>
      <c r="G17" s="169"/>
      <c r="H17" s="170"/>
    </row>
    <row r="18" spans="2:13">
      <c r="C18" s="47" t="s">
        <v>6</v>
      </c>
      <c r="D18" s="95"/>
      <c r="E18" s="47" t="s">
        <v>6</v>
      </c>
      <c r="F18" s="168"/>
      <c r="G18" s="169"/>
      <c r="H18" s="170"/>
    </row>
    <row r="19" spans="2:13">
      <c r="C19" s="47" t="s">
        <v>7</v>
      </c>
      <c r="D19" s="95"/>
      <c r="E19" s="47"/>
      <c r="F19" s="77"/>
      <c r="G19" s="77"/>
    </row>
    <row r="20" spans="2:13">
      <c r="C20" s="47" t="s">
        <v>8</v>
      </c>
      <c r="D20" s="95"/>
      <c r="E20" s="47" t="s">
        <v>26</v>
      </c>
      <c r="F20" s="179"/>
      <c r="G20" s="180"/>
      <c r="H20" s="180"/>
    </row>
    <row r="21" spans="2:13">
      <c r="C21" s="47"/>
      <c r="D21" s="97"/>
      <c r="E21" s="47"/>
      <c r="F21" s="179"/>
      <c r="G21" s="180"/>
      <c r="H21" s="180"/>
    </row>
    <row r="22" spans="2:13">
      <c r="C22" s="47"/>
      <c r="D22" s="97"/>
      <c r="E22" s="47"/>
      <c r="F22" s="179"/>
      <c r="G22" s="180"/>
      <c r="H22" s="180"/>
    </row>
    <row r="23" spans="2:13">
      <c r="C23" s="40"/>
      <c r="D23" s="98"/>
      <c r="E23" s="40"/>
      <c r="F23" s="77"/>
      <c r="G23" s="77"/>
      <c r="H23" s="181"/>
      <c r="I23" s="182"/>
      <c r="J23" s="182"/>
    </row>
    <row r="24" spans="2:13">
      <c r="C24" s="42"/>
      <c r="D24" s="92" t="s">
        <v>9</v>
      </c>
      <c r="E24" s="49">
        <f>SUM(I31:I222,I225:I279,I282:I331,I334:I357,I361:I411)</f>
        <v>0</v>
      </c>
      <c r="F24" s="78" t="s">
        <v>87</v>
      </c>
      <c r="G24" s="106">
        <f>SUM(J31:J222,J225:J279,J282:J331,J334:J357,J361:J411)</f>
        <v>0</v>
      </c>
    </row>
    <row r="25" spans="2:13">
      <c r="C25" s="40"/>
      <c r="D25" s="92" t="s">
        <v>10</v>
      </c>
      <c r="E25" s="50" t="s">
        <v>69</v>
      </c>
      <c r="F25" s="109" t="s">
        <v>11</v>
      </c>
      <c r="G25" s="107" t="s">
        <v>37</v>
      </c>
      <c r="H25" s="51"/>
      <c r="I25" s="40"/>
    </row>
    <row r="26" spans="2:13">
      <c r="C26" s="52"/>
      <c r="D26" s="99"/>
      <c r="E26" s="22"/>
      <c r="F26" s="105">
        <v>46296</v>
      </c>
      <c r="G26" s="108">
        <v>46038</v>
      </c>
      <c r="H26" s="39"/>
    </row>
    <row r="27" spans="2:13" ht="8" customHeight="1" thickBot="1">
      <c r="C27" s="52"/>
      <c r="D27" s="100"/>
      <c r="E27" s="53"/>
      <c r="F27" s="54"/>
      <c r="G27" s="55"/>
      <c r="H27" s="40"/>
      <c r="I27" s="39"/>
      <c r="J27" s="40"/>
      <c r="K27" s="40"/>
      <c r="L27" s="40"/>
      <c r="M27" s="40"/>
    </row>
    <row r="28" spans="2:13" ht="22" thickBot="1">
      <c r="B28" s="171" t="s">
        <v>525</v>
      </c>
      <c r="C28" s="172"/>
      <c r="D28" s="172"/>
      <c r="E28" s="172"/>
      <c r="F28" s="172"/>
      <c r="G28" s="172"/>
      <c r="H28" s="172"/>
      <c r="I28" s="172"/>
      <c r="J28" s="173"/>
    </row>
    <row r="29" spans="2:13" ht="17" thickBot="1">
      <c r="B29" s="174" t="s">
        <v>340</v>
      </c>
      <c r="C29" s="175"/>
      <c r="D29" s="175"/>
      <c r="E29" s="175"/>
      <c r="F29" s="175"/>
      <c r="G29" s="175"/>
      <c r="H29" s="175"/>
      <c r="I29" s="175"/>
      <c r="J29" s="176"/>
    </row>
    <row r="30" spans="2:13">
      <c r="B30" s="148" t="s">
        <v>75</v>
      </c>
      <c r="C30" s="135" t="s">
        <v>12</v>
      </c>
      <c r="D30" s="101" t="s">
        <v>13</v>
      </c>
      <c r="E30" s="135" t="s">
        <v>14</v>
      </c>
      <c r="F30" s="149" t="s">
        <v>79</v>
      </c>
      <c r="G30" s="149" t="s">
        <v>76</v>
      </c>
      <c r="H30" s="150" t="s">
        <v>28</v>
      </c>
      <c r="I30" s="151" t="s">
        <v>27</v>
      </c>
      <c r="J30" s="152" t="s">
        <v>16</v>
      </c>
    </row>
    <row r="31" spans="2:13">
      <c r="B31" s="32" t="s">
        <v>101</v>
      </c>
      <c r="C31" s="1" t="s">
        <v>102</v>
      </c>
      <c r="D31" s="187" t="s">
        <v>82</v>
      </c>
      <c r="E31" s="25" t="s">
        <v>103</v>
      </c>
      <c r="F31" s="153">
        <v>190</v>
      </c>
      <c r="G31" s="149">
        <f t="shared" ref="G31:G36" si="0">SUM(F31*2)</f>
        <v>380</v>
      </c>
      <c r="H31" s="150" t="s">
        <v>330</v>
      </c>
      <c r="I31" s="1"/>
      <c r="J31" s="136">
        <f>SUM(F31*I31)</f>
        <v>0</v>
      </c>
    </row>
    <row r="32" spans="2:13">
      <c r="B32" s="32" t="s">
        <v>104</v>
      </c>
      <c r="C32" s="1" t="s">
        <v>102</v>
      </c>
      <c r="D32" s="188"/>
      <c r="E32" s="25" t="s">
        <v>103</v>
      </c>
      <c r="F32" s="153">
        <v>190</v>
      </c>
      <c r="G32" s="149">
        <f t="shared" si="0"/>
        <v>380</v>
      </c>
      <c r="H32" s="120" t="s">
        <v>29</v>
      </c>
      <c r="I32" s="1"/>
      <c r="J32" s="136">
        <f t="shared" ref="J32:J95" si="1">SUM(F32*I32)</f>
        <v>0</v>
      </c>
    </row>
    <row r="33" spans="2:10">
      <c r="B33" s="32" t="s">
        <v>105</v>
      </c>
      <c r="C33" s="1" t="s">
        <v>102</v>
      </c>
      <c r="D33" s="188"/>
      <c r="E33" s="25" t="s">
        <v>103</v>
      </c>
      <c r="F33" s="153">
        <v>190</v>
      </c>
      <c r="G33" s="149">
        <f t="shared" si="0"/>
        <v>380</v>
      </c>
      <c r="H33" s="120" t="s">
        <v>30</v>
      </c>
      <c r="I33" s="1"/>
      <c r="J33" s="136">
        <f t="shared" si="1"/>
        <v>0</v>
      </c>
    </row>
    <row r="34" spans="2:10">
      <c r="B34" s="32" t="s">
        <v>106</v>
      </c>
      <c r="C34" s="1" t="s">
        <v>102</v>
      </c>
      <c r="D34" s="188"/>
      <c r="E34" s="25" t="s">
        <v>103</v>
      </c>
      <c r="F34" s="153">
        <v>190</v>
      </c>
      <c r="G34" s="149">
        <f t="shared" si="0"/>
        <v>380</v>
      </c>
      <c r="H34" s="120" t="s">
        <v>31</v>
      </c>
      <c r="I34" s="1"/>
      <c r="J34" s="136">
        <f t="shared" si="1"/>
        <v>0</v>
      </c>
    </row>
    <row r="35" spans="2:10">
      <c r="B35" s="32" t="s">
        <v>107</v>
      </c>
      <c r="C35" s="1" t="s">
        <v>102</v>
      </c>
      <c r="D35" s="188"/>
      <c r="E35" s="25" t="s">
        <v>103</v>
      </c>
      <c r="F35" s="153">
        <v>190</v>
      </c>
      <c r="G35" s="149">
        <f t="shared" si="0"/>
        <v>380</v>
      </c>
      <c r="H35" s="120" t="s">
        <v>32</v>
      </c>
      <c r="I35" s="1"/>
      <c r="J35" s="136">
        <f t="shared" si="1"/>
        <v>0</v>
      </c>
    </row>
    <row r="36" spans="2:10">
      <c r="B36" s="32" t="s">
        <v>108</v>
      </c>
      <c r="C36" s="1" t="s">
        <v>102</v>
      </c>
      <c r="D36" s="189"/>
      <c r="E36" s="25" t="s">
        <v>103</v>
      </c>
      <c r="F36" s="153">
        <v>190</v>
      </c>
      <c r="G36" s="149">
        <f t="shared" si="0"/>
        <v>380</v>
      </c>
      <c r="H36" s="120" t="s">
        <v>15</v>
      </c>
      <c r="I36" s="1"/>
      <c r="J36" s="136">
        <f t="shared" si="1"/>
        <v>0</v>
      </c>
    </row>
    <row r="37" spans="2:10">
      <c r="B37" s="114" t="s">
        <v>93</v>
      </c>
      <c r="C37" s="115" t="s">
        <v>94</v>
      </c>
      <c r="D37" s="184" t="s">
        <v>82</v>
      </c>
      <c r="E37" s="116" t="s">
        <v>95</v>
      </c>
      <c r="F37" s="157">
        <v>190</v>
      </c>
      <c r="G37" s="158">
        <f>SUM(F37*2)</f>
        <v>380</v>
      </c>
      <c r="H37" s="159" t="s">
        <v>330</v>
      </c>
      <c r="I37" s="1"/>
      <c r="J37" s="136">
        <f t="shared" si="1"/>
        <v>0</v>
      </c>
    </row>
    <row r="38" spans="2:10">
      <c r="B38" s="114" t="s">
        <v>96</v>
      </c>
      <c r="C38" s="115" t="s">
        <v>94</v>
      </c>
      <c r="D38" s="185"/>
      <c r="E38" s="116" t="s">
        <v>95</v>
      </c>
      <c r="F38" s="157">
        <v>190</v>
      </c>
      <c r="G38" s="158">
        <f t="shared" ref="G38:G102" si="2">SUM(F38*2)</f>
        <v>380</v>
      </c>
      <c r="H38" s="160" t="s">
        <v>29</v>
      </c>
      <c r="I38" s="1"/>
      <c r="J38" s="136">
        <f t="shared" si="1"/>
        <v>0</v>
      </c>
    </row>
    <row r="39" spans="2:10">
      <c r="B39" s="114" t="s">
        <v>97</v>
      </c>
      <c r="C39" s="115" t="s">
        <v>94</v>
      </c>
      <c r="D39" s="185"/>
      <c r="E39" s="116" t="s">
        <v>95</v>
      </c>
      <c r="F39" s="157">
        <v>190</v>
      </c>
      <c r="G39" s="158">
        <f t="shared" si="2"/>
        <v>380</v>
      </c>
      <c r="H39" s="118" t="s">
        <v>30</v>
      </c>
      <c r="I39" s="1"/>
      <c r="J39" s="136">
        <f t="shared" si="1"/>
        <v>0</v>
      </c>
    </row>
    <row r="40" spans="2:10">
      <c r="B40" s="114" t="s">
        <v>98</v>
      </c>
      <c r="C40" s="115" t="s">
        <v>94</v>
      </c>
      <c r="D40" s="185"/>
      <c r="E40" s="116" t="s">
        <v>95</v>
      </c>
      <c r="F40" s="157">
        <v>190</v>
      </c>
      <c r="G40" s="158">
        <f t="shared" si="2"/>
        <v>380</v>
      </c>
      <c r="H40" s="118" t="s">
        <v>31</v>
      </c>
      <c r="I40" s="1"/>
      <c r="J40" s="136">
        <f t="shared" si="1"/>
        <v>0</v>
      </c>
    </row>
    <row r="41" spans="2:10">
      <c r="B41" s="114" t="s">
        <v>99</v>
      </c>
      <c r="C41" s="115" t="s">
        <v>94</v>
      </c>
      <c r="D41" s="185"/>
      <c r="E41" s="116" t="s">
        <v>95</v>
      </c>
      <c r="F41" s="157">
        <v>190</v>
      </c>
      <c r="G41" s="158">
        <f t="shared" si="2"/>
        <v>380</v>
      </c>
      <c r="H41" s="118" t="s">
        <v>32</v>
      </c>
      <c r="I41" s="1"/>
      <c r="J41" s="136">
        <f t="shared" si="1"/>
        <v>0</v>
      </c>
    </row>
    <row r="42" spans="2:10">
      <c r="B42" s="114" t="s">
        <v>100</v>
      </c>
      <c r="C42" s="115" t="s">
        <v>94</v>
      </c>
      <c r="D42" s="186"/>
      <c r="E42" s="116" t="s">
        <v>95</v>
      </c>
      <c r="F42" s="157">
        <v>190</v>
      </c>
      <c r="G42" s="158">
        <f t="shared" si="2"/>
        <v>380</v>
      </c>
      <c r="H42" s="118" t="s">
        <v>15</v>
      </c>
      <c r="I42" s="1"/>
      <c r="J42" s="136">
        <f t="shared" si="1"/>
        <v>0</v>
      </c>
    </row>
    <row r="43" spans="2:10">
      <c r="B43" s="32" t="s">
        <v>109</v>
      </c>
      <c r="C43" s="1" t="s">
        <v>110</v>
      </c>
      <c r="D43" s="187" t="s">
        <v>82</v>
      </c>
      <c r="E43" s="25" t="s">
        <v>111</v>
      </c>
      <c r="F43" s="153">
        <v>190</v>
      </c>
      <c r="G43" s="149">
        <f t="shared" si="2"/>
        <v>380</v>
      </c>
      <c r="H43" s="150" t="s">
        <v>330</v>
      </c>
      <c r="I43" s="1"/>
      <c r="J43" s="136">
        <f t="shared" si="1"/>
        <v>0</v>
      </c>
    </row>
    <row r="44" spans="2:10" ht="16" customHeight="1">
      <c r="B44" s="32" t="s">
        <v>112</v>
      </c>
      <c r="C44" s="1" t="s">
        <v>110</v>
      </c>
      <c r="D44" s="188"/>
      <c r="E44" s="25" t="s">
        <v>111</v>
      </c>
      <c r="F44" s="153">
        <v>190</v>
      </c>
      <c r="G44" s="149">
        <f t="shared" si="2"/>
        <v>380</v>
      </c>
      <c r="H44" s="120" t="s">
        <v>29</v>
      </c>
      <c r="I44" s="1"/>
      <c r="J44" s="136">
        <f t="shared" si="1"/>
        <v>0</v>
      </c>
    </row>
    <row r="45" spans="2:10" ht="16" customHeight="1">
      <c r="B45" s="32" t="s">
        <v>113</v>
      </c>
      <c r="C45" s="1" t="s">
        <v>110</v>
      </c>
      <c r="D45" s="188"/>
      <c r="E45" s="25" t="s">
        <v>111</v>
      </c>
      <c r="F45" s="153">
        <v>190</v>
      </c>
      <c r="G45" s="149">
        <f t="shared" si="2"/>
        <v>380</v>
      </c>
      <c r="H45" s="120" t="s">
        <v>30</v>
      </c>
      <c r="I45" s="1"/>
      <c r="J45" s="136">
        <f t="shared" si="1"/>
        <v>0</v>
      </c>
    </row>
    <row r="46" spans="2:10" ht="16" customHeight="1">
      <c r="B46" s="32" t="s">
        <v>114</v>
      </c>
      <c r="C46" s="1" t="s">
        <v>110</v>
      </c>
      <c r="D46" s="188"/>
      <c r="E46" s="25" t="s">
        <v>111</v>
      </c>
      <c r="F46" s="153">
        <v>190</v>
      </c>
      <c r="G46" s="149">
        <f t="shared" si="2"/>
        <v>380</v>
      </c>
      <c r="H46" s="120" t="s">
        <v>31</v>
      </c>
      <c r="I46" s="1"/>
      <c r="J46" s="136">
        <f t="shared" si="1"/>
        <v>0</v>
      </c>
    </row>
    <row r="47" spans="2:10" ht="16" customHeight="1">
      <c r="B47" s="32" t="s">
        <v>115</v>
      </c>
      <c r="C47" s="1" t="s">
        <v>110</v>
      </c>
      <c r="D47" s="188"/>
      <c r="E47" s="25" t="s">
        <v>111</v>
      </c>
      <c r="F47" s="153">
        <v>190</v>
      </c>
      <c r="G47" s="149">
        <f t="shared" si="2"/>
        <v>380</v>
      </c>
      <c r="H47" s="120" t="s">
        <v>32</v>
      </c>
      <c r="I47" s="1"/>
      <c r="J47" s="136">
        <f t="shared" si="1"/>
        <v>0</v>
      </c>
    </row>
    <row r="48" spans="2:10" ht="16" customHeight="1">
      <c r="B48" s="32" t="s">
        <v>116</v>
      </c>
      <c r="C48" s="1" t="s">
        <v>110</v>
      </c>
      <c r="D48" s="189"/>
      <c r="E48" s="25" t="s">
        <v>111</v>
      </c>
      <c r="F48" s="153">
        <v>190</v>
      </c>
      <c r="G48" s="149">
        <f t="shared" si="2"/>
        <v>380</v>
      </c>
      <c r="H48" s="120" t="s">
        <v>15</v>
      </c>
      <c r="I48" s="1"/>
      <c r="J48" s="136">
        <f t="shared" si="1"/>
        <v>0</v>
      </c>
    </row>
    <row r="49" spans="2:10" ht="16" customHeight="1">
      <c r="B49" s="114" t="s">
        <v>134</v>
      </c>
      <c r="C49" s="115" t="s">
        <v>135</v>
      </c>
      <c r="D49" s="184" t="s">
        <v>136</v>
      </c>
      <c r="E49" s="116" t="s">
        <v>17</v>
      </c>
      <c r="F49" s="157">
        <v>180</v>
      </c>
      <c r="G49" s="158">
        <f t="shared" ref="G49:G60" si="3">SUM(F49*2)</f>
        <v>360</v>
      </c>
      <c r="H49" s="159" t="s">
        <v>330</v>
      </c>
      <c r="I49" s="1"/>
      <c r="J49" s="136">
        <f t="shared" si="1"/>
        <v>0</v>
      </c>
    </row>
    <row r="50" spans="2:10" ht="16" customHeight="1">
      <c r="B50" s="114" t="s">
        <v>137</v>
      </c>
      <c r="C50" s="115" t="s">
        <v>135</v>
      </c>
      <c r="D50" s="185"/>
      <c r="E50" s="116" t="s">
        <v>17</v>
      </c>
      <c r="F50" s="157">
        <v>180</v>
      </c>
      <c r="G50" s="158">
        <f t="shared" si="3"/>
        <v>360</v>
      </c>
      <c r="H50" s="118" t="s">
        <v>29</v>
      </c>
      <c r="I50" s="1"/>
      <c r="J50" s="136">
        <f t="shared" si="1"/>
        <v>0</v>
      </c>
    </row>
    <row r="51" spans="2:10" ht="16" customHeight="1">
      <c r="B51" s="114" t="s">
        <v>138</v>
      </c>
      <c r="C51" s="115" t="s">
        <v>135</v>
      </c>
      <c r="D51" s="185"/>
      <c r="E51" s="116" t="s">
        <v>17</v>
      </c>
      <c r="F51" s="157">
        <v>180</v>
      </c>
      <c r="G51" s="158">
        <f t="shared" si="3"/>
        <v>360</v>
      </c>
      <c r="H51" s="118" t="s">
        <v>30</v>
      </c>
      <c r="I51" s="1"/>
      <c r="J51" s="136">
        <f t="shared" si="1"/>
        <v>0</v>
      </c>
    </row>
    <row r="52" spans="2:10" ht="16" customHeight="1">
      <c r="B52" s="114" t="s">
        <v>139</v>
      </c>
      <c r="C52" s="115" t="s">
        <v>135</v>
      </c>
      <c r="D52" s="185"/>
      <c r="E52" s="116" t="s">
        <v>17</v>
      </c>
      <c r="F52" s="157">
        <v>180</v>
      </c>
      <c r="G52" s="158">
        <f t="shared" si="3"/>
        <v>360</v>
      </c>
      <c r="H52" s="118" t="s">
        <v>31</v>
      </c>
      <c r="I52" s="1"/>
      <c r="J52" s="136">
        <f t="shared" si="1"/>
        <v>0</v>
      </c>
    </row>
    <row r="53" spans="2:10" ht="16" customHeight="1">
      <c r="B53" s="114" t="s">
        <v>140</v>
      </c>
      <c r="C53" s="115" t="s">
        <v>135</v>
      </c>
      <c r="D53" s="185"/>
      <c r="E53" s="116" t="s">
        <v>17</v>
      </c>
      <c r="F53" s="157">
        <v>180</v>
      </c>
      <c r="G53" s="158">
        <f t="shared" si="3"/>
        <v>360</v>
      </c>
      <c r="H53" s="118" t="s">
        <v>32</v>
      </c>
      <c r="I53" s="1"/>
      <c r="J53" s="136">
        <f t="shared" si="1"/>
        <v>0</v>
      </c>
    </row>
    <row r="54" spans="2:10" ht="16" customHeight="1">
      <c r="B54" s="114" t="s">
        <v>141</v>
      </c>
      <c r="C54" s="115" t="s">
        <v>135</v>
      </c>
      <c r="D54" s="186"/>
      <c r="E54" s="116" t="s">
        <v>17</v>
      </c>
      <c r="F54" s="157">
        <v>180</v>
      </c>
      <c r="G54" s="158">
        <f t="shared" si="3"/>
        <v>360</v>
      </c>
      <c r="H54" s="118" t="s">
        <v>15</v>
      </c>
      <c r="I54" s="1"/>
      <c r="J54" s="136">
        <f t="shared" si="1"/>
        <v>0</v>
      </c>
    </row>
    <row r="55" spans="2:10" ht="16" customHeight="1">
      <c r="B55" s="32" t="s">
        <v>142</v>
      </c>
      <c r="C55" s="1" t="s">
        <v>143</v>
      </c>
      <c r="D55" s="187" t="s">
        <v>136</v>
      </c>
      <c r="E55" s="25" t="s">
        <v>144</v>
      </c>
      <c r="F55" s="153">
        <v>180</v>
      </c>
      <c r="G55" s="149">
        <f t="shared" si="3"/>
        <v>360</v>
      </c>
      <c r="H55" s="150" t="s">
        <v>330</v>
      </c>
      <c r="I55" s="1"/>
      <c r="J55" s="136">
        <f t="shared" si="1"/>
        <v>0</v>
      </c>
    </row>
    <row r="56" spans="2:10" ht="16" customHeight="1">
      <c r="B56" s="32" t="s">
        <v>145</v>
      </c>
      <c r="C56" s="1" t="s">
        <v>143</v>
      </c>
      <c r="D56" s="188"/>
      <c r="E56" s="25" t="s">
        <v>144</v>
      </c>
      <c r="F56" s="153">
        <v>180</v>
      </c>
      <c r="G56" s="149">
        <f t="shared" si="3"/>
        <v>360</v>
      </c>
      <c r="H56" s="120" t="s">
        <v>29</v>
      </c>
      <c r="I56" s="1"/>
      <c r="J56" s="136">
        <f t="shared" si="1"/>
        <v>0</v>
      </c>
    </row>
    <row r="57" spans="2:10" ht="16" customHeight="1">
      <c r="B57" s="32" t="s">
        <v>146</v>
      </c>
      <c r="C57" s="1" t="s">
        <v>143</v>
      </c>
      <c r="D57" s="188"/>
      <c r="E57" s="25" t="s">
        <v>144</v>
      </c>
      <c r="F57" s="153">
        <v>180</v>
      </c>
      <c r="G57" s="149">
        <f t="shared" si="3"/>
        <v>360</v>
      </c>
      <c r="H57" s="120" t="s">
        <v>30</v>
      </c>
      <c r="I57" s="1"/>
      <c r="J57" s="136">
        <f t="shared" si="1"/>
        <v>0</v>
      </c>
    </row>
    <row r="58" spans="2:10" ht="16" customHeight="1">
      <c r="B58" s="32" t="s">
        <v>147</v>
      </c>
      <c r="C58" s="1" t="s">
        <v>143</v>
      </c>
      <c r="D58" s="188"/>
      <c r="E58" s="25" t="s">
        <v>144</v>
      </c>
      <c r="F58" s="153">
        <v>180</v>
      </c>
      <c r="G58" s="149">
        <f t="shared" si="3"/>
        <v>360</v>
      </c>
      <c r="H58" s="120" t="s">
        <v>31</v>
      </c>
      <c r="I58" s="1"/>
      <c r="J58" s="136">
        <f t="shared" si="1"/>
        <v>0</v>
      </c>
    </row>
    <row r="59" spans="2:10" ht="16" customHeight="1">
      <c r="B59" s="32" t="s">
        <v>148</v>
      </c>
      <c r="C59" s="1" t="s">
        <v>143</v>
      </c>
      <c r="D59" s="188"/>
      <c r="E59" s="25" t="s">
        <v>144</v>
      </c>
      <c r="F59" s="153">
        <v>180</v>
      </c>
      <c r="G59" s="149">
        <f t="shared" si="3"/>
        <v>360</v>
      </c>
      <c r="H59" s="120" t="s">
        <v>32</v>
      </c>
      <c r="I59" s="1"/>
      <c r="J59" s="136">
        <f t="shared" si="1"/>
        <v>0</v>
      </c>
    </row>
    <row r="60" spans="2:10" ht="16" customHeight="1">
      <c r="B60" s="32" t="s">
        <v>149</v>
      </c>
      <c r="C60" s="1" t="s">
        <v>143</v>
      </c>
      <c r="D60" s="189"/>
      <c r="E60" s="25" t="s">
        <v>144</v>
      </c>
      <c r="F60" s="153">
        <v>180</v>
      </c>
      <c r="G60" s="149">
        <f t="shared" si="3"/>
        <v>360</v>
      </c>
      <c r="H60" s="120" t="s">
        <v>15</v>
      </c>
      <c r="I60" s="1"/>
      <c r="J60" s="136">
        <f t="shared" si="1"/>
        <v>0</v>
      </c>
    </row>
    <row r="61" spans="2:10" ht="16" customHeight="1">
      <c r="B61" s="114" t="s">
        <v>150</v>
      </c>
      <c r="C61" s="115" t="s">
        <v>151</v>
      </c>
      <c r="D61" s="184" t="s">
        <v>136</v>
      </c>
      <c r="E61" s="116" t="s">
        <v>152</v>
      </c>
      <c r="F61" s="157">
        <v>180</v>
      </c>
      <c r="G61" s="158">
        <f t="shared" ref="G61:G96" si="4">SUM(F61*2)</f>
        <v>360</v>
      </c>
      <c r="H61" s="159" t="s">
        <v>330</v>
      </c>
      <c r="I61" s="1"/>
      <c r="J61" s="136">
        <f t="shared" si="1"/>
        <v>0</v>
      </c>
    </row>
    <row r="62" spans="2:10" ht="16" customHeight="1">
      <c r="B62" s="114" t="s">
        <v>153</v>
      </c>
      <c r="C62" s="115" t="s">
        <v>151</v>
      </c>
      <c r="D62" s="185"/>
      <c r="E62" s="116" t="s">
        <v>152</v>
      </c>
      <c r="F62" s="157">
        <v>180</v>
      </c>
      <c r="G62" s="158">
        <f t="shared" si="4"/>
        <v>360</v>
      </c>
      <c r="H62" s="118" t="s">
        <v>29</v>
      </c>
      <c r="I62" s="1"/>
      <c r="J62" s="136">
        <f t="shared" si="1"/>
        <v>0</v>
      </c>
    </row>
    <row r="63" spans="2:10" ht="16" customHeight="1">
      <c r="B63" s="114" t="s">
        <v>154</v>
      </c>
      <c r="C63" s="115" t="s">
        <v>151</v>
      </c>
      <c r="D63" s="185"/>
      <c r="E63" s="116" t="s">
        <v>152</v>
      </c>
      <c r="F63" s="157">
        <v>180</v>
      </c>
      <c r="G63" s="158">
        <f t="shared" si="4"/>
        <v>360</v>
      </c>
      <c r="H63" s="118" t="s">
        <v>30</v>
      </c>
      <c r="I63" s="1"/>
      <c r="J63" s="136">
        <f t="shared" si="1"/>
        <v>0</v>
      </c>
    </row>
    <row r="64" spans="2:10" ht="16" customHeight="1">
      <c r="B64" s="114" t="s">
        <v>155</v>
      </c>
      <c r="C64" s="115" t="s">
        <v>151</v>
      </c>
      <c r="D64" s="185"/>
      <c r="E64" s="116" t="s">
        <v>152</v>
      </c>
      <c r="F64" s="157">
        <v>180</v>
      </c>
      <c r="G64" s="158">
        <f t="shared" si="4"/>
        <v>360</v>
      </c>
      <c r="H64" s="118" t="s">
        <v>31</v>
      </c>
      <c r="I64" s="1"/>
      <c r="J64" s="136">
        <f t="shared" si="1"/>
        <v>0</v>
      </c>
    </row>
    <row r="65" spans="2:10" ht="16" customHeight="1">
      <c r="B65" s="114" t="s">
        <v>156</v>
      </c>
      <c r="C65" s="115" t="s">
        <v>151</v>
      </c>
      <c r="D65" s="185"/>
      <c r="E65" s="116" t="s">
        <v>152</v>
      </c>
      <c r="F65" s="157">
        <v>180</v>
      </c>
      <c r="G65" s="158">
        <f t="shared" si="4"/>
        <v>360</v>
      </c>
      <c r="H65" s="118" t="s">
        <v>32</v>
      </c>
      <c r="I65" s="1"/>
      <c r="J65" s="136">
        <f t="shared" si="1"/>
        <v>0</v>
      </c>
    </row>
    <row r="66" spans="2:10" ht="16" customHeight="1">
      <c r="B66" s="114" t="s">
        <v>157</v>
      </c>
      <c r="C66" s="115" t="s">
        <v>151</v>
      </c>
      <c r="D66" s="186"/>
      <c r="E66" s="116" t="s">
        <v>152</v>
      </c>
      <c r="F66" s="157">
        <v>180</v>
      </c>
      <c r="G66" s="158">
        <f t="shared" si="4"/>
        <v>360</v>
      </c>
      <c r="H66" s="118" t="s">
        <v>15</v>
      </c>
      <c r="I66" s="1"/>
      <c r="J66" s="136">
        <f t="shared" si="1"/>
        <v>0</v>
      </c>
    </row>
    <row r="67" spans="2:10" ht="16" customHeight="1">
      <c r="B67" s="32" t="s">
        <v>127</v>
      </c>
      <c r="C67" s="1" t="s">
        <v>128</v>
      </c>
      <c r="D67" s="187" t="s">
        <v>83</v>
      </c>
      <c r="E67" s="25" t="s">
        <v>19</v>
      </c>
      <c r="F67" s="153">
        <v>135</v>
      </c>
      <c r="G67" s="149">
        <f t="shared" ref="G67:G72" si="5">SUM(F67*2)</f>
        <v>270</v>
      </c>
      <c r="H67" s="150" t="s">
        <v>330</v>
      </c>
      <c r="I67" s="1"/>
      <c r="J67" s="136">
        <f t="shared" si="1"/>
        <v>0</v>
      </c>
    </row>
    <row r="68" spans="2:10" ht="16" customHeight="1">
      <c r="B68" s="32" t="s">
        <v>129</v>
      </c>
      <c r="C68" s="1" t="s">
        <v>128</v>
      </c>
      <c r="D68" s="188"/>
      <c r="E68" s="25" t="s">
        <v>19</v>
      </c>
      <c r="F68" s="153">
        <v>135</v>
      </c>
      <c r="G68" s="149">
        <f t="shared" si="5"/>
        <v>270</v>
      </c>
      <c r="H68" s="154" t="s">
        <v>29</v>
      </c>
      <c r="I68" s="1"/>
      <c r="J68" s="136">
        <f t="shared" si="1"/>
        <v>0</v>
      </c>
    </row>
    <row r="69" spans="2:10" ht="16" customHeight="1">
      <c r="B69" s="32" t="s">
        <v>130</v>
      </c>
      <c r="C69" s="1" t="s">
        <v>128</v>
      </c>
      <c r="D69" s="188"/>
      <c r="E69" s="25" t="s">
        <v>19</v>
      </c>
      <c r="F69" s="153">
        <v>135</v>
      </c>
      <c r="G69" s="149">
        <f t="shared" si="5"/>
        <v>270</v>
      </c>
      <c r="H69" s="120" t="s">
        <v>30</v>
      </c>
      <c r="I69" s="1"/>
      <c r="J69" s="136">
        <f t="shared" si="1"/>
        <v>0</v>
      </c>
    </row>
    <row r="70" spans="2:10" ht="16" customHeight="1">
      <c r="B70" s="32" t="s">
        <v>131</v>
      </c>
      <c r="C70" s="1" t="s">
        <v>128</v>
      </c>
      <c r="D70" s="188"/>
      <c r="E70" s="25" t="s">
        <v>19</v>
      </c>
      <c r="F70" s="153">
        <v>135</v>
      </c>
      <c r="G70" s="149">
        <f t="shared" si="5"/>
        <v>270</v>
      </c>
      <c r="H70" s="120" t="s">
        <v>31</v>
      </c>
      <c r="I70" s="1"/>
      <c r="J70" s="136">
        <f t="shared" si="1"/>
        <v>0</v>
      </c>
    </row>
    <row r="71" spans="2:10" ht="16" customHeight="1">
      <c r="B71" s="32" t="s">
        <v>132</v>
      </c>
      <c r="C71" s="1" t="s">
        <v>128</v>
      </c>
      <c r="D71" s="188"/>
      <c r="E71" s="25" t="s">
        <v>19</v>
      </c>
      <c r="F71" s="153">
        <v>135</v>
      </c>
      <c r="G71" s="149">
        <f t="shared" si="5"/>
        <v>270</v>
      </c>
      <c r="H71" s="120" t="s">
        <v>32</v>
      </c>
      <c r="I71" s="1"/>
      <c r="J71" s="136">
        <f t="shared" si="1"/>
        <v>0</v>
      </c>
    </row>
    <row r="72" spans="2:10" ht="16" customHeight="1">
      <c r="B72" s="32" t="s">
        <v>133</v>
      </c>
      <c r="C72" s="1" t="s">
        <v>128</v>
      </c>
      <c r="D72" s="189"/>
      <c r="E72" s="25" t="s">
        <v>19</v>
      </c>
      <c r="F72" s="153">
        <v>135</v>
      </c>
      <c r="G72" s="149">
        <f t="shared" si="5"/>
        <v>270</v>
      </c>
      <c r="H72" s="120" t="s">
        <v>15</v>
      </c>
      <c r="I72" s="1"/>
      <c r="J72" s="136">
        <f t="shared" si="1"/>
        <v>0</v>
      </c>
    </row>
    <row r="73" spans="2:10" ht="16" customHeight="1">
      <c r="B73" s="114" t="s">
        <v>125</v>
      </c>
      <c r="C73" s="115" t="s">
        <v>126</v>
      </c>
      <c r="D73" s="184" t="s">
        <v>83</v>
      </c>
      <c r="E73" s="116" t="s">
        <v>17</v>
      </c>
      <c r="F73" s="157">
        <v>135</v>
      </c>
      <c r="G73" s="158">
        <f t="shared" si="4"/>
        <v>270</v>
      </c>
      <c r="H73" s="159" t="s">
        <v>330</v>
      </c>
      <c r="I73" s="1"/>
      <c r="J73" s="136">
        <f t="shared" si="1"/>
        <v>0</v>
      </c>
    </row>
    <row r="74" spans="2:10" ht="16" customHeight="1">
      <c r="B74" s="161">
        <v>810183360200</v>
      </c>
      <c r="C74" s="115" t="s">
        <v>126</v>
      </c>
      <c r="D74" s="185"/>
      <c r="E74" s="116" t="s">
        <v>17</v>
      </c>
      <c r="F74" s="157">
        <v>135</v>
      </c>
      <c r="G74" s="158">
        <f t="shared" si="4"/>
        <v>270</v>
      </c>
      <c r="H74" s="118" t="s">
        <v>29</v>
      </c>
      <c r="I74" s="1"/>
      <c r="J74" s="136">
        <f t="shared" si="1"/>
        <v>0</v>
      </c>
    </row>
    <row r="75" spans="2:10" ht="16" customHeight="1">
      <c r="B75" s="161">
        <v>810183360217</v>
      </c>
      <c r="C75" s="115" t="s">
        <v>126</v>
      </c>
      <c r="D75" s="185"/>
      <c r="E75" s="116" t="s">
        <v>17</v>
      </c>
      <c r="F75" s="157">
        <v>135</v>
      </c>
      <c r="G75" s="158">
        <f t="shared" si="4"/>
        <v>270</v>
      </c>
      <c r="H75" s="118" t="s">
        <v>30</v>
      </c>
      <c r="I75" s="1"/>
      <c r="J75" s="136">
        <f t="shared" si="1"/>
        <v>0</v>
      </c>
    </row>
    <row r="76" spans="2:10" ht="16" customHeight="1">
      <c r="B76" s="161">
        <v>810183360224</v>
      </c>
      <c r="C76" s="115" t="s">
        <v>126</v>
      </c>
      <c r="D76" s="185"/>
      <c r="E76" s="116" t="s">
        <v>17</v>
      </c>
      <c r="F76" s="157">
        <v>135</v>
      </c>
      <c r="G76" s="158">
        <f t="shared" si="4"/>
        <v>270</v>
      </c>
      <c r="H76" s="118" t="s">
        <v>31</v>
      </c>
      <c r="I76" s="1"/>
      <c r="J76" s="136">
        <f t="shared" si="1"/>
        <v>0</v>
      </c>
    </row>
    <row r="77" spans="2:10" ht="16" customHeight="1">
      <c r="B77" s="161">
        <v>810183360231</v>
      </c>
      <c r="C77" s="115" t="s">
        <v>126</v>
      </c>
      <c r="D77" s="185"/>
      <c r="E77" s="116" t="s">
        <v>17</v>
      </c>
      <c r="F77" s="157">
        <v>135</v>
      </c>
      <c r="G77" s="158">
        <f t="shared" si="4"/>
        <v>270</v>
      </c>
      <c r="H77" s="118" t="s">
        <v>32</v>
      </c>
      <c r="I77" s="1"/>
      <c r="J77" s="136">
        <f t="shared" si="1"/>
        <v>0</v>
      </c>
    </row>
    <row r="78" spans="2:10" ht="16" customHeight="1">
      <c r="B78" s="161">
        <v>810183360248</v>
      </c>
      <c r="C78" s="115" t="s">
        <v>126</v>
      </c>
      <c r="D78" s="186"/>
      <c r="E78" s="116" t="s">
        <v>17</v>
      </c>
      <c r="F78" s="157">
        <v>135</v>
      </c>
      <c r="G78" s="158">
        <f t="shared" si="4"/>
        <v>270</v>
      </c>
      <c r="H78" s="118" t="s">
        <v>15</v>
      </c>
      <c r="I78" s="1"/>
      <c r="J78" s="136">
        <f t="shared" si="1"/>
        <v>0</v>
      </c>
    </row>
    <row r="79" spans="2:10" ht="16" customHeight="1">
      <c r="B79" s="32" t="s">
        <v>173</v>
      </c>
      <c r="C79" s="1" t="s">
        <v>174</v>
      </c>
      <c r="D79" s="187" t="s">
        <v>160</v>
      </c>
      <c r="E79" s="25" t="s">
        <v>144</v>
      </c>
      <c r="F79" s="153">
        <v>140</v>
      </c>
      <c r="G79" s="149">
        <f t="shared" ref="G79:G84" si="6">SUM(F79*2)</f>
        <v>280</v>
      </c>
      <c r="H79" s="150" t="s">
        <v>330</v>
      </c>
      <c r="I79" s="1"/>
      <c r="J79" s="136">
        <f t="shared" si="1"/>
        <v>0</v>
      </c>
    </row>
    <row r="80" spans="2:10" ht="16" customHeight="1">
      <c r="B80" s="32" t="s">
        <v>175</v>
      </c>
      <c r="C80" s="1" t="s">
        <v>174</v>
      </c>
      <c r="D80" s="188"/>
      <c r="E80" s="25" t="s">
        <v>144</v>
      </c>
      <c r="F80" s="153">
        <v>140</v>
      </c>
      <c r="G80" s="149">
        <f t="shared" si="6"/>
        <v>280</v>
      </c>
      <c r="H80" s="120" t="s">
        <v>29</v>
      </c>
      <c r="I80" s="1"/>
      <c r="J80" s="136">
        <f t="shared" si="1"/>
        <v>0</v>
      </c>
    </row>
    <row r="81" spans="2:10" ht="16" customHeight="1">
      <c r="B81" s="32" t="s">
        <v>176</v>
      </c>
      <c r="C81" s="1" t="s">
        <v>174</v>
      </c>
      <c r="D81" s="188"/>
      <c r="E81" s="25" t="s">
        <v>144</v>
      </c>
      <c r="F81" s="153">
        <v>140</v>
      </c>
      <c r="G81" s="149">
        <f t="shared" si="6"/>
        <v>280</v>
      </c>
      <c r="H81" s="120" t="s">
        <v>30</v>
      </c>
      <c r="I81" s="1"/>
      <c r="J81" s="136">
        <f t="shared" si="1"/>
        <v>0</v>
      </c>
    </row>
    <row r="82" spans="2:10" ht="16" customHeight="1">
      <c r="B82" s="32" t="s">
        <v>177</v>
      </c>
      <c r="C82" s="1" t="s">
        <v>174</v>
      </c>
      <c r="D82" s="188"/>
      <c r="E82" s="25" t="s">
        <v>144</v>
      </c>
      <c r="F82" s="153">
        <v>140</v>
      </c>
      <c r="G82" s="149">
        <f t="shared" si="6"/>
        <v>280</v>
      </c>
      <c r="H82" s="120" t="s">
        <v>31</v>
      </c>
      <c r="I82" s="1"/>
      <c r="J82" s="136">
        <f t="shared" si="1"/>
        <v>0</v>
      </c>
    </row>
    <row r="83" spans="2:10" ht="16" customHeight="1">
      <c r="B83" s="32" t="s">
        <v>178</v>
      </c>
      <c r="C83" s="1" t="s">
        <v>174</v>
      </c>
      <c r="D83" s="188"/>
      <c r="E83" s="25" t="s">
        <v>144</v>
      </c>
      <c r="F83" s="153">
        <v>140</v>
      </c>
      <c r="G83" s="149">
        <f t="shared" si="6"/>
        <v>280</v>
      </c>
      <c r="H83" s="120" t="s">
        <v>32</v>
      </c>
      <c r="I83" s="1"/>
      <c r="J83" s="136">
        <f t="shared" si="1"/>
        <v>0</v>
      </c>
    </row>
    <row r="84" spans="2:10" ht="16" customHeight="1">
      <c r="B84" s="32" t="s">
        <v>179</v>
      </c>
      <c r="C84" s="1" t="s">
        <v>174</v>
      </c>
      <c r="D84" s="189"/>
      <c r="E84" s="25" t="s">
        <v>144</v>
      </c>
      <c r="F84" s="153">
        <v>140</v>
      </c>
      <c r="G84" s="149">
        <f t="shared" si="6"/>
        <v>280</v>
      </c>
      <c r="H84" s="120" t="s">
        <v>15</v>
      </c>
      <c r="I84" s="1"/>
      <c r="J84" s="136">
        <f t="shared" si="1"/>
        <v>0</v>
      </c>
    </row>
    <row r="85" spans="2:10" ht="16" customHeight="1">
      <c r="B85" s="114" t="s">
        <v>158</v>
      </c>
      <c r="C85" s="115" t="s">
        <v>159</v>
      </c>
      <c r="D85" s="184" t="s">
        <v>160</v>
      </c>
      <c r="E85" s="116" t="s">
        <v>17</v>
      </c>
      <c r="F85" s="157">
        <v>140</v>
      </c>
      <c r="G85" s="158">
        <f t="shared" si="4"/>
        <v>280</v>
      </c>
      <c r="H85" s="159" t="s">
        <v>330</v>
      </c>
      <c r="I85" s="1"/>
      <c r="J85" s="136">
        <f t="shared" si="1"/>
        <v>0</v>
      </c>
    </row>
    <row r="86" spans="2:10" ht="16" customHeight="1">
      <c r="B86" s="114" t="s">
        <v>161</v>
      </c>
      <c r="C86" s="115" t="s">
        <v>159</v>
      </c>
      <c r="D86" s="185"/>
      <c r="E86" s="116" t="s">
        <v>17</v>
      </c>
      <c r="F86" s="157">
        <v>140</v>
      </c>
      <c r="G86" s="158">
        <f t="shared" si="4"/>
        <v>280</v>
      </c>
      <c r="H86" s="118" t="s">
        <v>29</v>
      </c>
      <c r="I86" s="1"/>
      <c r="J86" s="136">
        <f t="shared" si="1"/>
        <v>0</v>
      </c>
    </row>
    <row r="87" spans="2:10" ht="16" customHeight="1">
      <c r="B87" s="114" t="s">
        <v>162</v>
      </c>
      <c r="C87" s="115" t="s">
        <v>159</v>
      </c>
      <c r="D87" s="185"/>
      <c r="E87" s="116" t="s">
        <v>17</v>
      </c>
      <c r="F87" s="157">
        <v>140</v>
      </c>
      <c r="G87" s="158">
        <f t="shared" si="4"/>
        <v>280</v>
      </c>
      <c r="H87" s="118" t="s">
        <v>30</v>
      </c>
      <c r="I87" s="1"/>
      <c r="J87" s="136">
        <f t="shared" si="1"/>
        <v>0</v>
      </c>
    </row>
    <row r="88" spans="2:10" ht="16" customHeight="1">
      <c r="B88" s="114" t="s">
        <v>163</v>
      </c>
      <c r="C88" s="115" t="s">
        <v>159</v>
      </c>
      <c r="D88" s="185"/>
      <c r="E88" s="116" t="s">
        <v>17</v>
      </c>
      <c r="F88" s="157">
        <v>140</v>
      </c>
      <c r="G88" s="158">
        <f t="shared" si="4"/>
        <v>280</v>
      </c>
      <c r="H88" s="118" t="s">
        <v>31</v>
      </c>
      <c r="I88" s="1"/>
      <c r="J88" s="136">
        <f t="shared" si="1"/>
        <v>0</v>
      </c>
    </row>
    <row r="89" spans="2:10" ht="16" customHeight="1">
      <c r="B89" s="114" t="s">
        <v>164</v>
      </c>
      <c r="C89" s="115" t="s">
        <v>159</v>
      </c>
      <c r="D89" s="185"/>
      <c r="E89" s="116" t="s">
        <v>17</v>
      </c>
      <c r="F89" s="157">
        <v>140</v>
      </c>
      <c r="G89" s="158">
        <f t="shared" si="4"/>
        <v>280</v>
      </c>
      <c r="H89" s="118" t="s">
        <v>32</v>
      </c>
      <c r="I89" s="1"/>
      <c r="J89" s="136">
        <f t="shared" si="1"/>
        <v>0</v>
      </c>
    </row>
    <row r="90" spans="2:10" ht="16" customHeight="1">
      <c r="B90" s="114" t="s">
        <v>165</v>
      </c>
      <c r="C90" s="115" t="s">
        <v>159</v>
      </c>
      <c r="D90" s="186"/>
      <c r="E90" s="116" t="s">
        <v>17</v>
      </c>
      <c r="F90" s="157">
        <v>140</v>
      </c>
      <c r="G90" s="158">
        <f t="shared" si="4"/>
        <v>280</v>
      </c>
      <c r="H90" s="118" t="s">
        <v>15</v>
      </c>
      <c r="I90" s="1"/>
      <c r="J90" s="136">
        <f t="shared" si="1"/>
        <v>0</v>
      </c>
    </row>
    <row r="91" spans="2:10" ht="16" customHeight="1">
      <c r="B91" s="32" t="s">
        <v>166</v>
      </c>
      <c r="C91" s="1" t="s">
        <v>167</v>
      </c>
      <c r="D91" s="187" t="s">
        <v>160</v>
      </c>
      <c r="E91" s="25" t="s">
        <v>103</v>
      </c>
      <c r="F91" s="153">
        <v>140</v>
      </c>
      <c r="G91" s="149">
        <f t="shared" si="4"/>
        <v>280</v>
      </c>
      <c r="H91" s="150" t="s">
        <v>330</v>
      </c>
      <c r="I91" s="1"/>
      <c r="J91" s="136">
        <f t="shared" si="1"/>
        <v>0</v>
      </c>
    </row>
    <row r="92" spans="2:10" ht="16" customHeight="1">
      <c r="B92" s="32" t="s">
        <v>168</v>
      </c>
      <c r="C92" s="1" t="s">
        <v>167</v>
      </c>
      <c r="D92" s="188"/>
      <c r="E92" s="25" t="s">
        <v>103</v>
      </c>
      <c r="F92" s="153">
        <v>140</v>
      </c>
      <c r="G92" s="149">
        <f t="shared" si="4"/>
        <v>280</v>
      </c>
      <c r="H92" s="120" t="s">
        <v>29</v>
      </c>
      <c r="I92" s="1"/>
      <c r="J92" s="136">
        <f t="shared" si="1"/>
        <v>0</v>
      </c>
    </row>
    <row r="93" spans="2:10" ht="16" customHeight="1">
      <c r="B93" s="32" t="s">
        <v>169</v>
      </c>
      <c r="C93" s="1" t="s">
        <v>167</v>
      </c>
      <c r="D93" s="188"/>
      <c r="E93" s="25" t="s">
        <v>103</v>
      </c>
      <c r="F93" s="153">
        <v>140</v>
      </c>
      <c r="G93" s="149">
        <f t="shared" si="4"/>
        <v>280</v>
      </c>
      <c r="H93" s="120" t="s">
        <v>30</v>
      </c>
      <c r="I93" s="1"/>
      <c r="J93" s="136">
        <f t="shared" si="1"/>
        <v>0</v>
      </c>
    </row>
    <row r="94" spans="2:10" ht="16" customHeight="1">
      <c r="B94" s="32" t="s">
        <v>170</v>
      </c>
      <c r="C94" s="1" t="s">
        <v>167</v>
      </c>
      <c r="D94" s="188"/>
      <c r="E94" s="25" t="s">
        <v>103</v>
      </c>
      <c r="F94" s="153">
        <v>140</v>
      </c>
      <c r="G94" s="149">
        <f t="shared" si="4"/>
        <v>280</v>
      </c>
      <c r="H94" s="120" t="s">
        <v>31</v>
      </c>
      <c r="I94" s="1"/>
      <c r="J94" s="136">
        <f t="shared" si="1"/>
        <v>0</v>
      </c>
    </row>
    <row r="95" spans="2:10" ht="16" customHeight="1">
      <c r="B95" s="32" t="s">
        <v>171</v>
      </c>
      <c r="C95" s="1" t="s">
        <v>167</v>
      </c>
      <c r="D95" s="188"/>
      <c r="E95" s="25" t="s">
        <v>103</v>
      </c>
      <c r="F95" s="153">
        <v>140</v>
      </c>
      <c r="G95" s="149">
        <f t="shared" si="4"/>
        <v>280</v>
      </c>
      <c r="H95" s="120" t="s">
        <v>32</v>
      </c>
      <c r="I95" s="1"/>
      <c r="J95" s="136">
        <f t="shared" si="1"/>
        <v>0</v>
      </c>
    </row>
    <row r="96" spans="2:10" ht="16" customHeight="1">
      <c r="B96" s="32" t="s">
        <v>172</v>
      </c>
      <c r="C96" s="1" t="s">
        <v>167</v>
      </c>
      <c r="D96" s="189"/>
      <c r="E96" s="25" t="s">
        <v>103</v>
      </c>
      <c r="F96" s="153">
        <v>140</v>
      </c>
      <c r="G96" s="149">
        <f t="shared" si="4"/>
        <v>280</v>
      </c>
      <c r="H96" s="120" t="s">
        <v>15</v>
      </c>
      <c r="I96" s="1"/>
      <c r="J96" s="136">
        <f t="shared" ref="J96:J159" si="7">SUM(F96*I96)</f>
        <v>0</v>
      </c>
    </row>
    <row r="97" spans="2:10" ht="16" customHeight="1">
      <c r="B97" s="114" t="s">
        <v>117</v>
      </c>
      <c r="C97" s="115" t="s">
        <v>118</v>
      </c>
      <c r="D97" s="184" t="s">
        <v>119</v>
      </c>
      <c r="E97" s="116" t="s">
        <v>17</v>
      </c>
      <c r="F97" s="157">
        <v>190</v>
      </c>
      <c r="G97" s="158">
        <f t="shared" si="2"/>
        <v>380</v>
      </c>
      <c r="H97" s="159" t="s">
        <v>330</v>
      </c>
      <c r="I97" s="1"/>
      <c r="J97" s="136">
        <f t="shared" si="7"/>
        <v>0</v>
      </c>
    </row>
    <row r="98" spans="2:10" ht="16" customHeight="1">
      <c r="B98" s="114" t="s">
        <v>120</v>
      </c>
      <c r="C98" s="115" t="s">
        <v>118</v>
      </c>
      <c r="D98" s="185"/>
      <c r="E98" s="116" t="s">
        <v>17</v>
      </c>
      <c r="F98" s="157">
        <v>190</v>
      </c>
      <c r="G98" s="158">
        <f t="shared" si="2"/>
        <v>380</v>
      </c>
      <c r="H98" s="118" t="s">
        <v>29</v>
      </c>
      <c r="I98" s="1"/>
      <c r="J98" s="136">
        <f t="shared" si="7"/>
        <v>0</v>
      </c>
    </row>
    <row r="99" spans="2:10" ht="16" customHeight="1">
      <c r="B99" s="114" t="s">
        <v>121</v>
      </c>
      <c r="C99" s="115" t="s">
        <v>118</v>
      </c>
      <c r="D99" s="185"/>
      <c r="E99" s="116" t="s">
        <v>17</v>
      </c>
      <c r="F99" s="157">
        <v>190</v>
      </c>
      <c r="G99" s="158">
        <f t="shared" si="2"/>
        <v>380</v>
      </c>
      <c r="H99" s="118" t="s">
        <v>30</v>
      </c>
      <c r="I99" s="1"/>
      <c r="J99" s="136">
        <f t="shared" si="7"/>
        <v>0</v>
      </c>
    </row>
    <row r="100" spans="2:10" ht="16" customHeight="1">
      <c r="B100" s="114" t="s">
        <v>122</v>
      </c>
      <c r="C100" s="115" t="s">
        <v>118</v>
      </c>
      <c r="D100" s="185"/>
      <c r="E100" s="116" t="s">
        <v>17</v>
      </c>
      <c r="F100" s="157">
        <v>190</v>
      </c>
      <c r="G100" s="158">
        <f t="shared" si="2"/>
        <v>380</v>
      </c>
      <c r="H100" s="118" t="s">
        <v>31</v>
      </c>
      <c r="I100" s="1"/>
      <c r="J100" s="136">
        <f t="shared" si="7"/>
        <v>0</v>
      </c>
    </row>
    <row r="101" spans="2:10" ht="16" customHeight="1">
      <c r="B101" s="114" t="s">
        <v>123</v>
      </c>
      <c r="C101" s="115" t="s">
        <v>118</v>
      </c>
      <c r="D101" s="185"/>
      <c r="E101" s="116" t="s">
        <v>17</v>
      </c>
      <c r="F101" s="157">
        <v>190</v>
      </c>
      <c r="G101" s="158">
        <f t="shared" si="2"/>
        <v>380</v>
      </c>
      <c r="H101" s="118" t="s">
        <v>32</v>
      </c>
      <c r="I101" s="1"/>
      <c r="J101" s="136">
        <f t="shared" si="7"/>
        <v>0</v>
      </c>
    </row>
    <row r="102" spans="2:10" ht="16" customHeight="1">
      <c r="B102" s="114" t="s">
        <v>124</v>
      </c>
      <c r="C102" s="115" t="s">
        <v>118</v>
      </c>
      <c r="D102" s="186"/>
      <c r="E102" s="116" t="s">
        <v>17</v>
      </c>
      <c r="F102" s="157">
        <v>190</v>
      </c>
      <c r="G102" s="158">
        <f t="shared" si="2"/>
        <v>380</v>
      </c>
      <c r="H102" s="118" t="s">
        <v>15</v>
      </c>
      <c r="I102" s="1"/>
      <c r="J102" s="136">
        <f t="shared" si="7"/>
        <v>0</v>
      </c>
    </row>
    <row r="103" spans="2:10" ht="16" customHeight="1">
      <c r="B103" s="32" t="s">
        <v>180</v>
      </c>
      <c r="C103" s="1" t="s">
        <v>181</v>
      </c>
      <c r="D103" s="187" t="s">
        <v>182</v>
      </c>
      <c r="E103" s="25" t="s">
        <v>84</v>
      </c>
      <c r="F103" s="153">
        <v>150</v>
      </c>
      <c r="G103" s="149">
        <f t="shared" ref="G103:G159" si="8">SUM(F103*2)</f>
        <v>300</v>
      </c>
      <c r="H103" s="150" t="s">
        <v>330</v>
      </c>
      <c r="I103" s="1"/>
      <c r="J103" s="136">
        <f t="shared" si="7"/>
        <v>0</v>
      </c>
    </row>
    <row r="104" spans="2:10" ht="16" customHeight="1">
      <c r="B104" s="32" t="s">
        <v>183</v>
      </c>
      <c r="C104" s="1" t="s">
        <v>181</v>
      </c>
      <c r="D104" s="188"/>
      <c r="E104" s="25" t="s">
        <v>84</v>
      </c>
      <c r="F104" s="153">
        <v>150</v>
      </c>
      <c r="G104" s="149">
        <f t="shared" si="8"/>
        <v>300</v>
      </c>
      <c r="H104" s="120" t="s">
        <v>29</v>
      </c>
      <c r="I104" s="1"/>
      <c r="J104" s="136">
        <f t="shared" si="7"/>
        <v>0</v>
      </c>
    </row>
    <row r="105" spans="2:10" ht="16" customHeight="1">
      <c r="B105" s="32" t="s">
        <v>184</v>
      </c>
      <c r="C105" s="1" t="s">
        <v>181</v>
      </c>
      <c r="D105" s="188"/>
      <c r="E105" s="25" t="s">
        <v>84</v>
      </c>
      <c r="F105" s="153">
        <v>150</v>
      </c>
      <c r="G105" s="149">
        <f t="shared" si="8"/>
        <v>300</v>
      </c>
      <c r="H105" s="120" t="s">
        <v>30</v>
      </c>
      <c r="I105" s="1"/>
      <c r="J105" s="136">
        <f t="shared" si="7"/>
        <v>0</v>
      </c>
    </row>
    <row r="106" spans="2:10" ht="16" customHeight="1">
      <c r="B106" s="32" t="s">
        <v>185</v>
      </c>
      <c r="C106" s="1" t="s">
        <v>181</v>
      </c>
      <c r="D106" s="188"/>
      <c r="E106" s="25" t="s">
        <v>84</v>
      </c>
      <c r="F106" s="153">
        <v>150</v>
      </c>
      <c r="G106" s="149">
        <f t="shared" si="8"/>
        <v>300</v>
      </c>
      <c r="H106" s="120" t="s">
        <v>31</v>
      </c>
      <c r="I106" s="1"/>
      <c r="J106" s="136">
        <f t="shared" si="7"/>
        <v>0</v>
      </c>
    </row>
    <row r="107" spans="2:10" ht="16" customHeight="1">
      <c r="B107" s="32" t="s">
        <v>186</v>
      </c>
      <c r="C107" s="1" t="s">
        <v>181</v>
      </c>
      <c r="D107" s="188"/>
      <c r="E107" s="25" t="s">
        <v>84</v>
      </c>
      <c r="F107" s="153">
        <v>150</v>
      </c>
      <c r="G107" s="149">
        <f t="shared" si="8"/>
        <v>300</v>
      </c>
      <c r="H107" s="120" t="s">
        <v>32</v>
      </c>
      <c r="I107" s="1"/>
      <c r="J107" s="136">
        <f t="shared" si="7"/>
        <v>0</v>
      </c>
    </row>
    <row r="108" spans="2:10" ht="16" customHeight="1">
      <c r="B108" s="32" t="s">
        <v>187</v>
      </c>
      <c r="C108" s="1" t="s">
        <v>181</v>
      </c>
      <c r="D108" s="189"/>
      <c r="E108" s="25" t="s">
        <v>84</v>
      </c>
      <c r="F108" s="153">
        <v>150</v>
      </c>
      <c r="G108" s="149">
        <f t="shared" si="8"/>
        <v>300</v>
      </c>
      <c r="H108" s="120" t="s">
        <v>15</v>
      </c>
      <c r="I108" s="1"/>
      <c r="J108" s="136">
        <f t="shared" si="7"/>
        <v>0</v>
      </c>
    </row>
    <row r="109" spans="2:10" ht="16" customHeight="1">
      <c r="B109" s="114" t="s">
        <v>188</v>
      </c>
      <c r="C109" s="115" t="s">
        <v>189</v>
      </c>
      <c r="D109" s="184" t="s">
        <v>182</v>
      </c>
      <c r="E109" s="116" t="s">
        <v>190</v>
      </c>
      <c r="F109" s="157">
        <v>150</v>
      </c>
      <c r="G109" s="158">
        <f t="shared" si="8"/>
        <v>300</v>
      </c>
      <c r="H109" s="159" t="s">
        <v>330</v>
      </c>
      <c r="I109" s="1"/>
      <c r="J109" s="136">
        <f t="shared" si="7"/>
        <v>0</v>
      </c>
    </row>
    <row r="110" spans="2:10" ht="16" customHeight="1">
      <c r="B110" s="114" t="s">
        <v>191</v>
      </c>
      <c r="C110" s="115" t="s">
        <v>189</v>
      </c>
      <c r="D110" s="185"/>
      <c r="E110" s="116" t="s">
        <v>190</v>
      </c>
      <c r="F110" s="157">
        <v>150</v>
      </c>
      <c r="G110" s="158">
        <f t="shared" si="8"/>
        <v>300</v>
      </c>
      <c r="H110" s="118" t="s">
        <v>29</v>
      </c>
      <c r="I110" s="1"/>
      <c r="J110" s="136">
        <f t="shared" si="7"/>
        <v>0</v>
      </c>
    </row>
    <row r="111" spans="2:10" ht="16" customHeight="1">
      <c r="B111" s="114" t="s">
        <v>192</v>
      </c>
      <c r="C111" s="115" t="s">
        <v>189</v>
      </c>
      <c r="D111" s="185"/>
      <c r="E111" s="116" t="s">
        <v>190</v>
      </c>
      <c r="F111" s="157">
        <v>150</v>
      </c>
      <c r="G111" s="158">
        <f t="shared" si="8"/>
        <v>300</v>
      </c>
      <c r="H111" s="118" t="s">
        <v>30</v>
      </c>
      <c r="I111" s="1"/>
      <c r="J111" s="136">
        <f t="shared" si="7"/>
        <v>0</v>
      </c>
    </row>
    <row r="112" spans="2:10" ht="16" customHeight="1">
      <c r="B112" s="114" t="s">
        <v>193</v>
      </c>
      <c r="C112" s="115" t="s">
        <v>189</v>
      </c>
      <c r="D112" s="185"/>
      <c r="E112" s="116" t="s">
        <v>190</v>
      </c>
      <c r="F112" s="157">
        <v>150</v>
      </c>
      <c r="G112" s="158">
        <f t="shared" si="8"/>
        <v>300</v>
      </c>
      <c r="H112" s="118" t="s">
        <v>31</v>
      </c>
      <c r="I112" s="1"/>
      <c r="J112" s="136">
        <f t="shared" si="7"/>
        <v>0</v>
      </c>
    </row>
    <row r="113" spans="2:10" ht="16" customHeight="1">
      <c r="B113" s="114" t="s">
        <v>194</v>
      </c>
      <c r="C113" s="115" t="s">
        <v>189</v>
      </c>
      <c r="D113" s="185"/>
      <c r="E113" s="116" t="s">
        <v>190</v>
      </c>
      <c r="F113" s="157">
        <v>150</v>
      </c>
      <c r="G113" s="158">
        <f t="shared" si="8"/>
        <v>300</v>
      </c>
      <c r="H113" s="118" t="s">
        <v>32</v>
      </c>
      <c r="I113" s="1"/>
      <c r="J113" s="136">
        <f t="shared" si="7"/>
        <v>0</v>
      </c>
    </row>
    <row r="114" spans="2:10" ht="16" customHeight="1">
      <c r="B114" s="114" t="s">
        <v>195</v>
      </c>
      <c r="C114" s="115" t="s">
        <v>189</v>
      </c>
      <c r="D114" s="186"/>
      <c r="E114" s="116" t="s">
        <v>190</v>
      </c>
      <c r="F114" s="157">
        <v>150</v>
      </c>
      <c r="G114" s="158">
        <f t="shared" si="8"/>
        <v>300</v>
      </c>
      <c r="H114" s="118" t="s">
        <v>15</v>
      </c>
      <c r="I114" s="1"/>
      <c r="J114" s="136">
        <f t="shared" si="7"/>
        <v>0</v>
      </c>
    </row>
    <row r="115" spans="2:10" ht="16" customHeight="1">
      <c r="B115" s="32" t="s">
        <v>204</v>
      </c>
      <c r="C115" s="1" t="s">
        <v>205</v>
      </c>
      <c r="D115" s="187" t="s">
        <v>198</v>
      </c>
      <c r="E115" s="25" t="s">
        <v>206</v>
      </c>
      <c r="F115" s="153">
        <v>145</v>
      </c>
      <c r="G115" s="149">
        <f t="shared" ref="G115:G120" si="9">SUM(F115*2)</f>
        <v>290</v>
      </c>
      <c r="H115" s="150" t="s">
        <v>330</v>
      </c>
      <c r="I115" s="1"/>
      <c r="J115" s="136">
        <f t="shared" si="7"/>
        <v>0</v>
      </c>
    </row>
    <row r="116" spans="2:10" ht="16" customHeight="1">
      <c r="B116" s="32" t="s">
        <v>207</v>
      </c>
      <c r="C116" s="1" t="s">
        <v>205</v>
      </c>
      <c r="D116" s="188"/>
      <c r="E116" s="25" t="s">
        <v>206</v>
      </c>
      <c r="F116" s="153">
        <v>145</v>
      </c>
      <c r="G116" s="149">
        <f t="shared" si="9"/>
        <v>290</v>
      </c>
      <c r="H116" s="120" t="s">
        <v>29</v>
      </c>
      <c r="I116" s="1"/>
      <c r="J116" s="136">
        <f t="shared" si="7"/>
        <v>0</v>
      </c>
    </row>
    <row r="117" spans="2:10" ht="16" customHeight="1">
      <c r="B117" s="32" t="s">
        <v>208</v>
      </c>
      <c r="C117" s="1" t="s">
        <v>205</v>
      </c>
      <c r="D117" s="188"/>
      <c r="E117" s="25" t="s">
        <v>206</v>
      </c>
      <c r="F117" s="153">
        <v>145</v>
      </c>
      <c r="G117" s="149">
        <f t="shared" si="9"/>
        <v>290</v>
      </c>
      <c r="H117" s="120" t="s">
        <v>30</v>
      </c>
      <c r="I117" s="1"/>
      <c r="J117" s="136">
        <f t="shared" si="7"/>
        <v>0</v>
      </c>
    </row>
    <row r="118" spans="2:10" ht="16" customHeight="1">
      <c r="B118" s="32" t="s">
        <v>209</v>
      </c>
      <c r="C118" s="1" t="s">
        <v>205</v>
      </c>
      <c r="D118" s="188"/>
      <c r="E118" s="25" t="s">
        <v>206</v>
      </c>
      <c r="F118" s="153">
        <v>145</v>
      </c>
      <c r="G118" s="149">
        <f t="shared" si="9"/>
        <v>290</v>
      </c>
      <c r="H118" s="120" t="s">
        <v>31</v>
      </c>
      <c r="I118" s="1"/>
      <c r="J118" s="136">
        <f t="shared" si="7"/>
        <v>0</v>
      </c>
    </row>
    <row r="119" spans="2:10" ht="16" customHeight="1">
      <c r="B119" s="32" t="s">
        <v>210</v>
      </c>
      <c r="C119" s="1" t="s">
        <v>205</v>
      </c>
      <c r="D119" s="188"/>
      <c r="E119" s="25" t="s">
        <v>206</v>
      </c>
      <c r="F119" s="153">
        <v>145</v>
      </c>
      <c r="G119" s="149">
        <f t="shared" si="9"/>
        <v>290</v>
      </c>
      <c r="H119" s="120" t="s">
        <v>32</v>
      </c>
      <c r="I119" s="1"/>
      <c r="J119" s="136">
        <f t="shared" si="7"/>
        <v>0</v>
      </c>
    </row>
    <row r="120" spans="2:10" ht="16" customHeight="1">
      <c r="B120" s="32" t="s">
        <v>211</v>
      </c>
      <c r="C120" s="1" t="s">
        <v>205</v>
      </c>
      <c r="D120" s="189"/>
      <c r="E120" s="25" t="s">
        <v>206</v>
      </c>
      <c r="F120" s="153">
        <v>145</v>
      </c>
      <c r="G120" s="149">
        <f t="shared" si="9"/>
        <v>290</v>
      </c>
      <c r="H120" s="120" t="s">
        <v>15</v>
      </c>
      <c r="I120" s="1"/>
      <c r="J120" s="136">
        <f t="shared" si="7"/>
        <v>0</v>
      </c>
    </row>
    <row r="121" spans="2:10" ht="16" customHeight="1">
      <c r="B121" s="114" t="s">
        <v>196</v>
      </c>
      <c r="C121" s="115" t="s">
        <v>197</v>
      </c>
      <c r="D121" s="184" t="s">
        <v>198</v>
      </c>
      <c r="E121" s="116" t="s">
        <v>17</v>
      </c>
      <c r="F121" s="157">
        <v>145</v>
      </c>
      <c r="G121" s="158">
        <f t="shared" si="8"/>
        <v>290</v>
      </c>
      <c r="H121" s="159" t="s">
        <v>330</v>
      </c>
      <c r="I121" s="1"/>
      <c r="J121" s="136">
        <f t="shared" si="7"/>
        <v>0</v>
      </c>
    </row>
    <row r="122" spans="2:10" ht="16" customHeight="1">
      <c r="B122" s="114" t="s">
        <v>199</v>
      </c>
      <c r="C122" s="115" t="s">
        <v>197</v>
      </c>
      <c r="D122" s="185"/>
      <c r="E122" s="116" t="s">
        <v>17</v>
      </c>
      <c r="F122" s="157">
        <v>145</v>
      </c>
      <c r="G122" s="158">
        <f t="shared" si="8"/>
        <v>290</v>
      </c>
      <c r="H122" s="118" t="s">
        <v>29</v>
      </c>
      <c r="I122" s="1"/>
      <c r="J122" s="136">
        <f t="shared" si="7"/>
        <v>0</v>
      </c>
    </row>
    <row r="123" spans="2:10" ht="16" customHeight="1">
      <c r="B123" s="114" t="s">
        <v>200</v>
      </c>
      <c r="C123" s="115" t="s">
        <v>197</v>
      </c>
      <c r="D123" s="185"/>
      <c r="E123" s="116" t="s">
        <v>17</v>
      </c>
      <c r="F123" s="157">
        <v>145</v>
      </c>
      <c r="G123" s="158">
        <f t="shared" si="8"/>
        <v>290</v>
      </c>
      <c r="H123" s="118" t="s">
        <v>30</v>
      </c>
      <c r="I123" s="1"/>
      <c r="J123" s="136">
        <f t="shared" si="7"/>
        <v>0</v>
      </c>
    </row>
    <row r="124" spans="2:10" ht="16" customHeight="1">
      <c r="B124" s="114" t="s">
        <v>201</v>
      </c>
      <c r="C124" s="115" t="s">
        <v>197</v>
      </c>
      <c r="D124" s="185"/>
      <c r="E124" s="116" t="s">
        <v>17</v>
      </c>
      <c r="F124" s="157">
        <v>145</v>
      </c>
      <c r="G124" s="158">
        <f t="shared" si="8"/>
        <v>290</v>
      </c>
      <c r="H124" s="118" t="s">
        <v>31</v>
      </c>
      <c r="I124" s="1"/>
      <c r="J124" s="136">
        <f t="shared" si="7"/>
        <v>0</v>
      </c>
    </row>
    <row r="125" spans="2:10" ht="16" customHeight="1">
      <c r="B125" s="114" t="s">
        <v>202</v>
      </c>
      <c r="C125" s="115" t="s">
        <v>197</v>
      </c>
      <c r="D125" s="185"/>
      <c r="E125" s="116" t="s">
        <v>17</v>
      </c>
      <c r="F125" s="157">
        <v>145</v>
      </c>
      <c r="G125" s="158">
        <f t="shared" si="8"/>
        <v>290</v>
      </c>
      <c r="H125" s="118" t="s">
        <v>32</v>
      </c>
      <c r="I125" s="1"/>
      <c r="J125" s="136">
        <f t="shared" si="7"/>
        <v>0</v>
      </c>
    </row>
    <row r="126" spans="2:10" ht="16" customHeight="1">
      <c r="B126" s="114" t="s">
        <v>203</v>
      </c>
      <c r="C126" s="115" t="s">
        <v>197</v>
      </c>
      <c r="D126" s="186"/>
      <c r="E126" s="116" t="s">
        <v>17</v>
      </c>
      <c r="F126" s="157">
        <v>145</v>
      </c>
      <c r="G126" s="158">
        <f t="shared" si="8"/>
        <v>290</v>
      </c>
      <c r="H126" s="118" t="s">
        <v>15</v>
      </c>
      <c r="I126" s="1"/>
      <c r="J126" s="136">
        <f t="shared" si="7"/>
        <v>0</v>
      </c>
    </row>
    <row r="127" spans="2:10" ht="16" customHeight="1">
      <c r="B127" s="32" t="s">
        <v>212</v>
      </c>
      <c r="C127" s="1" t="s">
        <v>213</v>
      </c>
      <c r="D127" s="187" t="s">
        <v>214</v>
      </c>
      <c r="E127" s="25" t="s">
        <v>17</v>
      </c>
      <c r="F127" s="153">
        <v>115</v>
      </c>
      <c r="G127" s="149">
        <f t="shared" si="8"/>
        <v>230</v>
      </c>
      <c r="H127" s="150" t="s">
        <v>330</v>
      </c>
      <c r="I127" s="1"/>
      <c r="J127" s="136">
        <f t="shared" si="7"/>
        <v>0</v>
      </c>
    </row>
    <row r="128" spans="2:10" ht="16" customHeight="1">
      <c r="B128" s="32" t="s">
        <v>215</v>
      </c>
      <c r="C128" s="1" t="s">
        <v>213</v>
      </c>
      <c r="D128" s="188"/>
      <c r="E128" s="25" t="s">
        <v>17</v>
      </c>
      <c r="F128" s="153">
        <v>115</v>
      </c>
      <c r="G128" s="149">
        <f t="shared" si="8"/>
        <v>230</v>
      </c>
      <c r="H128" s="120" t="s">
        <v>29</v>
      </c>
      <c r="I128" s="1"/>
      <c r="J128" s="136">
        <f t="shared" si="7"/>
        <v>0</v>
      </c>
    </row>
    <row r="129" spans="2:10" ht="16" customHeight="1">
      <c r="B129" s="32" t="s">
        <v>216</v>
      </c>
      <c r="C129" s="1" t="s">
        <v>213</v>
      </c>
      <c r="D129" s="188"/>
      <c r="E129" s="25" t="s">
        <v>17</v>
      </c>
      <c r="F129" s="153">
        <v>115</v>
      </c>
      <c r="G129" s="149">
        <f t="shared" si="8"/>
        <v>230</v>
      </c>
      <c r="H129" s="120" t="s">
        <v>30</v>
      </c>
      <c r="I129" s="1"/>
      <c r="J129" s="136">
        <f t="shared" si="7"/>
        <v>0</v>
      </c>
    </row>
    <row r="130" spans="2:10" ht="16" customHeight="1">
      <c r="B130" s="32" t="s">
        <v>217</v>
      </c>
      <c r="C130" s="1" t="s">
        <v>213</v>
      </c>
      <c r="D130" s="188"/>
      <c r="E130" s="25" t="s">
        <v>17</v>
      </c>
      <c r="F130" s="153">
        <v>115</v>
      </c>
      <c r="G130" s="149">
        <f t="shared" si="8"/>
        <v>230</v>
      </c>
      <c r="H130" s="120" t="s">
        <v>31</v>
      </c>
      <c r="I130" s="1"/>
      <c r="J130" s="136">
        <f t="shared" si="7"/>
        <v>0</v>
      </c>
    </row>
    <row r="131" spans="2:10" ht="16" customHeight="1">
      <c r="B131" s="32" t="s">
        <v>218</v>
      </c>
      <c r="C131" s="1" t="s">
        <v>213</v>
      </c>
      <c r="D131" s="188"/>
      <c r="E131" s="25" t="s">
        <v>17</v>
      </c>
      <c r="F131" s="153">
        <v>115</v>
      </c>
      <c r="G131" s="149">
        <f t="shared" si="8"/>
        <v>230</v>
      </c>
      <c r="H131" s="120" t="s">
        <v>32</v>
      </c>
      <c r="I131" s="1"/>
      <c r="J131" s="136">
        <f t="shared" si="7"/>
        <v>0</v>
      </c>
    </row>
    <row r="132" spans="2:10" ht="16" customHeight="1">
      <c r="B132" s="32" t="s">
        <v>219</v>
      </c>
      <c r="C132" s="1" t="s">
        <v>213</v>
      </c>
      <c r="D132" s="189"/>
      <c r="E132" s="25" t="s">
        <v>17</v>
      </c>
      <c r="F132" s="153">
        <v>115</v>
      </c>
      <c r="G132" s="149">
        <f t="shared" si="8"/>
        <v>230</v>
      </c>
      <c r="H132" s="120" t="s">
        <v>15</v>
      </c>
      <c r="I132" s="1"/>
      <c r="J132" s="136">
        <f t="shared" si="7"/>
        <v>0</v>
      </c>
    </row>
    <row r="133" spans="2:10" ht="16" customHeight="1">
      <c r="B133" s="114" t="s">
        <v>220</v>
      </c>
      <c r="C133" s="115" t="s">
        <v>221</v>
      </c>
      <c r="D133" s="184" t="s">
        <v>214</v>
      </c>
      <c r="E133" s="116" t="s">
        <v>84</v>
      </c>
      <c r="F133" s="157">
        <v>115</v>
      </c>
      <c r="G133" s="158">
        <f t="shared" si="8"/>
        <v>230</v>
      </c>
      <c r="H133" s="159" t="s">
        <v>330</v>
      </c>
      <c r="I133" s="1"/>
      <c r="J133" s="136">
        <f t="shared" si="7"/>
        <v>0</v>
      </c>
    </row>
    <row r="134" spans="2:10" ht="16" customHeight="1">
      <c r="B134" s="114" t="s">
        <v>222</v>
      </c>
      <c r="C134" s="115" t="s">
        <v>221</v>
      </c>
      <c r="D134" s="185"/>
      <c r="E134" s="116" t="s">
        <v>84</v>
      </c>
      <c r="F134" s="157">
        <v>115</v>
      </c>
      <c r="G134" s="158">
        <f t="shared" si="8"/>
        <v>230</v>
      </c>
      <c r="H134" s="118" t="s">
        <v>29</v>
      </c>
      <c r="I134" s="1"/>
      <c r="J134" s="136">
        <f t="shared" si="7"/>
        <v>0</v>
      </c>
    </row>
    <row r="135" spans="2:10" ht="16" customHeight="1">
      <c r="B135" s="114" t="s">
        <v>223</v>
      </c>
      <c r="C135" s="115" t="s">
        <v>221</v>
      </c>
      <c r="D135" s="185"/>
      <c r="E135" s="116" t="s">
        <v>84</v>
      </c>
      <c r="F135" s="157">
        <v>115</v>
      </c>
      <c r="G135" s="158">
        <f t="shared" si="8"/>
        <v>230</v>
      </c>
      <c r="H135" s="118" t="s">
        <v>30</v>
      </c>
      <c r="I135" s="1"/>
      <c r="J135" s="136">
        <f t="shared" si="7"/>
        <v>0</v>
      </c>
    </row>
    <row r="136" spans="2:10" ht="16" customHeight="1">
      <c r="B136" s="114" t="s">
        <v>224</v>
      </c>
      <c r="C136" s="115" t="s">
        <v>221</v>
      </c>
      <c r="D136" s="185"/>
      <c r="E136" s="116" t="s">
        <v>84</v>
      </c>
      <c r="F136" s="157">
        <v>115</v>
      </c>
      <c r="G136" s="158">
        <f t="shared" si="8"/>
        <v>230</v>
      </c>
      <c r="H136" s="118" t="s">
        <v>31</v>
      </c>
      <c r="I136" s="1"/>
      <c r="J136" s="136">
        <f t="shared" si="7"/>
        <v>0</v>
      </c>
    </row>
    <row r="137" spans="2:10" ht="16" customHeight="1">
      <c r="B137" s="114" t="s">
        <v>225</v>
      </c>
      <c r="C137" s="115" t="s">
        <v>221</v>
      </c>
      <c r="D137" s="185"/>
      <c r="E137" s="116" t="s">
        <v>84</v>
      </c>
      <c r="F137" s="157">
        <v>115</v>
      </c>
      <c r="G137" s="158">
        <f t="shared" si="8"/>
        <v>230</v>
      </c>
      <c r="H137" s="118" t="s">
        <v>32</v>
      </c>
      <c r="I137" s="1"/>
      <c r="J137" s="136">
        <f t="shared" si="7"/>
        <v>0</v>
      </c>
    </row>
    <row r="138" spans="2:10" ht="16" customHeight="1">
      <c r="B138" s="114" t="s">
        <v>226</v>
      </c>
      <c r="C138" s="115" t="s">
        <v>221</v>
      </c>
      <c r="D138" s="186"/>
      <c r="E138" s="116" t="s">
        <v>84</v>
      </c>
      <c r="F138" s="157">
        <v>115</v>
      </c>
      <c r="G138" s="158">
        <f t="shared" si="8"/>
        <v>230</v>
      </c>
      <c r="H138" s="118" t="s">
        <v>15</v>
      </c>
      <c r="I138" s="1"/>
      <c r="J138" s="136">
        <f t="shared" si="7"/>
        <v>0</v>
      </c>
    </row>
    <row r="139" spans="2:10" ht="16" customHeight="1">
      <c r="B139" s="32" t="s">
        <v>227</v>
      </c>
      <c r="C139" s="1" t="s">
        <v>228</v>
      </c>
      <c r="D139" s="187" t="s">
        <v>214</v>
      </c>
      <c r="E139" s="25" t="s">
        <v>190</v>
      </c>
      <c r="F139" s="153">
        <v>115</v>
      </c>
      <c r="G139" s="149">
        <f t="shared" si="8"/>
        <v>230</v>
      </c>
      <c r="H139" s="150" t="s">
        <v>330</v>
      </c>
      <c r="I139" s="1"/>
      <c r="J139" s="136">
        <f t="shared" si="7"/>
        <v>0</v>
      </c>
    </row>
    <row r="140" spans="2:10" ht="16" customHeight="1">
      <c r="B140" s="32" t="s">
        <v>229</v>
      </c>
      <c r="C140" s="1" t="s">
        <v>228</v>
      </c>
      <c r="D140" s="188"/>
      <c r="E140" s="25" t="s">
        <v>190</v>
      </c>
      <c r="F140" s="153">
        <v>115</v>
      </c>
      <c r="G140" s="149">
        <f t="shared" si="8"/>
        <v>230</v>
      </c>
      <c r="H140" s="120" t="s">
        <v>29</v>
      </c>
      <c r="I140" s="1"/>
      <c r="J140" s="136">
        <f t="shared" si="7"/>
        <v>0</v>
      </c>
    </row>
    <row r="141" spans="2:10" ht="16" customHeight="1">
      <c r="B141" s="32" t="s">
        <v>230</v>
      </c>
      <c r="C141" s="1" t="s">
        <v>228</v>
      </c>
      <c r="D141" s="188"/>
      <c r="E141" s="25" t="s">
        <v>190</v>
      </c>
      <c r="F141" s="153">
        <v>115</v>
      </c>
      <c r="G141" s="149">
        <f t="shared" si="8"/>
        <v>230</v>
      </c>
      <c r="H141" s="120" t="s">
        <v>30</v>
      </c>
      <c r="I141" s="1"/>
      <c r="J141" s="136">
        <f t="shared" si="7"/>
        <v>0</v>
      </c>
    </row>
    <row r="142" spans="2:10" ht="16" customHeight="1">
      <c r="B142" s="32" t="s">
        <v>231</v>
      </c>
      <c r="C142" s="1" t="s">
        <v>228</v>
      </c>
      <c r="D142" s="188"/>
      <c r="E142" s="25" t="s">
        <v>190</v>
      </c>
      <c r="F142" s="153">
        <v>115</v>
      </c>
      <c r="G142" s="149">
        <f t="shared" si="8"/>
        <v>230</v>
      </c>
      <c r="H142" s="120" t="s">
        <v>31</v>
      </c>
      <c r="I142" s="1"/>
      <c r="J142" s="136">
        <f t="shared" si="7"/>
        <v>0</v>
      </c>
    </row>
    <row r="143" spans="2:10" ht="16" customHeight="1">
      <c r="B143" s="32" t="s">
        <v>232</v>
      </c>
      <c r="C143" s="1" t="s">
        <v>228</v>
      </c>
      <c r="D143" s="188"/>
      <c r="E143" s="25" t="s">
        <v>190</v>
      </c>
      <c r="F143" s="153">
        <v>115</v>
      </c>
      <c r="G143" s="149">
        <f t="shared" si="8"/>
        <v>230</v>
      </c>
      <c r="H143" s="120" t="s">
        <v>32</v>
      </c>
      <c r="I143" s="1"/>
      <c r="J143" s="136">
        <f t="shared" si="7"/>
        <v>0</v>
      </c>
    </row>
    <row r="144" spans="2:10" ht="16" customHeight="1">
      <c r="B144" s="32" t="s">
        <v>233</v>
      </c>
      <c r="C144" s="1" t="s">
        <v>228</v>
      </c>
      <c r="D144" s="189"/>
      <c r="E144" s="25" t="s">
        <v>190</v>
      </c>
      <c r="F144" s="153">
        <v>115</v>
      </c>
      <c r="G144" s="149">
        <f t="shared" si="8"/>
        <v>230</v>
      </c>
      <c r="H144" s="120" t="s">
        <v>15</v>
      </c>
      <c r="I144" s="1"/>
      <c r="J144" s="136">
        <f t="shared" si="7"/>
        <v>0</v>
      </c>
    </row>
    <row r="145" spans="2:10" ht="16" customHeight="1">
      <c r="B145" s="114" t="s">
        <v>234</v>
      </c>
      <c r="C145" s="115" t="s">
        <v>235</v>
      </c>
      <c r="D145" s="184" t="s">
        <v>236</v>
      </c>
      <c r="E145" s="116" t="s">
        <v>17</v>
      </c>
      <c r="F145" s="157">
        <v>170</v>
      </c>
      <c r="G145" s="158">
        <f t="shared" si="8"/>
        <v>340</v>
      </c>
      <c r="H145" s="159" t="s">
        <v>330</v>
      </c>
      <c r="I145" s="1"/>
      <c r="J145" s="136">
        <f t="shared" si="7"/>
        <v>0</v>
      </c>
    </row>
    <row r="146" spans="2:10" ht="16" customHeight="1">
      <c r="B146" s="114" t="s">
        <v>237</v>
      </c>
      <c r="C146" s="115" t="s">
        <v>235</v>
      </c>
      <c r="D146" s="185"/>
      <c r="E146" s="116" t="s">
        <v>17</v>
      </c>
      <c r="F146" s="157">
        <v>170</v>
      </c>
      <c r="G146" s="158">
        <f t="shared" si="8"/>
        <v>340</v>
      </c>
      <c r="H146" s="118" t="s">
        <v>29</v>
      </c>
      <c r="I146" s="1"/>
      <c r="J146" s="136">
        <f t="shared" si="7"/>
        <v>0</v>
      </c>
    </row>
    <row r="147" spans="2:10" ht="16" customHeight="1">
      <c r="B147" s="114" t="s">
        <v>238</v>
      </c>
      <c r="C147" s="115" t="s">
        <v>235</v>
      </c>
      <c r="D147" s="185"/>
      <c r="E147" s="116" t="s">
        <v>17</v>
      </c>
      <c r="F147" s="157">
        <v>170</v>
      </c>
      <c r="G147" s="158">
        <f t="shared" si="8"/>
        <v>340</v>
      </c>
      <c r="H147" s="118" t="s">
        <v>30</v>
      </c>
      <c r="I147" s="1"/>
      <c r="J147" s="136">
        <f t="shared" si="7"/>
        <v>0</v>
      </c>
    </row>
    <row r="148" spans="2:10" ht="16" customHeight="1">
      <c r="B148" s="114" t="s">
        <v>239</v>
      </c>
      <c r="C148" s="115" t="s">
        <v>235</v>
      </c>
      <c r="D148" s="185"/>
      <c r="E148" s="116" t="s">
        <v>17</v>
      </c>
      <c r="F148" s="157">
        <v>170</v>
      </c>
      <c r="G148" s="158">
        <f t="shared" si="8"/>
        <v>340</v>
      </c>
      <c r="H148" s="118" t="s">
        <v>31</v>
      </c>
      <c r="I148" s="1"/>
      <c r="J148" s="136">
        <f t="shared" si="7"/>
        <v>0</v>
      </c>
    </row>
    <row r="149" spans="2:10" ht="16" customHeight="1">
      <c r="B149" s="114" t="s">
        <v>240</v>
      </c>
      <c r="C149" s="115" t="s">
        <v>235</v>
      </c>
      <c r="D149" s="185"/>
      <c r="E149" s="116" t="s">
        <v>17</v>
      </c>
      <c r="F149" s="157">
        <v>170</v>
      </c>
      <c r="G149" s="158">
        <f t="shared" si="8"/>
        <v>340</v>
      </c>
      <c r="H149" s="118" t="s">
        <v>32</v>
      </c>
      <c r="I149" s="1"/>
      <c r="J149" s="136">
        <f t="shared" si="7"/>
        <v>0</v>
      </c>
    </row>
    <row r="150" spans="2:10" ht="16" customHeight="1">
      <c r="B150" s="114" t="s">
        <v>241</v>
      </c>
      <c r="C150" s="115" t="s">
        <v>235</v>
      </c>
      <c r="D150" s="186"/>
      <c r="E150" s="116" t="s">
        <v>17</v>
      </c>
      <c r="F150" s="157">
        <v>170</v>
      </c>
      <c r="G150" s="158">
        <f t="shared" si="8"/>
        <v>340</v>
      </c>
      <c r="H150" s="118" t="s">
        <v>15</v>
      </c>
      <c r="I150" s="1"/>
      <c r="J150" s="136">
        <f t="shared" si="7"/>
        <v>0</v>
      </c>
    </row>
    <row r="151" spans="2:10" ht="16" customHeight="1">
      <c r="B151" s="32" t="s">
        <v>242</v>
      </c>
      <c r="C151" s="1" t="s">
        <v>243</v>
      </c>
      <c r="D151" s="187" t="s">
        <v>77</v>
      </c>
      <c r="E151" s="25" t="s">
        <v>244</v>
      </c>
      <c r="F151" s="153">
        <v>115</v>
      </c>
      <c r="G151" s="149">
        <f t="shared" si="8"/>
        <v>230</v>
      </c>
      <c r="H151" s="150" t="s">
        <v>330</v>
      </c>
      <c r="I151" s="1"/>
      <c r="J151" s="136">
        <f t="shared" si="7"/>
        <v>0</v>
      </c>
    </row>
    <row r="152" spans="2:10" ht="16" customHeight="1">
      <c r="B152" s="32" t="s">
        <v>245</v>
      </c>
      <c r="C152" s="1" t="s">
        <v>243</v>
      </c>
      <c r="D152" s="188"/>
      <c r="E152" s="25" t="s">
        <v>244</v>
      </c>
      <c r="F152" s="153">
        <v>115</v>
      </c>
      <c r="G152" s="149">
        <f t="shared" si="8"/>
        <v>230</v>
      </c>
      <c r="H152" s="120" t="s">
        <v>29</v>
      </c>
      <c r="I152" s="1"/>
      <c r="J152" s="136">
        <f t="shared" si="7"/>
        <v>0</v>
      </c>
    </row>
    <row r="153" spans="2:10" ht="16" customHeight="1">
      <c r="B153" s="32" t="s">
        <v>246</v>
      </c>
      <c r="C153" s="1" t="s">
        <v>243</v>
      </c>
      <c r="D153" s="188"/>
      <c r="E153" s="25" t="s">
        <v>244</v>
      </c>
      <c r="F153" s="153">
        <v>115</v>
      </c>
      <c r="G153" s="149">
        <f t="shared" si="8"/>
        <v>230</v>
      </c>
      <c r="H153" s="120" t="s">
        <v>30</v>
      </c>
      <c r="I153" s="1"/>
      <c r="J153" s="136">
        <f t="shared" si="7"/>
        <v>0</v>
      </c>
    </row>
    <row r="154" spans="2:10">
      <c r="B154" s="32" t="s">
        <v>247</v>
      </c>
      <c r="C154" s="1" t="s">
        <v>243</v>
      </c>
      <c r="D154" s="188"/>
      <c r="E154" s="25" t="s">
        <v>244</v>
      </c>
      <c r="F154" s="153">
        <v>115</v>
      </c>
      <c r="G154" s="149">
        <f t="shared" si="8"/>
        <v>230</v>
      </c>
      <c r="H154" s="120" t="s">
        <v>31</v>
      </c>
      <c r="I154" s="1"/>
      <c r="J154" s="136">
        <f t="shared" si="7"/>
        <v>0</v>
      </c>
    </row>
    <row r="155" spans="2:10" ht="16" customHeight="1">
      <c r="B155" s="32" t="s">
        <v>248</v>
      </c>
      <c r="C155" s="1" t="s">
        <v>243</v>
      </c>
      <c r="D155" s="188"/>
      <c r="E155" s="25" t="s">
        <v>244</v>
      </c>
      <c r="F155" s="153">
        <v>115</v>
      </c>
      <c r="G155" s="149">
        <f t="shared" si="8"/>
        <v>230</v>
      </c>
      <c r="H155" s="120" t="s">
        <v>32</v>
      </c>
      <c r="I155" s="1"/>
      <c r="J155" s="136">
        <f t="shared" si="7"/>
        <v>0</v>
      </c>
    </row>
    <row r="156" spans="2:10" ht="16" customHeight="1">
      <c r="B156" s="32" t="s">
        <v>249</v>
      </c>
      <c r="C156" s="1" t="s">
        <v>243</v>
      </c>
      <c r="D156" s="189"/>
      <c r="E156" s="25" t="s">
        <v>244</v>
      </c>
      <c r="F156" s="153">
        <v>115</v>
      </c>
      <c r="G156" s="149">
        <f t="shared" si="8"/>
        <v>230</v>
      </c>
      <c r="H156" s="120" t="s">
        <v>15</v>
      </c>
      <c r="I156" s="1"/>
      <c r="J156" s="136">
        <f t="shared" si="7"/>
        <v>0</v>
      </c>
    </row>
    <row r="157" spans="2:10" ht="16" customHeight="1">
      <c r="B157" s="114" t="s">
        <v>250</v>
      </c>
      <c r="C157" s="115" t="s">
        <v>251</v>
      </c>
      <c r="D157" s="184" t="s">
        <v>77</v>
      </c>
      <c r="E157" s="116" t="s">
        <v>17</v>
      </c>
      <c r="F157" s="157">
        <v>115</v>
      </c>
      <c r="G157" s="158">
        <f t="shared" si="8"/>
        <v>230</v>
      </c>
      <c r="H157" s="159" t="s">
        <v>330</v>
      </c>
      <c r="I157" s="1"/>
      <c r="J157" s="136">
        <f t="shared" si="7"/>
        <v>0</v>
      </c>
    </row>
    <row r="158" spans="2:10" ht="16" customHeight="1">
      <c r="B158" s="114" t="s">
        <v>252</v>
      </c>
      <c r="C158" s="115" t="s">
        <v>251</v>
      </c>
      <c r="D158" s="185"/>
      <c r="E158" s="116" t="s">
        <v>17</v>
      </c>
      <c r="F158" s="157">
        <v>115</v>
      </c>
      <c r="G158" s="158">
        <f t="shared" si="8"/>
        <v>230</v>
      </c>
      <c r="H158" s="118" t="s">
        <v>29</v>
      </c>
      <c r="I158" s="1"/>
      <c r="J158" s="136">
        <f t="shared" si="7"/>
        <v>0</v>
      </c>
    </row>
    <row r="159" spans="2:10" ht="16" customHeight="1">
      <c r="B159" s="114" t="s">
        <v>253</v>
      </c>
      <c r="C159" s="115" t="s">
        <v>251</v>
      </c>
      <c r="D159" s="185"/>
      <c r="E159" s="116" t="s">
        <v>17</v>
      </c>
      <c r="F159" s="157">
        <v>115</v>
      </c>
      <c r="G159" s="158">
        <f t="shared" si="8"/>
        <v>230</v>
      </c>
      <c r="H159" s="118" t="s">
        <v>30</v>
      </c>
      <c r="I159" s="1"/>
      <c r="J159" s="136">
        <f t="shared" si="7"/>
        <v>0</v>
      </c>
    </row>
    <row r="160" spans="2:10" ht="16" customHeight="1">
      <c r="B160" s="114" t="s">
        <v>254</v>
      </c>
      <c r="C160" s="115" t="s">
        <v>251</v>
      </c>
      <c r="D160" s="185"/>
      <c r="E160" s="116" t="s">
        <v>17</v>
      </c>
      <c r="F160" s="157">
        <v>115</v>
      </c>
      <c r="G160" s="158">
        <f t="shared" ref="G160:G222" si="10">SUM(F160*2)</f>
        <v>230</v>
      </c>
      <c r="H160" s="118" t="s">
        <v>31</v>
      </c>
      <c r="I160" s="1"/>
      <c r="J160" s="136">
        <f t="shared" ref="J160:J221" si="11">SUM(F160*I160)</f>
        <v>0</v>
      </c>
    </row>
    <row r="161" spans="2:10" ht="16" customHeight="1">
      <c r="B161" s="114" t="s">
        <v>255</v>
      </c>
      <c r="C161" s="115" t="s">
        <v>251</v>
      </c>
      <c r="D161" s="185"/>
      <c r="E161" s="116" t="s">
        <v>17</v>
      </c>
      <c r="F161" s="157">
        <v>115</v>
      </c>
      <c r="G161" s="158">
        <f t="shared" si="10"/>
        <v>230</v>
      </c>
      <c r="H161" s="118" t="s">
        <v>32</v>
      </c>
      <c r="I161" s="1"/>
      <c r="J161" s="136">
        <f t="shared" si="11"/>
        <v>0</v>
      </c>
    </row>
    <row r="162" spans="2:10" ht="16" customHeight="1">
      <c r="B162" s="114" t="s">
        <v>256</v>
      </c>
      <c r="C162" s="115" t="s">
        <v>251</v>
      </c>
      <c r="D162" s="186"/>
      <c r="E162" s="116" t="s">
        <v>17</v>
      </c>
      <c r="F162" s="157">
        <v>115</v>
      </c>
      <c r="G162" s="158">
        <f t="shared" si="10"/>
        <v>230</v>
      </c>
      <c r="H162" s="118" t="s">
        <v>15</v>
      </c>
      <c r="I162" s="1"/>
      <c r="J162" s="136">
        <f t="shared" si="11"/>
        <v>0</v>
      </c>
    </row>
    <row r="163" spans="2:10" ht="16" customHeight="1">
      <c r="B163" s="32" t="s">
        <v>257</v>
      </c>
      <c r="C163" s="1" t="s">
        <v>258</v>
      </c>
      <c r="D163" s="187" t="s">
        <v>77</v>
      </c>
      <c r="E163" s="25" t="s">
        <v>259</v>
      </c>
      <c r="F163" s="153">
        <v>115</v>
      </c>
      <c r="G163" s="149">
        <f t="shared" si="10"/>
        <v>230</v>
      </c>
      <c r="H163" s="150" t="s">
        <v>330</v>
      </c>
      <c r="I163" s="1"/>
      <c r="J163" s="136">
        <f t="shared" si="11"/>
        <v>0</v>
      </c>
    </row>
    <row r="164" spans="2:10" ht="16" customHeight="1">
      <c r="B164" s="32" t="s">
        <v>260</v>
      </c>
      <c r="C164" s="1" t="s">
        <v>258</v>
      </c>
      <c r="D164" s="188"/>
      <c r="E164" s="25" t="s">
        <v>259</v>
      </c>
      <c r="F164" s="153">
        <v>115</v>
      </c>
      <c r="G164" s="149">
        <f t="shared" si="10"/>
        <v>230</v>
      </c>
      <c r="H164" s="120" t="s">
        <v>29</v>
      </c>
      <c r="I164" s="1"/>
      <c r="J164" s="136">
        <f t="shared" si="11"/>
        <v>0</v>
      </c>
    </row>
    <row r="165" spans="2:10" ht="16" customHeight="1">
      <c r="B165" s="32" t="s">
        <v>261</v>
      </c>
      <c r="C165" s="1" t="s">
        <v>258</v>
      </c>
      <c r="D165" s="188"/>
      <c r="E165" s="25" t="s">
        <v>259</v>
      </c>
      <c r="F165" s="153">
        <v>115</v>
      </c>
      <c r="G165" s="149">
        <f t="shared" si="10"/>
        <v>230</v>
      </c>
      <c r="H165" s="120" t="s">
        <v>30</v>
      </c>
      <c r="I165" s="1"/>
      <c r="J165" s="136">
        <f t="shared" si="11"/>
        <v>0</v>
      </c>
    </row>
    <row r="166" spans="2:10" ht="16" customHeight="1">
      <c r="B166" s="32" t="s">
        <v>262</v>
      </c>
      <c r="C166" s="1" t="s">
        <v>258</v>
      </c>
      <c r="D166" s="188"/>
      <c r="E166" s="25" t="s">
        <v>259</v>
      </c>
      <c r="F166" s="153">
        <v>115</v>
      </c>
      <c r="G166" s="149">
        <f t="shared" si="10"/>
        <v>230</v>
      </c>
      <c r="H166" s="120" t="s">
        <v>31</v>
      </c>
      <c r="I166" s="1"/>
      <c r="J166" s="136">
        <f t="shared" si="11"/>
        <v>0</v>
      </c>
    </row>
    <row r="167" spans="2:10" ht="16" customHeight="1">
      <c r="B167" s="32" t="s">
        <v>263</v>
      </c>
      <c r="C167" s="1" t="s">
        <v>258</v>
      </c>
      <c r="D167" s="188"/>
      <c r="E167" s="25" t="s">
        <v>259</v>
      </c>
      <c r="F167" s="153">
        <v>115</v>
      </c>
      <c r="G167" s="149">
        <f t="shared" si="10"/>
        <v>230</v>
      </c>
      <c r="H167" s="120" t="s">
        <v>32</v>
      </c>
      <c r="I167" s="1"/>
      <c r="J167" s="136">
        <f t="shared" si="11"/>
        <v>0</v>
      </c>
    </row>
    <row r="168" spans="2:10" ht="16" customHeight="1">
      <c r="B168" s="32" t="s">
        <v>264</v>
      </c>
      <c r="C168" s="1" t="s">
        <v>258</v>
      </c>
      <c r="D168" s="189"/>
      <c r="E168" s="25" t="s">
        <v>259</v>
      </c>
      <c r="F168" s="153">
        <v>115</v>
      </c>
      <c r="G168" s="149">
        <f t="shared" si="10"/>
        <v>230</v>
      </c>
      <c r="H168" s="120" t="s">
        <v>15</v>
      </c>
      <c r="I168" s="1"/>
      <c r="J168" s="136">
        <f t="shared" si="11"/>
        <v>0</v>
      </c>
    </row>
    <row r="169" spans="2:10" ht="16" customHeight="1">
      <c r="B169" s="114" t="s">
        <v>287</v>
      </c>
      <c r="C169" s="115" t="s">
        <v>288</v>
      </c>
      <c r="D169" s="184" t="s">
        <v>85</v>
      </c>
      <c r="E169" s="116" t="s">
        <v>281</v>
      </c>
      <c r="F169" s="157">
        <v>110</v>
      </c>
      <c r="G169" s="158">
        <f t="shared" ref="G169:G186" si="12">SUM(F169*2)</f>
        <v>220</v>
      </c>
      <c r="H169" s="162" t="s">
        <v>331</v>
      </c>
      <c r="I169" s="1"/>
      <c r="J169" s="136">
        <f t="shared" si="11"/>
        <v>0</v>
      </c>
    </row>
    <row r="170" spans="2:10" ht="16" customHeight="1">
      <c r="B170" s="114" t="s">
        <v>289</v>
      </c>
      <c r="C170" s="115" t="s">
        <v>288</v>
      </c>
      <c r="D170" s="185"/>
      <c r="E170" s="116" t="s">
        <v>281</v>
      </c>
      <c r="F170" s="157">
        <v>110</v>
      </c>
      <c r="G170" s="158">
        <f t="shared" si="12"/>
        <v>220</v>
      </c>
      <c r="H170" s="118" t="s">
        <v>29</v>
      </c>
      <c r="I170" s="1"/>
      <c r="J170" s="136">
        <f t="shared" si="11"/>
        <v>0</v>
      </c>
    </row>
    <row r="171" spans="2:10" ht="16" customHeight="1">
      <c r="B171" s="114" t="s">
        <v>290</v>
      </c>
      <c r="C171" s="115" t="s">
        <v>288</v>
      </c>
      <c r="D171" s="185"/>
      <c r="E171" s="116" t="s">
        <v>281</v>
      </c>
      <c r="F171" s="157">
        <v>110</v>
      </c>
      <c r="G171" s="158">
        <f t="shared" si="12"/>
        <v>220</v>
      </c>
      <c r="H171" s="118" t="s">
        <v>30</v>
      </c>
      <c r="I171" s="1"/>
      <c r="J171" s="136">
        <f t="shared" si="11"/>
        <v>0</v>
      </c>
    </row>
    <row r="172" spans="2:10" ht="16" customHeight="1">
      <c r="B172" s="114" t="s">
        <v>291</v>
      </c>
      <c r="C172" s="115" t="s">
        <v>288</v>
      </c>
      <c r="D172" s="185"/>
      <c r="E172" s="116" t="s">
        <v>281</v>
      </c>
      <c r="F172" s="157">
        <v>110</v>
      </c>
      <c r="G172" s="158">
        <f t="shared" si="12"/>
        <v>220</v>
      </c>
      <c r="H172" s="118" t="s">
        <v>31</v>
      </c>
      <c r="I172" s="1"/>
      <c r="J172" s="136">
        <f t="shared" si="11"/>
        <v>0</v>
      </c>
    </row>
    <row r="173" spans="2:10" ht="16" customHeight="1">
      <c r="B173" s="114" t="s">
        <v>292</v>
      </c>
      <c r="C173" s="115" t="s">
        <v>288</v>
      </c>
      <c r="D173" s="185"/>
      <c r="E173" s="116" t="s">
        <v>281</v>
      </c>
      <c r="F173" s="157">
        <v>110</v>
      </c>
      <c r="G173" s="158">
        <f t="shared" si="12"/>
        <v>220</v>
      </c>
      <c r="H173" s="118" t="s">
        <v>32</v>
      </c>
      <c r="I173" s="1"/>
      <c r="J173" s="136">
        <f t="shared" si="11"/>
        <v>0</v>
      </c>
    </row>
    <row r="174" spans="2:10" ht="16" customHeight="1">
      <c r="B174" s="114" t="s">
        <v>293</v>
      </c>
      <c r="C174" s="115" t="s">
        <v>288</v>
      </c>
      <c r="D174" s="186"/>
      <c r="E174" s="116" t="s">
        <v>281</v>
      </c>
      <c r="F174" s="157">
        <v>110</v>
      </c>
      <c r="G174" s="158">
        <f t="shared" si="12"/>
        <v>220</v>
      </c>
      <c r="H174" s="118" t="s">
        <v>15</v>
      </c>
      <c r="I174" s="1"/>
      <c r="J174" s="136">
        <f t="shared" si="11"/>
        <v>0</v>
      </c>
    </row>
    <row r="175" spans="2:10" ht="16" customHeight="1">
      <c r="B175" s="32" t="s">
        <v>294</v>
      </c>
      <c r="C175" s="1" t="s">
        <v>295</v>
      </c>
      <c r="D175" s="187" t="s">
        <v>85</v>
      </c>
      <c r="E175" s="25" t="s">
        <v>23</v>
      </c>
      <c r="F175" s="153">
        <v>110</v>
      </c>
      <c r="G175" s="149">
        <f t="shared" si="12"/>
        <v>220</v>
      </c>
      <c r="H175" s="155" t="s">
        <v>331</v>
      </c>
      <c r="I175" s="1"/>
      <c r="J175" s="136">
        <f t="shared" si="11"/>
        <v>0</v>
      </c>
    </row>
    <row r="176" spans="2:10" ht="16" customHeight="1">
      <c r="B176" s="32" t="s">
        <v>296</v>
      </c>
      <c r="C176" s="1" t="s">
        <v>295</v>
      </c>
      <c r="D176" s="188"/>
      <c r="E176" s="25" t="s">
        <v>23</v>
      </c>
      <c r="F176" s="153">
        <v>110</v>
      </c>
      <c r="G176" s="149">
        <f t="shared" si="12"/>
        <v>220</v>
      </c>
      <c r="H176" s="120" t="s">
        <v>29</v>
      </c>
      <c r="I176" s="1"/>
      <c r="J176" s="136">
        <f t="shared" si="11"/>
        <v>0</v>
      </c>
    </row>
    <row r="177" spans="2:10" ht="16" customHeight="1">
      <c r="B177" s="32" t="s">
        <v>297</v>
      </c>
      <c r="C177" s="1" t="s">
        <v>295</v>
      </c>
      <c r="D177" s="188"/>
      <c r="E177" s="25" t="s">
        <v>23</v>
      </c>
      <c r="F177" s="153">
        <v>110</v>
      </c>
      <c r="G177" s="149">
        <f t="shared" si="12"/>
        <v>220</v>
      </c>
      <c r="H177" s="120" t="s">
        <v>30</v>
      </c>
      <c r="I177" s="1"/>
      <c r="J177" s="136">
        <f t="shared" si="11"/>
        <v>0</v>
      </c>
    </row>
    <row r="178" spans="2:10" ht="16" customHeight="1">
      <c r="B178" s="32" t="s">
        <v>298</v>
      </c>
      <c r="C178" s="1" t="s">
        <v>295</v>
      </c>
      <c r="D178" s="188"/>
      <c r="E178" s="25" t="s">
        <v>23</v>
      </c>
      <c r="F178" s="153">
        <v>110</v>
      </c>
      <c r="G178" s="149">
        <f t="shared" si="12"/>
        <v>220</v>
      </c>
      <c r="H178" s="120" t="s">
        <v>31</v>
      </c>
      <c r="I178" s="1"/>
      <c r="J178" s="136">
        <f t="shared" si="11"/>
        <v>0</v>
      </c>
    </row>
    <row r="179" spans="2:10" ht="16" customHeight="1">
      <c r="B179" s="32" t="s">
        <v>299</v>
      </c>
      <c r="C179" s="1" t="s">
        <v>295</v>
      </c>
      <c r="D179" s="188"/>
      <c r="E179" s="25" t="s">
        <v>23</v>
      </c>
      <c r="F179" s="153">
        <v>110</v>
      </c>
      <c r="G179" s="149">
        <f t="shared" si="12"/>
        <v>220</v>
      </c>
      <c r="H179" s="120" t="s">
        <v>32</v>
      </c>
      <c r="I179" s="1"/>
      <c r="J179" s="136">
        <f t="shared" si="11"/>
        <v>0</v>
      </c>
    </row>
    <row r="180" spans="2:10" ht="16" customHeight="1">
      <c r="B180" s="32" t="s">
        <v>300</v>
      </c>
      <c r="C180" s="1" t="s">
        <v>295</v>
      </c>
      <c r="D180" s="189"/>
      <c r="E180" s="25" t="s">
        <v>23</v>
      </c>
      <c r="F180" s="153">
        <v>110</v>
      </c>
      <c r="G180" s="149">
        <f t="shared" si="12"/>
        <v>220</v>
      </c>
      <c r="H180" s="120" t="s">
        <v>15</v>
      </c>
      <c r="I180" s="1"/>
      <c r="J180" s="136">
        <f t="shared" si="11"/>
        <v>0</v>
      </c>
    </row>
    <row r="181" spans="2:10" ht="16" customHeight="1">
      <c r="B181" s="114" t="s">
        <v>301</v>
      </c>
      <c r="C181" s="115" t="s">
        <v>302</v>
      </c>
      <c r="D181" s="184" t="s">
        <v>85</v>
      </c>
      <c r="E181" s="116" t="s">
        <v>303</v>
      </c>
      <c r="F181" s="157">
        <v>110</v>
      </c>
      <c r="G181" s="158">
        <f t="shared" si="12"/>
        <v>220</v>
      </c>
      <c r="H181" s="162" t="s">
        <v>331</v>
      </c>
      <c r="I181" s="1"/>
      <c r="J181" s="136">
        <f t="shared" si="11"/>
        <v>0</v>
      </c>
    </row>
    <row r="182" spans="2:10" ht="16" customHeight="1">
      <c r="B182" s="114" t="s">
        <v>304</v>
      </c>
      <c r="C182" s="115" t="s">
        <v>302</v>
      </c>
      <c r="D182" s="185"/>
      <c r="E182" s="116" t="s">
        <v>303</v>
      </c>
      <c r="F182" s="157">
        <v>110</v>
      </c>
      <c r="G182" s="158">
        <f t="shared" si="12"/>
        <v>220</v>
      </c>
      <c r="H182" s="118" t="s">
        <v>29</v>
      </c>
      <c r="I182" s="1"/>
      <c r="J182" s="136">
        <f t="shared" si="11"/>
        <v>0</v>
      </c>
    </row>
    <row r="183" spans="2:10" ht="16" customHeight="1">
      <c r="B183" s="114" t="s">
        <v>305</v>
      </c>
      <c r="C183" s="115" t="s">
        <v>302</v>
      </c>
      <c r="D183" s="185"/>
      <c r="E183" s="116" t="s">
        <v>303</v>
      </c>
      <c r="F183" s="157">
        <v>110</v>
      </c>
      <c r="G183" s="158">
        <f t="shared" si="12"/>
        <v>220</v>
      </c>
      <c r="H183" s="118" t="s">
        <v>30</v>
      </c>
      <c r="I183" s="1"/>
      <c r="J183" s="136">
        <f t="shared" si="11"/>
        <v>0</v>
      </c>
    </row>
    <row r="184" spans="2:10" ht="18" customHeight="1">
      <c r="B184" s="114" t="s">
        <v>306</v>
      </c>
      <c r="C184" s="115" t="s">
        <v>302</v>
      </c>
      <c r="D184" s="185"/>
      <c r="E184" s="116" t="s">
        <v>303</v>
      </c>
      <c r="F184" s="157">
        <v>110</v>
      </c>
      <c r="G184" s="158">
        <f t="shared" si="12"/>
        <v>220</v>
      </c>
      <c r="H184" s="118" t="s">
        <v>31</v>
      </c>
      <c r="I184" s="1"/>
      <c r="J184" s="136">
        <f t="shared" si="11"/>
        <v>0</v>
      </c>
    </row>
    <row r="185" spans="2:10" ht="16" customHeight="1">
      <c r="B185" s="114" t="s">
        <v>307</v>
      </c>
      <c r="C185" s="115" t="s">
        <v>302</v>
      </c>
      <c r="D185" s="185"/>
      <c r="E185" s="116" t="s">
        <v>303</v>
      </c>
      <c r="F185" s="157">
        <v>110</v>
      </c>
      <c r="G185" s="158">
        <f t="shared" si="12"/>
        <v>220</v>
      </c>
      <c r="H185" s="118" t="s">
        <v>32</v>
      </c>
      <c r="I185" s="1"/>
      <c r="J185" s="136">
        <f t="shared" si="11"/>
        <v>0</v>
      </c>
    </row>
    <row r="186" spans="2:10" ht="16" customHeight="1">
      <c r="B186" s="114" t="s">
        <v>308</v>
      </c>
      <c r="C186" s="115" t="s">
        <v>302</v>
      </c>
      <c r="D186" s="186"/>
      <c r="E186" s="116" t="s">
        <v>303</v>
      </c>
      <c r="F186" s="157">
        <v>110</v>
      </c>
      <c r="G186" s="158">
        <f t="shared" si="12"/>
        <v>220</v>
      </c>
      <c r="H186" s="118" t="s">
        <v>15</v>
      </c>
      <c r="I186" s="1"/>
      <c r="J186" s="136">
        <f t="shared" si="11"/>
        <v>0</v>
      </c>
    </row>
    <row r="187" spans="2:10" ht="16" customHeight="1">
      <c r="B187" s="32" t="s">
        <v>309</v>
      </c>
      <c r="C187" s="1" t="s">
        <v>310</v>
      </c>
      <c r="D187" s="187" t="s">
        <v>78</v>
      </c>
      <c r="E187" s="25" t="s">
        <v>244</v>
      </c>
      <c r="F187" s="153">
        <v>80</v>
      </c>
      <c r="G187" s="149">
        <f>SUM(F187*2)</f>
        <v>160</v>
      </c>
      <c r="H187" s="155" t="s">
        <v>331</v>
      </c>
      <c r="I187" s="1"/>
      <c r="J187" s="136">
        <f t="shared" si="11"/>
        <v>0</v>
      </c>
    </row>
    <row r="188" spans="2:10" ht="16" customHeight="1">
      <c r="B188" s="32" t="s">
        <v>311</v>
      </c>
      <c r="C188" s="1" t="s">
        <v>310</v>
      </c>
      <c r="D188" s="188"/>
      <c r="E188" s="25" t="s">
        <v>244</v>
      </c>
      <c r="F188" s="153">
        <v>80</v>
      </c>
      <c r="G188" s="149">
        <f t="shared" ref="G188:G199" si="13">SUM(F188*2)</f>
        <v>160</v>
      </c>
      <c r="H188" s="120" t="s">
        <v>29</v>
      </c>
      <c r="I188" s="1"/>
      <c r="J188" s="136">
        <f t="shared" si="11"/>
        <v>0</v>
      </c>
    </row>
    <row r="189" spans="2:10" ht="16" customHeight="1">
      <c r="B189" s="32" t="s">
        <v>312</v>
      </c>
      <c r="C189" s="1" t="s">
        <v>310</v>
      </c>
      <c r="D189" s="188"/>
      <c r="E189" s="25" t="s">
        <v>244</v>
      </c>
      <c r="F189" s="153">
        <v>80</v>
      </c>
      <c r="G189" s="149">
        <f t="shared" si="13"/>
        <v>160</v>
      </c>
      <c r="H189" s="120" t="s">
        <v>30</v>
      </c>
      <c r="I189" s="1"/>
      <c r="J189" s="136">
        <f t="shared" si="11"/>
        <v>0</v>
      </c>
    </row>
    <row r="190" spans="2:10" ht="16" customHeight="1">
      <c r="B190" s="32" t="s">
        <v>313</v>
      </c>
      <c r="C190" s="1" t="s">
        <v>310</v>
      </c>
      <c r="D190" s="188"/>
      <c r="E190" s="25" t="s">
        <v>244</v>
      </c>
      <c r="F190" s="153">
        <v>80</v>
      </c>
      <c r="G190" s="149">
        <f t="shared" si="13"/>
        <v>160</v>
      </c>
      <c r="H190" s="120" t="s">
        <v>31</v>
      </c>
      <c r="I190" s="1"/>
      <c r="J190" s="136">
        <f t="shared" si="11"/>
        <v>0</v>
      </c>
    </row>
    <row r="191" spans="2:10" ht="16" customHeight="1">
      <c r="B191" s="32" t="s">
        <v>314</v>
      </c>
      <c r="C191" s="1" t="s">
        <v>310</v>
      </c>
      <c r="D191" s="188"/>
      <c r="E191" s="25" t="s">
        <v>244</v>
      </c>
      <c r="F191" s="153">
        <v>80</v>
      </c>
      <c r="G191" s="149">
        <f t="shared" si="13"/>
        <v>160</v>
      </c>
      <c r="H191" s="120" t="s">
        <v>32</v>
      </c>
      <c r="I191" s="1"/>
      <c r="J191" s="136">
        <f t="shared" si="11"/>
        <v>0</v>
      </c>
    </row>
    <row r="192" spans="2:10" ht="16" customHeight="1">
      <c r="B192" s="32" t="s">
        <v>315</v>
      </c>
      <c r="C192" s="1" t="s">
        <v>310</v>
      </c>
      <c r="D192" s="189"/>
      <c r="E192" s="25" t="s">
        <v>244</v>
      </c>
      <c r="F192" s="153">
        <v>80</v>
      </c>
      <c r="G192" s="149">
        <f t="shared" si="13"/>
        <v>160</v>
      </c>
      <c r="H192" s="120" t="s">
        <v>15</v>
      </c>
      <c r="I192" s="1"/>
      <c r="J192" s="136">
        <f t="shared" si="11"/>
        <v>0</v>
      </c>
    </row>
    <row r="193" spans="2:10" ht="16" customHeight="1">
      <c r="B193" s="114" t="s">
        <v>316</v>
      </c>
      <c r="C193" s="115" t="s">
        <v>317</v>
      </c>
      <c r="D193" s="184" t="s">
        <v>78</v>
      </c>
      <c r="E193" s="116" t="s">
        <v>17</v>
      </c>
      <c r="F193" s="157">
        <v>80</v>
      </c>
      <c r="G193" s="158">
        <f t="shared" si="13"/>
        <v>160</v>
      </c>
      <c r="H193" s="162" t="s">
        <v>331</v>
      </c>
      <c r="I193" s="1"/>
      <c r="J193" s="136">
        <f t="shared" si="11"/>
        <v>0</v>
      </c>
    </row>
    <row r="194" spans="2:10" ht="16" customHeight="1">
      <c r="B194" s="114" t="s">
        <v>318</v>
      </c>
      <c r="C194" s="115" t="s">
        <v>317</v>
      </c>
      <c r="D194" s="185"/>
      <c r="E194" s="116" t="s">
        <v>17</v>
      </c>
      <c r="F194" s="157">
        <v>80</v>
      </c>
      <c r="G194" s="158">
        <f t="shared" si="13"/>
        <v>160</v>
      </c>
      <c r="H194" s="118" t="s">
        <v>29</v>
      </c>
      <c r="I194" s="1"/>
      <c r="J194" s="136">
        <f t="shared" si="11"/>
        <v>0</v>
      </c>
    </row>
    <row r="195" spans="2:10" ht="16" customHeight="1">
      <c r="B195" s="114" t="s">
        <v>319</v>
      </c>
      <c r="C195" s="115" t="s">
        <v>317</v>
      </c>
      <c r="D195" s="185"/>
      <c r="E195" s="116" t="s">
        <v>17</v>
      </c>
      <c r="F195" s="157">
        <v>80</v>
      </c>
      <c r="G195" s="158">
        <f t="shared" si="13"/>
        <v>160</v>
      </c>
      <c r="H195" s="118" t="s">
        <v>30</v>
      </c>
      <c r="I195" s="1"/>
      <c r="J195" s="136">
        <f t="shared" si="11"/>
        <v>0</v>
      </c>
    </row>
    <row r="196" spans="2:10" ht="16" customHeight="1">
      <c r="B196" s="114" t="s">
        <v>320</v>
      </c>
      <c r="C196" s="115" t="s">
        <v>317</v>
      </c>
      <c r="D196" s="185"/>
      <c r="E196" s="116" t="s">
        <v>17</v>
      </c>
      <c r="F196" s="157">
        <v>80</v>
      </c>
      <c r="G196" s="158">
        <f t="shared" si="13"/>
        <v>160</v>
      </c>
      <c r="H196" s="118" t="s">
        <v>31</v>
      </c>
      <c r="I196" s="1"/>
      <c r="J196" s="136">
        <f t="shared" si="11"/>
        <v>0</v>
      </c>
    </row>
    <row r="197" spans="2:10" ht="16" customHeight="1">
      <c r="B197" s="114" t="s">
        <v>321</v>
      </c>
      <c r="C197" s="115" t="s">
        <v>317</v>
      </c>
      <c r="D197" s="185"/>
      <c r="E197" s="116" t="s">
        <v>17</v>
      </c>
      <c r="F197" s="157">
        <v>80</v>
      </c>
      <c r="G197" s="158">
        <f t="shared" si="13"/>
        <v>160</v>
      </c>
      <c r="H197" s="118" t="s">
        <v>32</v>
      </c>
      <c r="I197" s="1"/>
      <c r="J197" s="136">
        <f t="shared" si="11"/>
        <v>0</v>
      </c>
    </row>
    <row r="198" spans="2:10" ht="16" customHeight="1">
      <c r="B198" s="114" t="s">
        <v>322</v>
      </c>
      <c r="C198" s="115" t="s">
        <v>317</v>
      </c>
      <c r="D198" s="186"/>
      <c r="E198" s="116" t="s">
        <v>17</v>
      </c>
      <c r="F198" s="157">
        <v>80</v>
      </c>
      <c r="G198" s="158">
        <f t="shared" si="13"/>
        <v>160</v>
      </c>
      <c r="H198" s="118" t="s">
        <v>15</v>
      </c>
      <c r="I198" s="1"/>
      <c r="J198" s="136">
        <f t="shared" si="11"/>
        <v>0</v>
      </c>
    </row>
    <row r="199" spans="2:10" ht="16" customHeight="1">
      <c r="B199" s="32" t="s">
        <v>323</v>
      </c>
      <c r="C199" s="1" t="s">
        <v>324</v>
      </c>
      <c r="D199" s="187" t="s">
        <v>78</v>
      </c>
      <c r="E199" s="25" t="s">
        <v>23</v>
      </c>
      <c r="F199" s="153">
        <v>80</v>
      </c>
      <c r="G199" s="149">
        <f t="shared" si="13"/>
        <v>160</v>
      </c>
      <c r="H199" s="155" t="s">
        <v>331</v>
      </c>
      <c r="I199" s="1"/>
      <c r="J199" s="136">
        <f t="shared" si="11"/>
        <v>0</v>
      </c>
    </row>
    <row r="200" spans="2:10" ht="16" customHeight="1">
      <c r="B200" s="32" t="s">
        <v>325</v>
      </c>
      <c r="C200" s="1" t="s">
        <v>324</v>
      </c>
      <c r="D200" s="188"/>
      <c r="E200" s="25" t="s">
        <v>23</v>
      </c>
      <c r="F200" s="153">
        <v>80</v>
      </c>
      <c r="G200" s="149">
        <f>SUM(F200*2)</f>
        <v>160</v>
      </c>
      <c r="H200" s="120" t="s">
        <v>29</v>
      </c>
      <c r="I200" s="1"/>
      <c r="J200" s="136">
        <f t="shared" si="11"/>
        <v>0</v>
      </c>
    </row>
    <row r="201" spans="2:10" ht="16" customHeight="1">
      <c r="B201" s="32" t="s">
        <v>326</v>
      </c>
      <c r="C201" s="1" t="s">
        <v>324</v>
      </c>
      <c r="D201" s="188"/>
      <c r="E201" s="25" t="s">
        <v>23</v>
      </c>
      <c r="F201" s="153">
        <v>80</v>
      </c>
      <c r="G201" s="149">
        <f t="shared" ref="G201:G204" si="14">SUM(F201*2)</f>
        <v>160</v>
      </c>
      <c r="H201" s="120" t="s">
        <v>30</v>
      </c>
      <c r="I201" s="1"/>
      <c r="J201" s="136">
        <f t="shared" si="11"/>
        <v>0</v>
      </c>
    </row>
    <row r="202" spans="2:10" ht="16" customHeight="1">
      <c r="B202" s="32" t="s">
        <v>327</v>
      </c>
      <c r="C202" s="1" t="s">
        <v>324</v>
      </c>
      <c r="D202" s="188"/>
      <c r="E202" s="25" t="s">
        <v>23</v>
      </c>
      <c r="F202" s="153">
        <v>80</v>
      </c>
      <c r="G202" s="149">
        <f t="shared" si="14"/>
        <v>160</v>
      </c>
      <c r="H202" s="120" t="s">
        <v>31</v>
      </c>
      <c r="I202" s="1"/>
      <c r="J202" s="136">
        <f t="shared" si="11"/>
        <v>0</v>
      </c>
    </row>
    <row r="203" spans="2:10" ht="16" customHeight="1">
      <c r="B203" s="32" t="s">
        <v>328</v>
      </c>
      <c r="C203" s="1" t="s">
        <v>324</v>
      </c>
      <c r="D203" s="188"/>
      <c r="E203" s="25" t="s">
        <v>23</v>
      </c>
      <c r="F203" s="153">
        <v>80</v>
      </c>
      <c r="G203" s="149">
        <f t="shared" si="14"/>
        <v>160</v>
      </c>
      <c r="H203" s="120" t="s">
        <v>32</v>
      </c>
      <c r="I203" s="1"/>
      <c r="J203" s="136">
        <f t="shared" si="11"/>
        <v>0</v>
      </c>
    </row>
    <row r="204" spans="2:10" ht="16" customHeight="1">
      <c r="B204" s="32" t="s">
        <v>329</v>
      </c>
      <c r="C204" s="1" t="s">
        <v>324</v>
      </c>
      <c r="D204" s="189"/>
      <c r="E204" s="1" t="s">
        <v>23</v>
      </c>
      <c r="F204" s="153">
        <v>80</v>
      </c>
      <c r="G204" s="156">
        <f t="shared" si="14"/>
        <v>160</v>
      </c>
      <c r="H204" s="120" t="s">
        <v>15</v>
      </c>
      <c r="I204" s="1"/>
      <c r="J204" s="136">
        <f t="shared" si="11"/>
        <v>0</v>
      </c>
    </row>
    <row r="205" spans="2:10" ht="16" customHeight="1">
      <c r="B205" s="114" t="s">
        <v>265</v>
      </c>
      <c r="C205" s="115" t="s">
        <v>266</v>
      </c>
      <c r="D205" s="184" t="s">
        <v>267</v>
      </c>
      <c r="E205" s="116" t="s">
        <v>17</v>
      </c>
      <c r="F205" s="157">
        <v>85</v>
      </c>
      <c r="G205" s="158">
        <f t="shared" si="10"/>
        <v>170</v>
      </c>
      <c r="H205" s="159" t="s">
        <v>330</v>
      </c>
      <c r="I205" s="1"/>
      <c r="J205" s="136">
        <f t="shared" si="11"/>
        <v>0</v>
      </c>
    </row>
    <row r="206" spans="2:10" ht="16" customHeight="1">
      <c r="B206" s="114" t="s">
        <v>268</v>
      </c>
      <c r="C206" s="115" t="s">
        <v>266</v>
      </c>
      <c r="D206" s="185"/>
      <c r="E206" s="116" t="s">
        <v>17</v>
      </c>
      <c r="F206" s="157">
        <v>85</v>
      </c>
      <c r="G206" s="158">
        <f t="shared" si="10"/>
        <v>170</v>
      </c>
      <c r="H206" s="118" t="s">
        <v>29</v>
      </c>
      <c r="I206" s="1"/>
      <c r="J206" s="136">
        <f t="shared" si="11"/>
        <v>0</v>
      </c>
    </row>
    <row r="207" spans="2:10" ht="16" customHeight="1">
      <c r="B207" s="114" t="s">
        <v>269</v>
      </c>
      <c r="C207" s="115" t="s">
        <v>266</v>
      </c>
      <c r="D207" s="185"/>
      <c r="E207" s="116" t="s">
        <v>17</v>
      </c>
      <c r="F207" s="157">
        <v>85</v>
      </c>
      <c r="G207" s="158">
        <f t="shared" si="10"/>
        <v>170</v>
      </c>
      <c r="H207" s="118" t="s">
        <v>30</v>
      </c>
      <c r="I207" s="1"/>
      <c r="J207" s="136">
        <f t="shared" si="11"/>
        <v>0</v>
      </c>
    </row>
    <row r="208" spans="2:10" ht="16" customHeight="1">
      <c r="B208" s="114" t="s">
        <v>270</v>
      </c>
      <c r="C208" s="115" t="s">
        <v>266</v>
      </c>
      <c r="D208" s="185"/>
      <c r="E208" s="116" t="s">
        <v>17</v>
      </c>
      <c r="F208" s="157">
        <v>85</v>
      </c>
      <c r="G208" s="158">
        <f t="shared" si="10"/>
        <v>170</v>
      </c>
      <c r="H208" s="118" t="s">
        <v>31</v>
      </c>
      <c r="I208" s="1"/>
      <c r="J208" s="136">
        <f t="shared" si="11"/>
        <v>0</v>
      </c>
    </row>
    <row r="209" spans="2:11" ht="16" customHeight="1">
      <c r="B209" s="114" t="s">
        <v>271</v>
      </c>
      <c r="C209" s="115" t="s">
        <v>266</v>
      </c>
      <c r="D209" s="185"/>
      <c r="E209" s="116" t="s">
        <v>17</v>
      </c>
      <c r="F209" s="157">
        <v>85</v>
      </c>
      <c r="G209" s="158">
        <f t="shared" si="10"/>
        <v>170</v>
      </c>
      <c r="H209" s="118" t="s">
        <v>32</v>
      </c>
      <c r="I209" s="1"/>
      <c r="J209" s="136">
        <f t="shared" si="11"/>
        <v>0</v>
      </c>
    </row>
    <row r="210" spans="2:11" ht="16" customHeight="1">
      <c r="B210" s="114" t="s">
        <v>272</v>
      </c>
      <c r="C210" s="115" t="s">
        <v>266</v>
      </c>
      <c r="D210" s="186"/>
      <c r="E210" s="116" t="s">
        <v>17</v>
      </c>
      <c r="F210" s="157">
        <v>85</v>
      </c>
      <c r="G210" s="158">
        <f t="shared" si="10"/>
        <v>170</v>
      </c>
      <c r="H210" s="118" t="s">
        <v>15</v>
      </c>
      <c r="I210" s="1"/>
      <c r="J210" s="136">
        <f t="shared" si="11"/>
        <v>0</v>
      </c>
    </row>
    <row r="211" spans="2:11" ht="16" customHeight="1">
      <c r="B211" s="32" t="s">
        <v>273</v>
      </c>
      <c r="C211" s="1" t="s">
        <v>274</v>
      </c>
      <c r="D211" s="187" t="s">
        <v>267</v>
      </c>
      <c r="E211" s="25" t="s">
        <v>259</v>
      </c>
      <c r="F211" s="153">
        <v>85</v>
      </c>
      <c r="G211" s="149">
        <f t="shared" si="10"/>
        <v>170</v>
      </c>
      <c r="H211" s="150" t="s">
        <v>330</v>
      </c>
      <c r="I211" s="1"/>
      <c r="J211" s="136">
        <f t="shared" si="11"/>
        <v>0</v>
      </c>
    </row>
    <row r="212" spans="2:11" ht="16" customHeight="1">
      <c r="B212" s="32" t="s">
        <v>275</v>
      </c>
      <c r="C212" s="1" t="s">
        <v>274</v>
      </c>
      <c r="D212" s="188"/>
      <c r="E212" s="25" t="s">
        <v>259</v>
      </c>
      <c r="F212" s="153">
        <v>85</v>
      </c>
      <c r="G212" s="149">
        <f t="shared" si="10"/>
        <v>170</v>
      </c>
      <c r="H212" s="120" t="s">
        <v>29</v>
      </c>
      <c r="I212" s="1"/>
      <c r="J212" s="136">
        <f t="shared" si="11"/>
        <v>0</v>
      </c>
    </row>
    <row r="213" spans="2:11" ht="16" customHeight="1">
      <c r="B213" s="32" t="s">
        <v>276</v>
      </c>
      <c r="C213" s="1" t="s">
        <v>274</v>
      </c>
      <c r="D213" s="188"/>
      <c r="E213" s="25" t="s">
        <v>259</v>
      </c>
      <c r="F213" s="153">
        <v>85</v>
      </c>
      <c r="G213" s="149">
        <f t="shared" si="10"/>
        <v>170</v>
      </c>
      <c r="H213" s="120" t="s">
        <v>30</v>
      </c>
      <c r="I213" s="1"/>
      <c r="J213" s="136">
        <f t="shared" si="11"/>
        <v>0</v>
      </c>
    </row>
    <row r="214" spans="2:11" ht="18" customHeight="1">
      <c r="B214" s="32" t="s">
        <v>277</v>
      </c>
      <c r="C214" s="1" t="s">
        <v>274</v>
      </c>
      <c r="D214" s="188"/>
      <c r="E214" s="25" t="s">
        <v>259</v>
      </c>
      <c r="F214" s="153">
        <v>85</v>
      </c>
      <c r="G214" s="149">
        <f t="shared" si="10"/>
        <v>170</v>
      </c>
      <c r="H214" s="120" t="s">
        <v>31</v>
      </c>
      <c r="I214" s="1"/>
      <c r="J214" s="136">
        <f t="shared" si="11"/>
        <v>0</v>
      </c>
    </row>
    <row r="215" spans="2:11" ht="16" customHeight="1">
      <c r="B215" s="32" t="s">
        <v>278</v>
      </c>
      <c r="C215" s="1" t="s">
        <v>274</v>
      </c>
      <c r="D215" s="188"/>
      <c r="E215" s="25" t="s">
        <v>259</v>
      </c>
      <c r="F215" s="153">
        <v>85</v>
      </c>
      <c r="G215" s="149">
        <f t="shared" si="10"/>
        <v>170</v>
      </c>
      <c r="H215" s="120" t="s">
        <v>32</v>
      </c>
      <c r="I215" s="1"/>
      <c r="J215" s="136">
        <f t="shared" si="11"/>
        <v>0</v>
      </c>
    </row>
    <row r="216" spans="2:11" ht="16" customHeight="1">
      <c r="B216" s="32" t="s">
        <v>279</v>
      </c>
      <c r="C216" s="1" t="s">
        <v>274</v>
      </c>
      <c r="D216" s="189"/>
      <c r="E216" s="25" t="s">
        <v>259</v>
      </c>
      <c r="F216" s="153">
        <v>85</v>
      </c>
      <c r="G216" s="149">
        <f t="shared" si="10"/>
        <v>170</v>
      </c>
      <c r="H216" s="120" t="s">
        <v>15</v>
      </c>
      <c r="I216" s="1"/>
      <c r="J216" s="136">
        <f t="shared" si="11"/>
        <v>0</v>
      </c>
    </row>
    <row r="217" spans="2:11" ht="16" customHeight="1">
      <c r="B217" s="114" t="s">
        <v>280</v>
      </c>
      <c r="C217" s="115" t="s">
        <v>266</v>
      </c>
      <c r="D217" s="184" t="s">
        <v>267</v>
      </c>
      <c r="E217" s="116" t="s">
        <v>281</v>
      </c>
      <c r="F217" s="157">
        <v>85</v>
      </c>
      <c r="G217" s="158">
        <f t="shared" si="10"/>
        <v>170</v>
      </c>
      <c r="H217" s="118" t="s">
        <v>331</v>
      </c>
      <c r="I217" s="1"/>
      <c r="J217" s="136">
        <f t="shared" si="11"/>
        <v>0</v>
      </c>
    </row>
    <row r="218" spans="2:11" ht="16" customHeight="1">
      <c r="B218" s="114" t="s">
        <v>282</v>
      </c>
      <c r="C218" s="115" t="s">
        <v>266</v>
      </c>
      <c r="D218" s="185"/>
      <c r="E218" s="116" t="s">
        <v>281</v>
      </c>
      <c r="F218" s="157">
        <v>85</v>
      </c>
      <c r="G218" s="158">
        <f t="shared" si="10"/>
        <v>170</v>
      </c>
      <c r="H218" s="118" t="s">
        <v>29</v>
      </c>
      <c r="I218" s="1"/>
      <c r="J218" s="136">
        <f t="shared" si="11"/>
        <v>0</v>
      </c>
    </row>
    <row r="219" spans="2:11" ht="16" customHeight="1">
      <c r="B219" s="114" t="s">
        <v>283</v>
      </c>
      <c r="C219" s="115" t="s">
        <v>266</v>
      </c>
      <c r="D219" s="185"/>
      <c r="E219" s="116" t="s">
        <v>281</v>
      </c>
      <c r="F219" s="157">
        <v>85</v>
      </c>
      <c r="G219" s="158">
        <f t="shared" si="10"/>
        <v>170</v>
      </c>
      <c r="H219" s="118" t="s">
        <v>30</v>
      </c>
      <c r="I219" s="1"/>
      <c r="J219" s="136">
        <f t="shared" si="11"/>
        <v>0</v>
      </c>
    </row>
    <row r="220" spans="2:11" ht="16" customHeight="1">
      <c r="B220" s="114" t="s">
        <v>284</v>
      </c>
      <c r="C220" s="115" t="s">
        <v>266</v>
      </c>
      <c r="D220" s="185"/>
      <c r="E220" s="116" t="s">
        <v>281</v>
      </c>
      <c r="F220" s="157">
        <v>85</v>
      </c>
      <c r="G220" s="158">
        <f t="shared" si="10"/>
        <v>170</v>
      </c>
      <c r="H220" s="118" t="s">
        <v>31</v>
      </c>
      <c r="I220" s="1"/>
      <c r="J220" s="136">
        <f t="shared" si="11"/>
        <v>0</v>
      </c>
    </row>
    <row r="221" spans="2:11" ht="16" customHeight="1">
      <c r="B221" s="114" t="s">
        <v>285</v>
      </c>
      <c r="C221" s="115" t="s">
        <v>266</v>
      </c>
      <c r="D221" s="185"/>
      <c r="E221" s="116" t="s">
        <v>281</v>
      </c>
      <c r="F221" s="157">
        <v>85</v>
      </c>
      <c r="G221" s="158">
        <f t="shared" si="10"/>
        <v>170</v>
      </c>
      <c r="H221" s="118" t="s">
        <v>32</v>
      </c>
      <c r="I221" s="1"/>
      <c r="J221" s="136">
        <f t="shared" si="11"/>
        <v>0</v>
      </c>
    </row>
    <row r="222" spans="2:11" ht="16" customHeight="1">
      <c r="B222" s="114" t="s">
        <v>286</v>
      </c>
      <c r="C222" s="115" t="s">
        <v>266</v>
      </c>
      <c r="D222" s="186"/>
      <c r="E222" s="116" t="s">
        <v>281</v>
      </c>
      <c r="F222" s="157">
        <v>85</v>
      </c>
      <c r="G222" s="158">
        <f t="shared" si="10"/>
        <v>170</v>
      </c>
      <c r="H222" s="118" t="s">
        <v>15</v>
      </c>
      <c r="I222" s="1"/>
      <c r="J222" s="136">
        <f>SUM(F222*I222)</f>
        <v>0</v>
      </c>
    </row>
    <row r="223" spans="2:11" ht="16" customHeight="1">
      <c r="B223" s="183" t="s">
        <v>86</v>
      </c>
      <c r="C223" s="183"/>
      <c r="D223" s="183"/>
      <c r="E223" s="183"/>
      <c r="F223" s="183"/>
      <c r="G223" s="183"/>
      <c r="H223" s="183"/>
      <c r="I223" s="183"/>
      <c r="J223" s="183"/>
    </row>
    <row r="224" spans="2:11" ht="16" customHeight="1">
      <c r="B224" s="144" t="s">
        <v>341</v>
      </c>
      <c r="C224" s="145"/>
      <c r="D224" s="145"/>
      <c r="E224" s="145"/>
      <c r="F224" s="145"/>
      <c r="G224" s="145"/>
      <c r="H224" s="145"/>
      <c r="I224" s="147" t="s">
        <v>599</v>
      </c>
      <c r="J224" s="146" t="s">
        <v>600</v>
      </c>
      <c r="K224" s="72"/>
    </row>
    <row r="225" spans="2:10" ht="16" customHeight="1">
      <c r="B225" s="32" t="s">
        <v>393</v>
      </c>
      <c r="C225" s="1" t="s">
        <v>394</v>
      </c>
      <c r="D225" s="187" t="s">
        <v>601</v>
      </c>
      <c r="E225" s="25" t="s">
        <v>17</v>
      </c>
      <c r="F225" s="153">
        <v>60</v>
      </c>
      <c r="G225" s="119">
        <f t="shared" ref="G225:G254" si="15">SUM(F225*2)</f>
        <v>120</v>
      </c>
      <c r="H225" s="120" t="s">
        <v>29</v>
      </c>
      <c r="I225" s="1"/>
      <c r="J225" s="137">
        <f>SUM(F225*I225)</f>
        <v>0</v>
      </c>
    </row>
    <row r="226" spans="2:10" ht="16" customHeight="1">
      <c r="B226" s="32" t="s">
        <v>395</v>
      </c>
      <c r="C226" s="1" t="s">
        <v>394</v>
      </c>
      <c r="D226" s="188"/>
      <c r="E226" s="25" t="s">
        <v>17</v>
      </c>
      <c r="F226" s="153">
        <v>60</v>
      </c>
      <c r="G226" s="119">
        <f t="shared" si="15"/>
        <v>120</v>
      </c>
      <c r="H226" s="120" t="s">
        <v>30</v>
      </c>
      <c r="I226" s="1"/>
      <c r="J226" s="137">
        <f t="shared" ref="J226:J279" si="16">SUM(F226*I226)</f>
        <v>0</v>
      </c>
    </row>
    <row r="227" spans="2:10" ht="16" customHeight="1">
      <c r="B227" s="32" t="s">
        <v>396</v>
      </c>
      <c r="C227" s="1" t="s">
        <v>394</v>
      </c>
      <c r="D227" s="188"/>
      <c r="E227" s="25" t="s">
        <v>17</v>
      </c>
      <c r="F227" s="153">
        <v>60</v>
      </c>
      <c r="G227" s="119">
        <f t="shared" si="15"/>
        <v>120</v>
      </c>
      <c r="H227" s="120" t="s">
        <v>31</v>
      </c>
      <c r="I227" s="1"/>
      <c r="J227" s="137">
        <f t="shared" si="16"/>
        <v>0</v>
      </c>
    </row>
    <row r="228" spans="2:10" ht="16" customHeight="1">
      <c r="B228" s="32" t="s">
        <v>397</v>
      </c>
      <c r="C228" s="1" t="s">
        <v>394</v>
      </c>
      <c r="D228" s="188"/>
      <c r="E228" s="25" t="s">
        <v>17</v>
      </c>
      <c r="F228" s="153">
        <v>60</v>
      </c>
      <c r="G228" s="119">
        <f t="shared" si="15"/>
        <v>120</v>
      </c>
      <c r="H228" s="120" t="s">
        <v>32</v>
      </c>
      <c r="I228" s="1"/>
      <c r="J228" s="137">
        <f t="shared" si="16"/>
        <v>0</v>
      </c>
    </row>
    <row r="229" spans="2:10" ht="16" customHeight="1">
      <c r="B229" s="32" t="s">
        <v>398</v>
      </c>
      <c r="C229" s="1" t="s">
        <v>394</v>
      </c>
      <c r="D229" s="189"/>
      <c r="E229" s="25" t="s">
        <v>17</v>
      </c>
      <c r="F229" s="153">
        <v>60</v>
      </c>
      <c r="G229" s="119">
        <f t="shared" si="15"/>
        <v>120</v>
      </c>
      <c r="H229" s="120" t="s">
        <v>15</v>
      </c>
      <c r="I229" s="1"/>
      <c r="J229" s="137">
        <f t="shared" si="16"/>
        <v>0</v>
      </c>
    </row>
    <row r="230" spans="2:10" ht="16" customHeight="1">
      <c r="B230" s="114" t="s">
        <v>399</v>
      </c>
      <c r="C230" s="115" t="s">
        <v>400</v>
      </c>
      <c r="D230" s="184" t="s">
        <v>601</v>
      </c>
      <c r="E230" s="116" t="s">
        <v>401</v>
      </c>
      <c r="F230" s="157">
        <v>60</v>
      </c>
      <c r="G230" s="117">
        <f t="shared" si="15"/>
        <v>120</v>
      </c>
      <c r="H230" s="118" t="s">
        <v>29</v>
      </c>
      <c r="I230" s="1"/>
      <c r="J230" s="137">
        <f t="shared" si="16"/>
        <v>0</v>
      </c>
    </row>
    <row r="231" spans="2:10" ht="16" customHeight="1">
      <c r="B231" s="114" t="s">
        <v>402</v>
      </c>
      <c r="C231" s="115" t="s">
        <v>400</v>
      </c>
      <c r="D231" s="185"/>
      <c r="E231" s="116" t="s">
        <v>401</v>
      </c>
      <c r="F231" s="157">
        <v>60</v>
      </c>
      <c r="G231" s="117">
        <f t="shared" si="15"/>
        <v>120</v>
      </c>
      <c r="H231" s="118" t="s">
        <v>30</v>
      </c>
      <c r="I231" s="1"/>
      <c r="J231" s="137">
        <f t="shared" si="16"/>
        <v>0</v>
      </c>
    </row>
    <row r="232" spans="2:10" ht="16" customHeight="1">
      <c r="B232" s="114" t="s">
        <v>403</v>
      </c>
      <c r="C232" s="115" t="s">
        <v>400</v>
      </c>
      <c r="D232" s="185"/>
      <c r="E232" s="116" t="s">
        <v>401</v>
      </c>
      <c r="F232" s="157">
        <v>60</v>
      </c>
      <c r="G232" s="117">
        <f t="shared" si="15"/>
        <v>120</v>
      </c>
      <c r="H232" s="118" t="s">
        <v>31</v>
      </c>
      <c r="I232" s="1"/>
      <c r="J232" s="137">
        <f t="shared" si="16"/>
        <v>0</v>
      </c>
    </row>
    <row r="233" spans="2:10" ht="16" customHeight="1">
      <c r="B233" s="114" t="s">
        <v>404</v>
      </c>
      <c r="C233" s="115" t="s">
        <v>400</v>
      </c>
      <c r="D233" s="185"/>
      <c r="E233" s="116" t="s">
        <v>401</v>
      </c>
      <c r="F233" s="157">
        <v>60</v>
      </c>
      <c r="G233" s="117">
        <f t="shared" si="15"/>
        <v>120</v>
      </c>
      <c r="H233" s="118" t="s">
        <v>32</v>
      </c>
      <c r="I233" s="1"/>
      <c r="J233" s="137">
        <f t="shared" si="16"/>
        <v>0</v>
      </c>
    </row>
    <row r="234" spans="2:10" ht="16" customHeight="1">
      <c r="B234" s="114" t="s">
        <v>405</v>
      </c>
      <c r="C234" s="115" t="s">
        <v>400</v>
      </c>
      <c r="D234" s="186"/>
      <c r="E234" s="116" t="s">
        <v>401</v>
      </c>
      <c r="F234" s="157">
        <v>60</v>
      </c>
      <c r="G234" s="117">
        <f t="shared" si="15"/>
        <v>120</v>
      </c>
      <c r="H234" s="118" t="s">
        <v>15</v>
      </c>
      <c r="I234" s="1"/>
      <c r="J234" s="137">
        <f t="shared" si="16"/>
        <v>0</v>
      </c>
    </row>
    <row r="235" spans="2:10" ht="16" customHeight="1">
      <c r="B235" s="32" t="s">
        <v>413</v>
      </c>
      <c r="C235" s="1" t="s">
        <v>414</v>
      </c>
      <c r="D235" s="187" t="s">
        <v>408</v>
      </c>
      <c r="E235" s="25" t="s">
        <v>415</v>
      </c>
      <c r="F235" s="153">
        <v>50</v>
      </c>
      <c r="G235" s="119">
        <f t="shared" si="15"/>
        <v>100</v>
      </c>
      <c r="H235" s="120" t="s">
        <v>29</v>
      </c>
      <c r="I235" s="1"/>
      <c r="J235" s="137">
        <f t="shared" si="16"/>
        <v>0</v>
      </c>
    </row>
    <row r="236" spans="2:10" ht="16" customHeight="1">
      <c r="B236" s="32" t="s">
        <v>416</v>
      </c>
      <c r="C236" s="1" t="s">
        <v>414</v>
      </c>
      <c r="D236" s="188"/>
      <c r="E236" s="25" t="s">
        <v>415</v>
      </c>
      <c r="F236" s="153">
        <v>50</v>
      </c>
      <c r="G236" s="119">
        <f t="shared" si="15"/>
        <v>100</v>
      </c>
      <c r="H236" s="120" t="s">
        <v>30</v>
      </c>
      <c r="I236" s="1"/>
      <c r="J236" s="137">
        <f t="shared" si="16"/>
        <v>0</v>
      </c>
    </row>
    <row r="237" spans="2:10" ht="16" customHeight="1">
      <c r="B237" s="32" t="s">
        <v>417</v>
      </c>
      <c r="C237" s="1" t="s">
        <v>414</v>
      </c>
      <c r="D237" s="188"/>
      <c r="E237" s="25" t="s">
        <v>415</v>
      </c>
      <c r="F237" s="153">
        <v>50</v>
      </c>
      <c r="G237" s="119">
        <f t="shared" si="15"/>
        <v>100</v>
      </c>
      <c r="H237" s="120" t="s">
        <v>31</v>
      </c>
      <c r="I237" s="1"/>
      <c r="J237" s="137">
        <f t="shared" si="16"/>
        <v>0</v>
      </c>
    </row>
    <row r="238" spans="2:10" ht="16" customHeight="1">
      <c r="B238" s="32" t="s">
        <v>418</v>
      </c>
      <c r="C238" s="1" t="s">
        <v>414</v>
      </c>
      <c r="D238" s="188"/>
      <c r="E238" s="25" t="s">
        <v>415</v>
      </c>
      <c r="F238" s="153">
        <v>50</v>
      </c>
      <c r="G238" s="119">
        <f t="shared" si="15"/>
        <v>100</v>
      </c>
      <c r="H238" s="120" t="s">
        <v>32</v>
      </c>
      <c r="I238" s="1"/>
      <c r="J238" s="137">
        <f t="shared" si="16"/>
        <v>0</v>
      </c>
    </row>
    <row r="239" spans="2:10" ht="18" customHeight="1">
      <c r="B239" s="32" t="s">
        <v>419</v>
      </c>
      <c r="C239" s="1" t="s">
        <v>414</v>
      </c>
      <c r="D239" s="189"/>
      <c r="E239" s="1" t="s">
        <v>415</v>
      </c>
      <c r="F239" s="153">
        <v>50</v>
      </c>
      <c r="G239" s="119">
        <f t="shared" si="15"/>
        <v>100</v>
      </c>
      <c r="H239" s="120" t="s">
        <v>15</v>
      </c>
      <c r="I239" s="1"/>
      <c r="J239" s="137">
        <f t="shared" si="16"/>
        <v>0</v>
      </c>
    </row>
    <row r="240" spans="2:10" ht="16" customHeight="1">
      <c r="B240" s="114" t="s">
        <v>406</v>
      </c>
      <c r="C240" s="115" t="s">
        <v>407</v>
      </c>
      <c r="D240" s="184" t="s">
        <v>408</v>
      </c>
      <c r="E240" s="116" t="s">
        <v>152</v>
      </c>
      <c r="F240" s="157">
        <v>50</v>
      </c>
      <c r="G240" s="117">
        <f t="shared" ref="G240:G244" si="17">SUM(F240*2)</f>
        <v>100</v>
      </c>
      <c r="H240" s="118" t="s">
        <v>29</v>
      </c>
      <c r="I240" s="1"/>
      <c r="J240" s="137">
        <f t="shared" si="16"/>
        <v>0</v>
      </c>
    </row>
    <row r="241" spans="2:10" ht="16" customHeight="1">
      <c r="B241" s="114" t="s">
        <v>409</v>
      </c>
      <c r="C241" s="115" t="s">
        <v>407</v>
      </c>
      <c r="D241" s="185"/>
      <c r="E241" s="116" t="s">
        <v>152</v>
      </c>
      <c r="F241" s="157">
        <v>50</v>
      </c>
      <c r="G241" s="117">
        <f t="shared" si="17"/>
        <v>100</v>
      </c>
      <c r="H241" s="118" t="s">
        <v>30</v>
      </c>
      <c r="I241" s="1"/>
      <c r="J241" s="137">
        <f t="shared" si="16"/>
        <v>0</v>
      </c>
    </row>
    <row r="242" spans="2:10" ht="16" customHeight="1">
      <c r="B242" s="114" t="s">
        <v>410</v>
      </c>
      <c r="C242" s="115" t="s">
        <v>407</v>
      </c>
      <c r="D242" s="185"/>
      <c r="E242" s="116" t="s">
        <v>152</v>
      </c>
      <c r="F242" s="157">
        <v>50</v>
      </c>
      <c r="G242" s="117">
        <f t="shared" si="17"/>
        <v>100</v>
      </c>
      <c r="H242" s="118" t="s">
        <v>31</v>
      </c>
      <c r="I242" s="1"/>
      <c r="J242" s="137">
        <f t="shared" si="16"/>
        <v>0</v>
      </c>
    </row>
    <row r="243" spans="2:10" ht="16" customHeight="1">
      <c r="B243" s="114" t="s">
        <v>411</v>
      </c>
      <c r="C243" s="115" t="s">
        <v>407</v>
      </c>
      <c r="D243" s="185"/>
      <c r="E243" s="116" t="s">
        <v>152</v>
      </c>
      <c r="F243" s="157">
        <v>50</v>
      </c>
      <c r="G243" s="117">
        <f t="shared" si="17"/>
        <v>100</v>
      </c>
      <c r="H243" s="118" t="s">
        <v>32</v>
      </c>
      <c r="I243" s="1"/>
      <c r="J243" s="137">
        <f t="shared" si="16"/>
        <v>0</v>
      </c>
    </row>
    <row r="244" spans="2:10" ht="16" customHeight="1">
      <c r="B244" s="114" t="s">
        <v>412</v>
      </c>
      <c r="C244" s="115" t="s">
        <v>407</v>
      </c>
      <c r="D244" s="186"/>
      <c r="E244" s="116" t="s">
        <v>152</v>
      </c>
      <c r="F244" s="157">
        <v>50</v>
      </c>
      <c r="G244" s="117">
        <f t="shared" si="17"/>
        <v>100</v>
      </c>
      <c r="H244" s="118" t="s">
        <v>15</v>
      </c>
      <c r="I244" s="1"/>
      <c r="J244" s="137">
        <f t="shared" si="16"/>
        <v>0</v>
      </c>
    </row>
    <row r="245" spans="2:10" ht="16" customHeight="1">
      <c r="B245" s="32" t="s">
        <v>379</v>
      </c>
      <c r="C245" s="1" t="s">
        <v>380</v>
      </c>
      <c r="D245" s="187" t="s">
        <v>602</v>
      </c>
      <c r="E245" s="25" t="s">
        <v>381</v>
      </c>
      <c r="F245" s="153">
        <v>65</v>
      </c>
      <c r="G245" s="119">
        <f t="shared" si="15"/>
        <v>130</v>
      </c>
      <c r="H245" s="120" t="s">
        <v>29</v>
      </c>
      <c r="I245" s="1"/>
      <c r="J245" s="137">
        <f t="shared" si="16"/>
        <v>0</v>
      </c>
    </row>
    <row r="246" spans="2:10" ht="16" customHeight="1">
      <c r="B246" s="32" t="s">
        <v>382</v>
      </c>
      <c r="C246" s="1" t="s">
        <v>380</v>
      </c>
      <c r="D246" s="188"/>
      <c r="E246" s="25" t="s">
        <v>381</v>
      </c>
      <c r="F246" s="153">
        <v>65</v>
      </c>
      <c r="G246" s="119">
        <f t="shared" si="15"/>
        <v>130</v>
      </c>
      <c r="H246" s="120" t="s">
        <v>30</v>
      </c>
      <c r="I246" s="1"/>
      <c r="J246" s="137">
        <f t="shared" si="16"/>
        <v>0</v>
      </c>
    </row>
    <row r="247" spans="2:10" ht="16" customHeight="1">
      <c r="B247" s="32" t="s">
        <v>383</v>
      </c>
      <c r="C247" s="1" t="s">
        <v>380</v>
      </c>
      <c r="D247" s="188"/>
      <c r="E247" s="25" t="s">
        <v>381</v>
      </c>
      <c r="F247" s="153">
        <v>65</v>
      </c>
      <c r="G247" s="119">
        <f t="shared" si="15"/>
        <v>130</v>
      </c>
      <c r="H247" s="120" t="s">
        <v>31</v>
      </c>
      <c r="I247" s="1"/>
      <c r="J247" s="137">
        <f t="shared" si="16"/>
        <v>0</v>
      </c>
    </row>
    <row r="248" spans="2:10" ht="16" customHeight="1">
      <c r="B248" s="32" t="s">
        <v>384</v>
      </c>
      <c r="C248" s="1" t="s">
        <v>380</v>
      </c>
      <c r="D248" s="188"/>
      <c r="E248" s="25" t="s">
        <v>381</v>
      </c>
      <c r="F248" s="153">
        <v>65</v>
      </c>
      <c r="G248" s="119">
        <f t="shared" si="15"/>
        <v>130</v>
      </c>
      <c r="H248" s="120" t="s">
        <v>32</v>
      </c>
      <c r="I248" s="1"/>
      <c r="J248" s="137">
        <f t="shared" si="16"/>
        <v>0</v>
      </c>
    </row>
    <row r="249" spans="2:10" ht="16" customHeight="1">
      <c r="B249" s="32" t="s">
        <v>385</v>
      </c>
      <c r="C249" s="1" t="s">
        <v>380</v>
      </c>
      <c r="D249" s="189"/>
      <c r="E249" s="25" t="s">
        <v>381</v>
      </c>
      <c r="F249" s="153">
        <v>65</v>
      </c>
      <c r="G249" s="119">
        <f t="shared" si="15"/>
        <v>130</v>
      </c>
      <c r="H249" s="120" t="s">
        <v>15</v>
      </c>
      <c r="I249" s="1"/>
      <c r="J249" s="137">
        <f t="shared" si="16"/>
        <v>0</v>
      </c>
    </row>
    <row r="250" spans="2:10" ht="16" customHeight="1">
      <c r="B250" s="114" t="s">
        <v>386</v>
      </c>
      <c r="C250" s="115" t="s">
        <v>387</v>
      </c>
      <c r="D250" s="184" t="s">
        <v>602</v>
      </c>
      <c r="E250" s="116" t="s">
        <v>388</v>
      </c>
      <c r="F250" s="157">
        <v>65</v>
      </c>
      <c r="G250" s="117">
        <f t="shared" si="15"/>
        <v>130</v>
      </c>
      <c r="H250" s="118" t="s">
        <v>29</v>
      </c>
      <c r="I250" s="1"/>
      <c r="J250" s="137">
        <f t="shared" si="16"/>
        <v>0</v>
      </c>
    </row>
    <row r="251" spans="2:10" ht="16" customHeight="1">
      <c r="B251" s="114" t="s">
        <v>389</v>
      </c>
      <c r="C251" s="115" t="s">
        <v>387</v>
      </c>
      <c r="D251" s="185"/>
      <c r="E251" s="116" t="s">
        <v>388</v>
      </c>
      <c r="F251" s="157">
        <v>65</v>
      </c>
      <c r="G251" s="117">
        <f t="shared" si="15"/>
        <v>130</v>
      </c>
      <c r="H251" s="118" t="s">
        <v>30</v>
      </c>
      <c r="I251" s="1"/>
      <c r="J251" s="137">
        <f t="shared" si="16"/>
        <v>0</v>
      </c>
    </row>
    <row r="252" spans="2:10" ht="16" customHeight="1">
      <c r="B252" s="114" t="s">
        <v>390</v>
      </c>
      <c r="C252" s="115" t="s">
        <v>387</v>
      </c>
      <c r="D252" s="185"/>
      <c r="E252" s="116" t="s">
        <v>388</v>
      </c>
      <c r="F252" s="157">
        <v>65</v>
      </c>
      <c r="G252" s="117">
        <f t="shared" si="15"/>
        <v>130</v>
      </c>
      <c r="H252" s="118" t="s">
        <v>31</v>
      </c>
      <c r="I252" s="1"/>
      <c r="J252" s="137">
        <f t="shared" si="16"/>
        <v>0</v>
      </c>
    </row>
    <row r="253" spans="2:10" ht="16" customHeight="1">
      <c r="B253" s="114" t="s">
        <v>391</v>
      </c>
      <c r="C253" s="115" t="s">
        <v>387</v>
      </c>
      <c r="D253" s="185"/>
      <c r="E253" s="116" t="s">
        <v>388</v>
      </c>
      <c r="F253" s="157">
        <v>65</v>
      </c>
      <c r="G253" s="117">
        <f t="shared" si="15"/>
        <v>130</v>
      </c>
      <c r="H253" s="118" t="s">
        <v>32</v>
      </c>
      <c r="I253" s="1"/>
      <c r="J253" s="137">
        <f t="shared" si="16"/>
        <v>0</v>
      </c>
    </row>
    <row r="254" spans="2:10" ht="16" customHeight="1">
      <c r="B254" s="114" t="s">
        <v>392</v>
      </c>
      <c r="C254" s="115" t="s">
        <v>387</v>
      </c>
      <c r="D254" s="186"/>
      <c r="E254" s="116" t="s">
        <v>388</v>
      </c>
      <c r="F254" s="157">
        <v>65</v>
      </c>
      <c r="G254" s="117">
        <f t="shared" si="15"/>
        <v>130</v>
      </c>
      <c r="H254" s="118" t="s">
        <v>15</v>
      </c>
      <c r="I254" s="1"/>
      <c r="J254" s="137">
        <f t="shared" si="16"/>
        <v>0</v>
      </c>
    </row>
    <row r="255" spans="2:10" ht="16" customHeight="1">
      <c r="B255" s="32" t="s">
        <v>343</v>
      </c>
      <c r="C255" s="1" t="s">
        <v>344</v>
      </c>
      <c r="D255" s="187" t="s">
        <v>345</v>
      </c>
      <c r="E255" s="25" t="s">
        <v>342</v>
      </c>
      <c r="F255" s="153">
        <v>65</v>
      </c>
      <c r="G255" s="119">
        <f t="shared" ref="G255:G269" si="18">SUM(F255*2)</f>
        <v>130</v>
      </c>
      <c r="H255" s="120" t="s">
        <v>29</v>
      </c>
      <c r="I255" s="1"/>
      <c r="J255" s="137">
        <f t="shared" si="16"/>
        <v>0</v>
      </c>
    </row>
    <row r="256" spans="2:10" ht="16" customHeight="1">
      <c r="B256" s="32" t="s">
        <v>346</v>
      </c>
      <c r="C256" s="1" t="s">
        <v>344</v>
      </c>
      <c r="D256" s="188"/>
      <c r="E256" s="25" t="s">
        <v>342</v>
      </c>
      <c r="F256" s="153">
        <v>65</v>
      </c>
      <c r="G256" s="119">
        <f t="shared" si="18"/>
        <v>130</v>
      </c>
      <c r="H256" s="120" t="s">
        <v>30</v>
      </c>
      <c r="I256" s="1"/>
      <c r="J256" s="137">
        <f t="shared" si="16"/>
        <v>0</v>
      </c>
    </row>
    <row r="257" spans="2:10" ht="18" customHeight="1">
      <c r="B257" s="32" t="s">
        <v>347</v>
      </c>
      <c r="C257" s="1" t="s">
        <v>344</v>
      </c>
      <c r="D257" s="188"/>
      <c r="E257" s="25" t="s">
        <v>342</v>
      </c>
      <c r="F257" s="153">
        <v>65</v>
      </c>
      <c r="G257" s="119">
        <f t="shared" si="18"/>
        <v>130</v>
      </c>
      <c r="H257" s="120" t="s">
        <v>31</v>
      </c>
      <c r="I257" s="1"/>
      <c r="J257" s="137">
        <f t="shared" si="16"/>
        <v>0</v>
      </c>
    </row>
    <row r="258" spans="2:10" ht="16" customHeight="1">
      <c r="B258" s="32" t="s">
        <v>348</v>
      </c>
      <c r="C258" s="1" t="s">
        <v>344</v>
      </c>
      <c r="D258" s="188"/>
      <c r="E258" s="25" t="s">
        <v>342</v>
      </c>
      <c r="F258" s="153">
        <v>65</v>
      </c>
      <c r="G258" s="119">
        <f t="shared" si="18"/>
        <v>130</v>
      </c>
      <c r="H258" s="120" t="s">
        <v>32</v>
      </c>
      <c r="I258" s="1"/>
      <c r="J258" s="137">
        <f t="shared" si="16"/>
        <v>0</v>
      </c>
    </row>
    <row r="259" spans="2:10" ht="16" customHeight="1">
      <c r="B259" s="32" t="s">
        <v>349</v>
      </c>
      <c r="C259" s="1" t="s">
        <v>344</v>
      </c>
      <c r="D259" s="189"/>
      <c r="E259" s="25" t="s">
        <v>342</v>
      </c>
      <c r="F259" s="153">
        <v>65</v>
      </c>
      <c r="G259" s="119">
        <f t="shared" si="18"/>
        <v>130</v>
      </c>
      <c r="H259" s="120" t="s">
        <v>15</v>
      </c>
      <c r="I259" s="1"/>
      <c r="J259" s="137">
        <f t="shared" si="16"/>
        <v>0</v>
      </c>
    </row>
    <row r="260" spans="2:10" ht="16" customHeight="1">
      <c r="B260" s="114" t="s">
        <v>350</v>
      </c>
      <c r="C260" s="115" t="s">
        <v>351</v>
      </c>
      <c r="D260" s="184" t="s">
        <v>345</v>
      </c>
      <c r="E260" s="116" t="s">
        <v>352</v>
      </c>
      <c r="F260" s="157">
        <v>65</v>
      </c>
      <c r="G260" s="117">
        <f t="shared" si="18"/>
        <v>130</v>
      </c>
      <c r="H260" s="118" t="s">
        <v>29</v>
      </c>
      <c r="I260" s="1"/>
      <c r="J260" s="137">
        <f t="shared" si="16"/>
        <v>0</v>
      </c>
    </row>
    <row r="261" spans="2:10" ht="16" customHeight="1">
      <c r="B261" s="114" t="s">
        <v>353</v>
      </c>
      <c r="C261" s="115" t="s">
        <v>351</v>
      </c>
      <c r="D261" s="185"/>
      <c r="E261" s="116" t="s">
        <v>352</v>
      </c>
      <c r="F261" s="157">
        <v>65</v>
      </c>
      <c r="G261" s="117">
        <f t="shared" si="18"/>
        <v>130</v>
      </c>
      <c r="H261" s="118" t="s">
        <v>30</v>
      </c>
      <c r="I261" s="1"/>
      <c r="J261" s="137">
        <f t="shared" si="16"/>
        <v>0</v>
      </c>
    </row>
    <row r="262" spans="2:10" ht="16" customHeight="1">
      <c r="B262" s="114" t="s">
        <v>354</v>
      </c>
      <c r="C262" s="115" t="s">
        <v>351</v>
      </c>
      <c r="D262" s="185"/>
      <c r="E262" s="116" t="s">
        <v>352</v>
      </c>
      <c r="F262" s="157">
        <v>65</v>
      </c>
      <c r="G262" s="117">
        <f t="shared" si="18"/>
        <v>130</v>
      </c>
      <c r="H262" s="118" t="s">
        <v>31</v>
      </c>
      <c r="I262" s="1"/>
      <c r="J262" s="137">
        <f t="shared" si="16"/>
        <v>0</v>
      </c>
    </row>
    <row r="263" spans="2:10" ht="16" customHeight="1">
      <c r="B263" s="114" t="s">
        <v>355</v>
      </c>
      <c r="C263" s="115" t="s">
        <v>351</v>
      </c>
      <c r="D263" s="185"/>
      <c r="E263" s="116" t="s">
        <v>352</v>
      </c>
      <c r="F263" s="157">
        <v>65</v>
      </c>
      <c r="G263" s="117">
        <f t="shared" si="18"/>
        <v>130</v>
      </c>
      <c r="H263" s="118" t="s">
        <v>32</v>
      </c>
      <c r="I263" s="1"/>
      <c r="J263" s="137">
        <f t="shared" si="16"/>
        <v>0</v>
      </c>
    </row>
    <row r="264" spans="2:10" ht="16" customHeight="1">
      <c r="B264" s="114" t="s">
        <v>356</v>
      </c>
      <c r="C264" s="115" t="s">
        <v>351</v>
      </c>
      <c r="D264" s="186"/>
      <c r="E264" s="116" t="s">
        <v>352</v>
      </c>
      <c r="F264" s="157">
        <v>65</v>
      </c>
      <c r="G264" s="117">
        <f t="shared" si="18"/>
        <v>130</v>
      </c>
      <c r="H264" s="118" t="s">
        <v>15</v>
      </c>
      <c r="I264" s="1"/>
      <c r="J264" s="137">
        <f t="shared" si="16"/>
        <v>0</v>
      </c>
    </row>
    <row r="265" spans="2:10" ht="16" customHeight="1">
      <c r="B265" s="32" t="s">
        <v>357</v>
      </c>
      <c r="C265" s="1" t="s">
        <v>358</v>
      </c>
      <c r="D265" s="187" t="s">
        <v>359</v>
      </c>
      <c r="E265" s="25" t="s">
        <v>144</v>
      </c>
      <c r="F265" s="153">
        <v>50</v>
      </c>
      <c r="G265" s="119">
        <f t="shared" si="18"/>
        <v>100</v>
      </c>
      <c r="H265" s="120" t="s">
        <v>29</v>
      </c>
      <c r="I265" s="1"/>
      <c r="J265" s="137">
        <f t="shared" si="16"/>
        <v>0</v>
      </c>
    </row>
    <row r="266" spans="2:10" ht="16" customHeight="1">
      <c r="B266" s="32" t="s">
        <v>360</v>
      </c>
      <c r="C266" s="1" t="s">
        <v>358</v>
      </c>
      <c r="D266" s="188"/>
      <c r="E266" s="25" t="s">
        <v>144</v>
      </c>
      <c r="F266" s="153">
        <v>50</v>
      </c>
      <c r="G266" s="119">
        <f t="shared" si="18"/>
        <v>100</v>
      </c>
      <c r="H266" s="120" t="s">
        <v>30</v>
      </c>
      <c r="I266" s="1"/>
      <c r="J266" s="137">
        <f t="shared" si="16"/>
        <v>0</v>
      </c>
    </row>
    <row r="267" spans="2:10" ht="16" customHeight="1">
      <c r="B267" s="32" t="s">
        <v>361</v>
      </c>
      <c r="C267" s="1" t="s">
        <v>358</v>
      </c>
      <c r="D267" s="188"/>
      <c r="E267" s="25" t="s">
        <v>144</v>
      </c>
      <c r="F267" s="153">
        <v>50</v>
      </c>
      <c r="G267" s="119">
        <f t="shared" si="18"/>
        <v>100</v>
      </c>
      <c r="H267" s="120" t="s">
        <v>31</v>
      </c>
      <c r="I267" s="1"/>
      <c r="J267" s="137">
        <f t="shared" si="16"/>
        <v>0</v>
      </c>
    </row>
    <row r="268" spans="2:10" ht="16" customHeight="1">
      <c r="B268" s="32" t="s">
        <v>362</v>
      </c>
      <c r="C268" s="1" t="s">
        <v>358</v>
      </c>
      <c r="D268" s="188"/>
      <c r="E268" s="25" t="s">
        <v>144</v>
      </c>
      <c r="F268" s="153">
        <v>50</v>
      </c>
      <c r="G268" s="119">
        <f t="shared" si="18"/>
        <v>100</v>
      </c>
      <c r="H268" s="120" t="s">
        <v>32</v>
      </c>
      <c r="I268" s="1"/>
      <c r="J268" s="137">
        <f t="shared" si="16"/>
        <v>0</v>
      </c>
    </row>
    <row r="269" spans="2:10" ht="16" customHeight="1">
      <c r="B269" s="32" t="s">
        <v>363</v>
      </c>
      <c r="C269" s="1" t="s">
        <v>358</v>
      </c>
      <c r="D269" s="189"/>
      <c r="E269" s="25" t="s">
        <v>144</v>
      </c>
      <c r="F269" s="153">
        <v>50</v>
      </c>
      <c r="G269" s="119">
        <f t="shared" si="18"/>
        <v>100</v>
      </c>
      <c r="H269" s="120" t="s">
        <v>15</v>
      </c>
      <c r="I269" s="1"/>
      <c r="J269" s="137">
        <f t="shared" si="16"/>
        <v>0</v>
      </c>
    </row>
    <row r="270" spans="2:10" ht="16" customHeight="1">
      <c r="B270" s="114" t="s">
        <v>364</v>
      </c>
      <c r="C270" s="115" t="s">
        <v>365</v>
      </c>
      <c r="D270" s="184" t="s">
        <v>366</v>
      </c>
      <c r="E270" s="116" t="s">
        <v>367</v>
      </c>
      <c r="F270" s="157">
        <v>60</v>
      </c>
      <c r="G270" s="117">
        <f t="shared" ref="G270:G279" si="19">SUM(F270*2)</f>
        <v>120</v>
      </c>
      <c r="H270" s="118" t="s">
        <v>29</v>
      </c>
      <c r="I270" s="1"/>
      <c r="J270" s="137">
        <f t="shared" si="16"/>
        <v>0</v>
      </c>
    </row>
    <row r="271" spans="2:10" ht="16" customHeight="1">
      <c r="B271" s="114" t="s">
        <v>368</v>
      </c>
      <c r="C271" s="115" t="s">
        <v>365</v>
      </c>
      <c r="D271" s="185"/>
      <c r="E271" s="116" t="s">
        <v>367</v>
      </c>
      <c r="F271" s="157">
        <v>60</v>
      </c>
      <c r="G271" s="117">
        <f t="shared" si="19"/>
        <v>120</v>
      </c>
      <c r="H271" s="118" t="s">
        <v>30</v>
      </c>
      <c r="I271" s="1"/>
      <c r="J271" s="137">
        <f t="shared" si="16"/>
        <v>0</v>
      </c>
    </row>
    <row r="272" spans="2:10" ht="18" customHeight="1">
      <c r="B272" s="114" t="s">
        <v>369</v>
      </c>
      <c r="C272" s="115" t="s">
        <v>365</v>
      </c>
      <c r="D272" s="185"/>
      <c r="E272" s="116" t="s">
        <v>367</v>
      </c>
      <c r="F272" s="157">
        <v>60</v>
      </c>
      <c r="G272" s="117">
        <f t="shared" si="19"/>
        <v>120</v>
      </c>
      <c r="H272" s="118" t="s">
        <v>31</v>
      </c>
      <c r="I272" s="1"/>
      <c r="J272" s="137">
        <f t="shared" si="16"/>
        <v>0</v>
      </c>
    </row>
    <row r="273" spans="2:11" ht="16" customHeight="1">
      <c r="B273" s="114" t="s">
        <v>370</v>
      </c>
      <c r="C273" s="115" t="s">
        <v>365</v>
      </c>
      <c r="D273" s="185"/>
      <c r="E273" s="116" t="s">
        <v>367</v>
      </c>
      <c r="F273" s="157">
        <v>60</v>
      </c>
      <c r="G273" s="117">
        <f t="shared" si="19"/>
        <v>120</v>
      </c>
      <c r="H273" s="118" t="s">
        <v>32</v>
      </c>
      <c r="I273" s="1"/>
      <c r="J273" s="137">
        <f t="shared" si="16"/>
        <v>0</v>
      </c>
    </row>
    <row r="274" spans="2:11" ht="16" customHeight="1">
      <c r="B274" s="114" t="s">
        <v>371</v>
      </c>
      <c r="C274" s="115" t="s">
        <v>365</v>
      </c>
      <c r="D274" s="186"/>
      <c r="E274" s="116" t="s">
        <v>367</v>
      </c>
      <c r="F274" s="157">
        <v>60</v>
      </c>
      <c r="G274" s="117">
        <f t="shared" si="19"/>
        <v>120</v>
      </c>
      <c r="H274" s="118" t="s">
        <v>15</v>
      </c>
      <c r="I274" s="1"/>
      <c r="J274" s="137">
        <f t="shared" si="16"/>
        <v>0</v>
      </c>
    </row>
    <row r="275" spans="2:11" ht="16" customHeight="1">
      <c r="B275" s="32" t="s">
        <v>372</v>
      </c>
      <c r="C275" s="1" t="s">
        <v>373</v>
      </c>
      <c r="D275" s="187" t="s">
        <v>374</v>
      </c>
      <c r="E275" s="25" t="s">
        <v>367</v>
      </c>
      <c r="F275" s="153">
        <v>60</v>
      </c>
      <c r="G275" s="119">
        <f t="shared" si="19"/>
        <v>120</v>
      </c>
      <c r="H275" s="120" t="s">
        <v>29</v>
      </c>
      <c r="I275" s="1"/>
      <c r="J275" s="137">
        <f t="shared" si="16"/>
        <v>0</v>
      </c>
    </row>
    <row r="276" spans="2:11" ht="16" customHeight="1">
      <c r="B276" s="32" t="s">
        <v>375</v>
      </c>
      <c r="C276" s="1" t="s">
        <v>373</v>
      </c>
      <c r="D276" s="188"/>
      <c r="E276" s="25" t="s">
        <v>367</v>
      </c>
      <c r="F276" s="153">
        <v>60</v>
      </c>
      <c r="G276" s="119">
        <f t="shared" si="19"/>
        <v>120</v>
      </c>
      <c r="H276" s="120" t="s">
        <v>30</v>
      </c>
      <c r="I276" s="1"/>
      <c r="J276" s="137">
        <f t="shared" si="16"/>
        <v>0</v>
      </c>
    </row>
    <row r="277" spans="2:11" ht="16" customHeight="1">
      <c r="B277" s="32" t="s">
        <v>376</v>
      </c>
      <c r="C277" s="1" t="s">
        <v>373</v>
      </c>
      <c r="D277" s="188"/>
      <c r="E277" s="25" t="s">
        <v>367</v>
      </c>
      <c r="F277" s="153">
        <v>60</v>
      </c>
      <c r="G277" s="119">
        <f t="shared" si="19"/>
        <v>120</v>
      </c>
      <c r="H277" s="120" t="s">
        <v>31</v>
      </c>
      <c r="I277" s="1"/>
      <c r="J277" s="137">
        <f t="shared" si="16"/>
        <v>0</v>
      </c>
    </row>
    <row r="278" spans="2:11" ht="16" customHeight="1">
      <c r="B278" s="32" t="s">
        <v>377</v>
      </c>
      <c r="C278" s="1" t="s">
        <v>373</v>
      </c>
      <c r="D278" s="188"/>
      <c r="E278" s="25" t="s">
        <v>367</v>
      </c>
      <c r="F278" s="153">
        <v>60</v>
      </c>
      <c r="G278" s="119">
        <f t="shared" si="19"/>
        <v>120</v>
      </c>
      <c r="H278" s="120" t="s">
        <v>32</v>
      </c>
      <c r="I278" s="1"/>
      <c r="J278" s="137">
        <f t="shared" si="16"/>
        <v>0</v>
      </c>
    </row>
    <row r="279" spans="2:11" ht="16" customHeight="1">
      <c r="B279" s="32" t="s">
        <v>378</v>
      </c>
      <c r="C279" s="1" t="s">
        <v>373</v>
      </c>
      <c r="D279" s="189"/>
      <c r="E279" s="25" t="s">
        <v>367</v>
      </c>
      <c r="F279" s="153">
        <v>60</v>
      </c>
      <c r="G279" s="119">
        <f t="shared" si="19"/>
        <v>120</v>
      </c>
      <c r="H279" s="120" t="s">
        <v>15</v>
      </c>
      <c r="I279" s="1"/>
      <c r="J279" s="137">
        <f t="shared" si="16"/>
        <v>0</v>
      </c>
    </row>
    <row r="280" spans="2:11" ht="16" customHeight="1">
      <c r="B280" s="183" t="s">
        <v>86</v>
      </c>
      <c r="C280" s="183"/>
      <c r="D280" s="183"/>
      <c r="E280" s="183"/>
      <c r="F280" s="183"/>
      <c r="G280" s="183"/>
      <c r="H280" s="183"/>
      <c r="I280" s="183"/>
      <c r="J280" s="183"/>
    </row>
    <row r="281" spans="2:11" ht="16" customHeight="1">
      <c r="B281" s="144" t="s">
        <v>420</v>
      </c>
      <c r="C281" s="145"/>
      <c r="D281" s="145"/>
      <c r="E281" s="145"/>
      <c r="F281" s="145"/>
      <c r="G281" s="145"/>
      <c r="H281" s="145"/>
      <c r="I281" s="147" t="s">
        <v>599</v>
      </c>
      <c r="J281" s="146" t="s">
        <v>600</v>
      </c>
      <c r="K281" s="72"/>
    </row>
    <row r="282" spans="2:11" ht="16" customHeight="1">
      <c r="B282" s="33" t="s">
        <v>421</v>
      </c>
      <c r="C282" s="2" t="s">
        <v>422</v>
      </c>
      <c r="D282" s="190" t="s">
        <v>423</v>
      </c>
      <c r="E282" s="34" t="s">
        <v>17</v>
      </c>
      <c r="F282" s="129">
        <v>34</v>
      </c>
      <c r="G282" s="104">
        <f t="shared" ref="G282:G296" si="20">SUM(F282*2)</f>
        <v>68</v>
      </c>
      <c r="H282" s="103" t="s">
        <v>29</v>
      </c>
      <c r="I282" s="89"/>
      <c r="J282" s="137">
        <f>SUM(F282*I282)</f>
        <v>0</v>
      </c>
    </row>
    <row r="283" spans="2:11" ht="16" customHeight="1">
      <c r="B283" s="163">
        <v>810183368435</v>
      </c>
      <c r="C283" s="2" t="s">
        <v>422</v>
      </c>
      <c r="D283" s="188"/>
      <c r="E283" s="34" t="s">
        <v>17</v>
      </c>
      <c r="F283" s="129">
        <v>34</v>
      </c>
      <c r="G283" s="104">
        <f t="shared" si="20"/>
        <v>68</v>
      </c>
      <c r="H283" s="103" t="s">
        <v>30</v>
      </c>
      <c r="I283" s="89"/>
      <c r="J283" s="137">
        <f t="shared" ref="J283:J331" si="21">SUM(F283*I283)</f>
        <v>0</v>
      </c>
    </row>
    <row r="284" spans="2:11" ht="18" customHeight="1">
      <c r="B284" s="33" t="s">
        <v>424</v>
      </c>
      <c r="C284" s="2" t="s">
        <v>422</v>
      </c>
      <c r="D284" s="188"/>
      <c r="E284" s="34" t="s">
        <v>17</v>
      </c>
      <c r="F284" s="129">
        <v>34</v>
      </c>
      <c r="G284" s="104">
        <f t="shared" si="20"/>
        <v>68</v>
      </c>
      <c r="H284" s="103" t="s">
        <v>31</v>
      </c>
      <c r="I284" s="89"/>
      <c r="J284" s="137">
        <f t="shared" si="21"/>
        <v>0</v>
      </c>
    </row>
    <row r="285" spans="2:11" ht="16" customHeight="1">
      <c r="B285" s="33" t="s">
        <v>425</v>
      </c>
      <c r="C285" s="2" t="s">
        <v>422</v>
      </c>
      <c r="D285" s="188"/>
      <c r="E285" s="34" t="s">
        <v>17</v>
      </c>
      <c r="F285" s="129">
        <v>34</v>
      </c>
      <c r="G285" s="104">
        <f t="shared" si="20"/>
        <v>68</v>
      </c>
      <c r="H285" s="103" t="s">
        <v>32</v>
      </c>
      <c r="I285" s="89"/>
      <c r="J285" s="137">
        <f t="shared" si="21"/>
        <v>0</v>
      </c>
    </row>
    <row r="286" spans="2:11" ht="16" customHeight="1">
      <c r="B286" s="33" t="s">
        <v>426</v>
      </c>
      <c r="C286" s="2" t="s">
        <v>422</v>
      </c>
      <c r="D286" s="189"/>
      <c r="E286" s="34" t="s">
        <v>17</v>
      </c>
      <c r="F286" s="129">
        <v>34</v>
      </c>
      <c r="G286" s="104">
        <f t="shared" si="20"/>
        <v>68</v>
      </c>
      <c r="H286" s="103" t="s">
        <v>15</v>
      </c>
      <c r="I286" s="89"/>
      <c r="J286" s="137">
        <f t="shared" si="21"/>
        <v>0</v>
      </c>
    </row>
    <row r="287" spans="2:11" ht="16" customHeight="1">
      <c r="B287" s="32" t="s">
        <v>427</v>
      </c>
      <c r="C287" s="1" t="s">
        <v>428</v>
      </c>
      <c r="D287" s="187" t="s">
        <v>429</v>
      </c>
      <c r="E287" s="25" t="s">
        <v>18</v>
      </c>
      <c r="F287" s="128">
        <v>34</v>
      </c>
      <c r="G287" s="79">
        <f t="shared" si="20"/>
        <v>68</v>
      </c>
      <c r="H287" s="58" t="s">
        <v>29</v>
      </c>
      <c r="I287" s="89"/>
      <c r="J287" s="137">
        <f t="shared" si="21"/>
        <v>0</v>
      </c>
    </row>
    <row r="288" spans="2:11" ht="16" customHeight="1">
      <c r="B288" s="32" t="s">
        <v>430</v>
      </c>
      <c r="C288" s="1" t="s">
        <v>428</v>
      </c>
      <c r="D288" s="188"/>
      <c r="E288" s="25" t="s">
        <v>18</v>
      </c>
      <c r="F288" s="128">
        <v>34</v>
      </c>
      <c r="G288" s="79">
        <f t="shared" si="20"/>
        <v>68</v>
      </c>
      <c r="H288" s="58" t="s">
        <v>30</v>
      </c>
      <c r="I288" s="89"/>
      <c r="J288" s="137">
        <f t="shared" si="21"/>
        <v>0</v>
      </c>
    </row>
    <row r="289" spans="2:10" ht="16" customHeight="1">
      <c r="B289" s="32" t="s">
        <v>431</v>
      </c>
      <c r="C289" s="1" t="s">
        <v>428</v>
      </c>
      <c r="D289" s="188"/>
      <c r="E289" s="25" t="s">
        <v>18</v>
      </c>
      <c r="F289" s="128">
        <v>34</v>
      </c>
      <c r="G289" s="79">
        <f t="shared" si="20"/>
        <v>68</v>
      </c>
      <c r="H289" s="58" t="s">
        <v>31</v>
      </c>
      <c r="I289" s="89"/>
      <c r="J289" s="137">
        <f t="shared" si="21"/>
        <v>0</v>
      </c>
    </row>
    <row r="290" spans="2:10" ht="16" customHeight="1">
      <c r="B290" s="32" t="s">
        <v>432</v>
      </c>
      <c r="C290" s="1" t="s">
        <v>428</v>
      </c>
      <c r="D290" s="188"/>
      <c r="E290" s="25" t="s">
        <v>18</v>
      </c>
      <c r="F290" s="128">
        <v>34</v>
      </c>
      <c r="G290" s="79">
        <f t="shared" si="20"/>
        <v>68</v>
      </c>
      <c r="H290" s="58" t="s">
        <v>32</v>
      </c>
      <c r="I290" s="89"/>
      <c r="J290" s="137">
        <f t="shared" si="21"/>
        <v>0</v>
      </c>
    </row>
    <row r="291" spans="2:10" ht="16" customHeight="1">
      <c r="B291" s="32" t="s">
        <v>433</v>
      </c>
      <c r="C291" s="1" t="s">
        <v>428</v>
      </c>
      <c r="D291" s="189"/>
      <c r="E291" s="25" t="s">
        <v>18</v>
      </c>
      <c r="F291" s="128">
        <v>34</v>
      </c>
      <c r="G291" s="79">
        <f t="shared" si="20"/>
        <v>68</v>
      </c>
      <c r="H291" s="58" t="s">
        <v>15</v>
      </c>
      <c r="I291" s="89"/>
      <c r="J291" s="137">
        <f t="shared" si="21"/>
        <v>0</v>
      </c>
    </row>
    <row r="292" spans="2:10" ht="16" customHeight="1">
      <c r="B292" s="33" t="s">
        <v>434</v>
      </c>
      <c r="C292" s="2" t="s">
        <v>435</v>
      </c>
      <c r="D292" s="190" t="s">
        <v>436</v>
      </c>
      <c r="E292" s="34" t="s">
        <v>415</v>
      </c>
      <c r="F292" s="129">
        <v>34</v>
      </c>
      <c r="G292" s="104">
        <f t="shared" si="20"/>
        <v>68</v>
      </c>
      <c r="H292" s="103" t="s">
        <v>29</v>
      </c>
      <c r="I292" s="89"/>
      <c r="J292" s="137">
        <f t="shared" si="21"/>
        <v>0</v>
      </c>
    </row>
    <row r="293" spans="2:10" ht="16" customHeight="1">
      <c r="B293" s="33" t="s">
        <v>437</v>
      </c>
      <c r="C293" s="2" t="s">
        <v>435</v>
      </c>
      <c r="D293" s="188"/>
      <c r="E293" s="34" t="s">
        <v>415</v>
      </c>
      <c r="F293" s="129">
        <v>34</v>
      </c>
      <c r="G293" s="104">
        <f t="shared" si="20"/>
        <v>68</v>
      </c>
      <c r="H293" s="103" t="s">
        <v>30</v>
      </c>
      <c r="I293" s="89"/>
      <c r="J293" s="137">
        <f t="shared" si="21"/>
        <v>0</v>
      </c>
    </row>
    <row r="294" spans="2:10" ht="16" customHeight="1">
      <c r="B294" s="33" t="s">
        <v>438</v>
      </c>
      <c r="C294" s="2" t="s">
        <v>435</v>
      </c>
      <c r="D294" s="188"/>
      <c r="E294" s="34" t="s">
        <v>415</v>
      </c>
      <c r="F294" s="129">
        <v>34</v>
      </c>
      <c r="G294" s="104">
        <f t="shared" si="20"/>
        <v>68</v>
      </c>
      <c r="H294" s="103" t="s">
        <v>31</v>
      </c>
      <c r="I294" s="89"/>
      <c r="J294" s="137">
        <f t="shared" si="21"/>
        <v>0</v>
      </c>
    </row>
    <row r="295" spans="2:10" ht="16" customHeight="1">
      <c r="B295" s="33" t="s">
        <v>439</v>
      </c>
      <c r="C295" s="2" t="s">
        <v>435</v>
      </c>
      <c r="D295" s="188"/>
      <c r="E295" s="34" t="s">
        <v>415</v>
      </c>
      <c r="F295" s="129">
        <v>34</v>
      </c>
      <c r="G295" s="104">
        <f t="shared" si="20"/>
        <v>68</v>
      </c>
      <c r="H295" s="103" t="s">
        <v>32</v>
      </c>
      <c r="I295" s="89"/>
      <c r="J295" s="137">
        <f t="shared" si="21"/>
        <v>0</v>
      </c>
    </row>
    <row r="296" spans="2:10" ht="16" customHeight="1">
      <c r="B296" s="33" t="s">
        <v>440</v>
      </c>
      <c r="C296" s="2" t="s">
        <v>435</v>
      </c>
      <c r="D296" s="189"/>
      <c r="E296" s="34" t="s">
        <v>415</v>
      </c>
      <c r="F296" s="129">
        <v>34</v>
      </c>
      <c r="G296" s="104">
        <f t="shared" si="20"/>
        <v>68</v>
      </c>
      <c r="H296" s="103" t="s">
        <v>15</v>
      </c>
      <c r="I296" s="89"/>
      <c r="J296" s="137">
        <f t="shared" si="21"/>
        <v>0</v>
      </c>
    </row>
    <row r="297" spans="2:10" ht="16" customHeight="1">
      <c r="B297" s="32" t="s">
        <v>441</v>
      </c>
      <c r="C297" s="1" t="s">
        <v>442</v>
      </c>
      <c r="D297" s="187" t="s">
        <v>443</v>
      </c>
      <c r="E297" s="25" t="s">
        <v>22</v>
      </c>
      <c r="F297" s="128">
        <v>34</v>
      </c>
      <c r="G297" s="79">
        <f t="shared" ref="G297:G331" si="22">SUM(F297*2)</f>
        <v>68</v>
      </c>
      <c r="H297" s="58" t="s">
        <v>29</v>
      </c>
      <c r="I297" s="89"/>
      <c r="J297" s="137">
        <f t="shared" si="21"/>
        <v>0</v>
      </c>
    </row>
    <row r="298" spans="2:10" ht="16" customHeight="1">
      <c r="B298" s="32" t="s">
        <v>444</v>
      </c>
      <c r="C298" s="1" t="s">
        <v>442</v>
      </c>
      <c r="D298" s="188"/>
      <c r="E298" s="25" t="s">
        <v>22</v>
      </c>
      <c r="F298" s="128">
        <v>34</v>
      </c>
      <c r="G298" s="79">
        <f t="shared" si="22"/>
        <v>68</v>
      </c>
      <c r="H298" s="58" t="s">
        <v>30</v>
      </c>
      <c r="I298" s="89"/>
      <c r="J298" s="137">
        <f t="shared" si="21"/>
        <v>0</v>
      </c>
    </row>
    <row r="299" spans="2:10" ht="18" customHeight="1">
      <c r="B299" s="32" t="s">
        <v>445</v>
      </c>
      <c r="C299" s="1" t="s">
        <v>442</v>
      </c>
      <c r="D299" s="188"/>
      <c r="E299" s="25" t="s">
        <v>22</v>
      </c>
      <c r="F299" s="128">
        <v>34</v>
      </c>
      <c r="G299" s="79">
        <f t="shared" si="22"/>
        <v>68</v>
      </c>
      <c r="H299" s="58" t="s">
        <v>31</v>
      </c>
      <c r="I299" s="89"/>
      <c r="J299" s="137">
        <f t="shared" si="21"/>
        <v>0</v>
      </c>
    </row>
    <row r="300" spans="2:10" ht="16" customHeight="1">
      <c r="B300" s="32" t="s">
        <v>446</v>
      </c>
      <c r="C300" s="1" t="s">
        <v>442</v>
      </c>
      <c r="D300" s="188"/>
      <c r="E300" s="25" t="s">
        <v>22</v>
      </c>
      <c r="F300" s="128">
        <v>34</v>
      </c>
      <c r="G300" s="79">
        <f t="shared" si="22"/>
        <v>68</v>
      </c>
      <c r="H300" s="58" t="s">
        <v>32</v>
      </c>
      <c r="I300" s="89"/>
      <c r="J300" s="137">
        <f t="shared" si="21"/>
        <v>0</v>
      </c>
    </row>
    <row r="301" spans="2:10" ht="16" customHeight="1">
      <c r="B301" s="32" t="s">
        <v>447</v>
      </c>
      <c r="C301" s="1" t="s">
        <v>442</v>
      </c>
      <c r="D301" s="189"/>
      <c r="E301" s="25" t="s">
        <v>22</v>
      </c>
      <c r="F301" s="128">
        <v>34</v>
      </c>
      <c r="G301" s="79">
        <f t="shared" si="22"/>
        <v>68</v>
      </c>
      <c r="H301" s="58" t="s">
        <v>15</v>
      </c>
      <c r="I301" s="89"/>
      <c r="J301" s="137">
        <f t="shared" si="21"/>
        <v>0</v>
      </c>
    </row>
    <row r="302" spans="2:10" ht="16" customHeight="1">
      <c r="B302" s="33" t="s">
        <v>448</v>
      </c>
      <c r="C302" s="2" t="s">
        <v>449</v>
      </c>
      <c r="D302" s="190" t="s">
        <v>450</v>
      </c>
      <c r="E302" s="34" t="s">
        <v>17</v>
      </c>
      <c r="F302" s="129">
        <v>18</v>
      </c>
      <c r="G302" s="104">
        <f t="shared" si="22"/>
        <v>36</v>
      </c>
      <c r="H302" s="103" t="s">
        <v>29</v>
      </c>
      <c r="I302" s="89"/>
      <c r="J302" s="137">
        <f t="shared" si="21"/>
        <v>0</v>
      </c>
    </row>
    <row r="303" spans="2:10" ht="16" customHeight="1">
      <c r="B303" s="33" t="s">
        <v>451</v>
      </c>
      <c r="C303" s="2" t="s">
        <v>449</v>
      </c>
      <c r="D303" s="188"/>
      <c r="E303" s="34" t="s">
        <v>17</v>
      </c>
      <c r="F303" s="129">
        <v>18</v>
      </c>
      <c r="G303" s="104">
        <f t="shared" si="22"/>
        <v>36</v>
      </c>
      <c r="H303" s="103" t="s">
        <v>30</v>
      </c>
      <c r="I303" s="89"/>
      <c r="J303" s="137">
        <f t="shared" si="21"/>
        <v>0</v>
      </c>
    </row>
    <row r="304" spans="2:10" ht="16" customHeight="1">
      <c r="B304" s="33" t="s">
        <v>452</v>
      </c>
      <c r="C304" s="2" t="s">
        <v>449</v>
      </c>
      <c r="D304" s="188"/>
      <c r="E304" s="34" t="s">
        <v>17</v>
      </c>
      <c r="F304" s="129">
        <v>18</v>
      </c>
      <c r="G304" s="104">
        <f t="shared" si="22"/>
        <v>36</v>
      </c>
      <c r="H304" s="103" t="s">
        <v>31</v>
      </c>
      <c r="I304" s="89"/>
      <c r="J304" s="137">
        <f t="shared" si="21"/>
        <v>0</v>
      </c>
    </row>
    <row r="305" spans="2:10" ht="16" customHeight="1">
      <c r="B305" s="33" t="s">
        <v>453</v>
      </c>
      <c r="C305" s="2" t="s">
        <v>449</v>
      </c>
      <c r="D305" s="188"/>
      <c r="E305" s="34" t="s">
        <v>17</v>
      </c>
      <c r="F305" s="129">
        <v>18</v>
      </c>
      <c r="G305" s="104">
        <f t="shared" si="22"/>
        <v>36</v>
      </c>
      <c r="H305" s="103" t="s">
        <v>32</v>
      </c>
      <c r="I305" s="89"/>
      <c r="J305" s="137">
        <f t="shared" si="21"/>
        <v>0</v>
      </c>
    </row>
    <row r="306" spans="2:10" ht="16" customHeight="1">
      <c r="B306" s="33" t="s">
        <v>454</v>
      </c>
      <c r="C306" s="2" t="s">
        <v>449</v>
      </c>
      <c r="D306" s="189"/>
      <c r="E306" s="34" t="s">
        <v>17</v>
      </c>
      <c r="F306" s="129">
        <v>18</v>
      </c>
      <c r="G306" s="104">
        <f t="shared" si="22"/>
        <v>36</v>
      </c>
      <c r="H306" s="103" t="s">
        <v>15</v>
      </c>
      <c r="I306" s="89"/>
      <c r="J306" s="137">
        <f t="shared" si="21"/>
        <v>0</v>
      </c>
    </row>
    <row r="307" spans="2:10" ht="16" customHeight="1">
      <c r="B307" s="32" t="s">
        <v>455</v>
      </c>
      <c r="C307" s="1" t="s">
        <v>456</v>
      </c>
      <c r="D307" s="187" t="s">
        <v>457</v>
      </c>
      <c r="E307" s="25" t="s">
        <v>20</v>
      </c>
      <c r="F307" s="128">
        <v>18</v>
      </c>
      <c r="G307" s="79">
        <f t="shared" si="22"/>
        <v>36</v>
      </c>
      <c r="H307" s="58" t="s">
        <v>29</v>
      </c>
      <c r="I307" s="89"/>
      <c r="J307" s="137">
        <f t="shared" si="21"/>
        <v>0</v>
      </c>
    </row>
    <row r="308" spans="2:10" ht="16" customHeight="1">
      <c r="B308" s="32" t="s">
        <v>458</v>
      </c>
      <c r="C308" s="1" t="s">
        <v>456</v>
      </c>
      <c r="D308" s="188"/>
      <c r="E308" s="25" t="s">
        <v>20</v>
      </c>
      <c r="F308" s="128">
        <v>18</v>
      </c>
      <c r="G308" s="79">
        <f t="shared" si="22"/>
        <v>36</v>
      </c>
      <c r="H308" s="58" t="s">
        <v>30</v>
      </c>
      <c r="I308" s="89"/>
      <c r="J308" s="137">
        <f t="shared" si="21"/>
        <v>0</v>
      </c>
    </row>
    <row r="309" spans="2:10" ht="16" customHeight="1">
      <c r="B309" s="32" t="s">
        <v>459</v>
      </c>
      <c r="C309" s="1" t="s">
        <v>456</v>
      </c>
      <c r="D309" s="188"/>
      <c r="E309" s="25" t="s">
        <v>20</v>
      </c>
      <c r="F309" s="128">
        <v>18</v>
      </c>
      <c r="G309" s="79">
        <f t="shared" si="22"/>
        <v>36</v>
      </c>
      <c r="H309" s="58" t="s">
        <v>31</v>
      </c>
      <c r="I309" s="89"/>
      <c r="J309" s="137">
        <f t="shared" si="21"/>
        <v>0</v>
      </c>
    </row>
    <row r="310" spans="2:10" ht="16" customHeight="1">
      <c r="B310" s="32" t="s">
        <v>460</v>
      </c>
      <c r="C310" s="1" t="s">
        <v>456</v>
      </c>
      <c r="D310" s="188"/>
      <c r="E310" s="25" t="s">
        <v>20</v>
      </c>
      <c r="F310" s="128">
        <v>18</v>
      </c>
      <c r="G310" s="79">
        <f t="shared" si="22"/>
        <v>36</v>
      </c>
      <c r="H310" s="58" t="s">
        <v>32</v>
      </c>
      <c r="I310" s="89"/>
      <c r="J310" s="137">
        <f t="shared" si="21"/>
        <v>0</v>
      </c>
    </row>
    <row r="311" spans="2:10" ht="16" customHeight="1">
      <c r="B311" s="32" t="s">
        <v>461</v>
      </c>
      <c r="C311" s="1" t="s">
        <v>456</v>
      </c>
      <c r="D311" s="189"/>
      <c r="E311" s="25" t="s">
        <v>20</v>
      </c>
      <c r="F311" s="128">
        <v>18</v>
      </c>
      <c r="G311" s="79">
        <f t="shared" si="22"/>
        <v>36</v>
      </c>
      <c r="H311" s="58" t="s">
        <v>15</v>
      </c>
      <c r="I311" s="89"/>
      <c r="J311" s="137">
        <f t="shared" si="21"/>
        <v>0</v>
      </c>
    </row>
    <row r="312" spans="2:10" ht="16" customHeight="1">
      <c r="B312" s="33" t="s">
        <v>462</v>
      </c>
      <c r="C312" s="2" t="s">
        <v>463</v>
      </c>
      <c r="D312" s="190" t="s">
        <v>464</v>
      </c>
      <c r="E312" s="34" t="s">
        <v>17</v>
      </c>
      <c r="F312" s="129">
        <v>14</v>
      </c>
      <c r="G312" s="104">
        <f t="shared" si="22"/>
        <v>28</v>
      </c>
      <c r="H312" s="103" t="s">
        <v>29</v>
      </c>
      <c r="I312" s="89"/>
      <c r="J312" s="137">
        <f t="shared" si="21"/>
        <v>0</v>
      </c>
    </row>
    <row r="313" spans="2:10" ht="16" customHeight="1">
      <c r="B313" s="33" t="s">
        <v>465</v>
      </c>
      <c r="C313" s="2" t="s">
        <v>463</v>
      </c>
      <c r="D313" s="188"/>
      <c r="E313" s="34" t="s">
        <v>17</v>
      </c>
      <c r="F313" s="129">
        <v>14</v>
      </c>
      <c r="G313" s="104">
        <f t="shared" si="22"/>
        <v>28</v>
      </c>
      <c r="H313" s="103" t="s">
        <v>30</v>
      </c>
      <c r="I313" s="89"/>
      <c r="J313" s="137">
        <f t="shared" si="21"/>
        <v>0</v>
      </c>
    </row>
    <row r="314" spans="2:10" ht="16" customHeight="1">
      <c r="B314" s="33" t="s">
        <v>466</v>
      </c>
      <c r="C314" s="2" t="s">
        <v>463</v>
      </c>
      <c r="D314" s="188"/>
      <c r="E314" s="34" t="s">
        <v>17</v>
      </c>
      <c r="F314" s="129">
        <v>14</v>
      </c>
      <c r="G314" s="104">
        <f t="shared" si="22"/>
        <v>28</v>
      </c>
      <c r="H314" s="103" t="s">
        <v>31</v>
      </c>
      <c r="I314" s="89"/>
      <c r="J314" s="137">
        <f t="shared" si="21"/>
        <v>0</v>
      </c>
    </row>
    <row r="315" spans="2:10" ht="16" customHeight="1">
      <c r="B315" s="33" t="s">
        <v>467</v>
      </c>
      <c r="C315" s="2" t="s">
        <v>463</v>
      </c>
      <c r="D315" s="188"/>
      <c r="E315" s="34" t="s">
        <v>17</v>
      </c>
      <c r="F315" s="129">
        <v>14</v>
      </c>
      <c r="G315" s="104">
        <f t="shared" si="22"/>
        <v>28</v>
      </c>
      <c r="H315" s="103" t="s">
        <v>32</v>
      </c>
      <c r="I315" s="89"/>
      <c r="J315" s="137">
        <f t="shared" si="21"/>
        <v>0</v>
      </c>
    </row>
    <row r="316" spans="2:10" ht="16" customHeight="1">
      <c r="B316" s="33" t="s">
        <v>468</v>
      </c>
      <c r="C316" s="2" t="s">
        <v>463</v>
      </c>
      <c r="D316" s="189"/>
      <c r="E316" s="34" t="s">
        <v>17</v>
      </c>
      <c r="F316" s="129">
        <v>14</v>
      </c>
      <c r="G316" s="104">
        <f t="shared" si="22"/>
        <v>28</v>
      </c>
      <c r="H316" s="103" t="s">
        <v>15</v>
      </c>
      <c r="I316" s="89"/>
      <c r="J316" s="137">
        <f t="shared" si="21"/>
        <v>0</v>
      </c>
    </row>
    <row r="317" spans="2:10" ht="16" customHeight="1">
      <c r="B317" s="32" t="s">
        <v>469</v>
      </c>
      <c r="C317" s="1" t="s">
        <v>470</v>
      </c>
      <c r="D317" s="187" t="s">
        <v>471</v>
      </c>
      <c r="E317" s="25" t="s">
        <v>472</v>
      </c>
      <c r="F317" s="128">
        <v>14</v>
      </c>
      <c r="G317" s="79">
        <f t="shared" si="22"/>
        <v>28</v>
      </c>
      <c r="H317" s="58" t="s">
        <v>29</v>
      </c>
      <c r="I317" s="89"/>
      <c r="J317" s="137">
        <f t="shared" si="21"/>
        <v>0</v>
      </c>
    </row>
    <row r="318" spans="2:10" ht="16" customHeight="1">
      <c r="B318" s="32" t="s">
        <v>473</v>
      </c>
      <c r="C318" s="1" t="s">
        <v>470</v>
      </c>
      <c r="D318" s="188"/>
      <c r="E318" s="25" t="s">
        <v>472</v>
      </c>
      <c r="F318" s="128">
        <v>14</v>
      </c>
      <c r="G318" s="79">
        <f t="shared" si="22"/>
        <v>28</v>
      </c>
      <c r="H318" s="58" t="s">
        <v>30</v>
      </c>
      <c r="I318" s="89"/>
      <c r="J318" s="137">
        <f t="shared" si="21"/>
        <v>0</v>
      </c>
    </row>
    <row r="319" spans="2:10" ht="16" customHeight="1">
      <c r="B319" s="32" t="s">
        <v>474</v>
      </c>
      <c r="C319" s="1" t="s">
        <v>470</v>
      </c>
      <c r="D319" s="188"/>
      <c r="E319" s="25" t="s">
        <v>472</v>
      </c>
      <c r="F319" s="128">
        <v>14</v>
      </c>
      <c r="G319" s="79">
        <f t="shared" si="22"/>
        <v>28</v>
      </c>
      <c r="H319" s="58" t="s">
        <v>31</v>
      </c>
      <c r="I319" s="89"/>
      <c r="J319" s="137">
        <f t="shared" si="21"/>
        <v>0</v>
      </c>
    </row>
    <row r="320" spans="2:10" ht="16" customHeight="1">
      <c r="B320" s="32" t="s">
        <v>475</v>
      </c>
      <c r="C320" s="1" t="s">
        <v>470</v>
      </c>
      <c r="D320" s="188"/>
      <c r="E320" s="25" t="s">
        <v>472</v>
      </c>
      <c r="F320" s="128">
        <v>14</v>
      </c>
      <c r="G320" s="79">
        <f t="shared" si="22"/>
        <v>28</v>
      </c>
      <c r="H320" s="58" t="s">
        <v>32</v>
      </c>
      <c r="I320" s="89"/>
      <c r="J320" s="137">
        <f t="shared" si="21"/>
        <v>0</v>
      </c>
    </row>
    <row r="321" spans="2:11" ht="16" customHeight="1">
      <c r="B321" s="32" t="s">
        <v>476</v>
      </c>
      <c r="C321" s="1" t="s">
        <v>470</v>
      </c>
      <c r="D321" s="189"/>
      <c r="E321" s="25" t="s">
        <v>472</v>
      </c>
      <c r="F321" s="128">
        <v>14</v>
      </c>
      <c r="G321" s="79">
        <f t="shared" si="22"/>
        <v>28</v>
      </c>
      <c r="H321" s="58" t="s">
        <v>15</v>
      </c>
      <c r="I321" s="89"/>
      <c r="J321" s="137">
        <f t="shared" si="21"/>
        <v>0</v>
      </c>
    </row>
    <row r="322" spans="2:11" ht="16" customHeight="1">
      <c r="B322" s="33" t="s">
        <v>477</v>
      </c>
      <c r="C322" s="2" t="s">
        <v>478</v>
      </c>
      <c r="D322" s="190" t="s">
        <v>479</v>
      </c>
      <c r="E322" s="34" t="s">
        <v>480</v>
      </c>
      <c r="F322" s="129">
        <v>14</v>
      </c>
      <c r="G322" s="104">
        <f t="shared" si="22"/>
        <v>28</v>
      </c>
      <c r="H322" s="103" t="s">
        <v>29</v>
      </c>
      <c r="I322" s="89"/>
      <c r="J322" s="137">
        <f t="shared" si="21"/>
        <v>0</v>
      </c>
    </row>
    <row r="323" spans="2:11" ht="16" customHeight="1">
      <c r="B323" s="33" t="s">
        <v>481</v>
      </c>
      <c r="C323" s="2" t="s">
        <v>478</v>
      </c>
      <c r="D323" s="188"/>
      <c r="E323" s="34" t="s">
        <v>480</v>
      </c>
      <c r="F323" s="129">
        <v>14</v>
      </c>
      <c r="G323" s="104">
        <f t="shared" si="22"/>
        <v>28</v>
      </c>
      <c r="H323" s="103" t="s">
        <v>30</v>
      </c>
      <c r="I323" s="89"/>
      <c r="J323" s="137">
        <f t="shared" si="21"/>
        <v>0</v>
      </c>
    </row>
    <row r="324" spans="2:11" ht="16" customHeight="1">
      <c r="B324" s="33" t="s">
        <v>482</v>
      </c>
      <c r="C324" s="2" t="s">
        <v>478</v>
      </c>
      <c r="D324" s="188"/>
      <c r="E324" s="34" t="s">
        <v>480</v>
      </c>
      <c r="F324" s="129">
        <v>14</v>
      </c>
      <c r="G324" s="104">
        <f t="shared" si="22"/>
        <v>28</v>
      </c>
      <c r="H324" s="103" t="s">
        <v>31</v>
      </c>
      <c r="I324" s="89"/>
      <c r="J324" s="137">
        <f t="shared" si="21"/>
        <v>0</v>
      </c>
    </row>
    <row r="325" spans="2:11" ht="16" customHeight="1">
      <c r="B325" s="33" t="s">
        <v>483</v>
      </c>
      <c r="C325" s="2" t="s">
        <v>478</v>
      </c>
      <c r="D325" s="188"/>
      <c r="E325" s="34" t="s">
        <v>480</v>
      </c>
      <c r="F325" s="129">
        <v>14</v>
      </c>
      <c r="G325" s="104">
        <f t="shared" si="22"/>
        <v>28</v>
      </c>
      <c r="H325" s="103" t="s">
        <v>32</v>
      </c>
      <c r="I325" s="89"/>
      <c r="J325" s="137">
        <f t="shared" si="21"/>
        <v>0</v>
      </c>
    </row>
    <row r="326" spans="2:11" ht="16" customHeight="1">
      <c r="B326" s="33" t="s">
        <v>484</v>
      </c>
      <c r="C326" s="2" t="s">
        <v>478</v>
      </c>
      <c r="D326" s="189"/>
      <c r="E326" s="34" t="s">
        <v>480</v>
      </c>
      <c r="F326" s="129">
        <v>14</v>
      </c>
      <c r="G326" s="104">
        <f t="shared" si="22"/>
        <v>28</v>
      </c>
      <c r="H326" s="103" t="s">
        <v>15</v>
      </c>
      <c r="I326" s="89"/>
      <c r="J326" s="137">
        <f t="shared" si="21"/>
        <v>0</v>
      </c>
    </row>
    <row r="327" spans="2:11" ht="16" customHeight="1">
      <c r="B327" s="32" t="s">
        <v>485</v>
      </c>
      <c r="C327" s="1" t="s">
        <v>486</v>
      </c>
      <c r="D327" s="187" t="s">
        <v>487</v>
      </c>
      <c r="E327" s="25" t="s">
        <v>20</v>
      </c>
      <c r="F327" s="128">
        <v>14</v>
      </c>
      <c r="G327" s="79">
        <f t="shared" si="22"/>
        <v>28</v>
      </c>
      <c r="H327" s="58" t="s">
        <v>29</v>
      </c>
      <c r="I327" s="89"/>
      <c r="J327" s="137">
        <f t="shared" si="21"/>
        <v>0</v>
      </c>
    </row>
    <row r="328" spans="2:11" ht="16" customHeight="1">
      <c r="B328" s="32" t="s">
        <v>488</v>
      </c>
      <c r="C328" s="1" t="s">
        <v>486</v>
      </c>
      <c r="D328" s="188"/>
      <c r="E328" s="25" t="s">
        <v>20</v>
      </c>
      <c r="F328" s="128">
        <v>14</v>
      </c>
      <c r="G328" s="79">
        <f t="shared" si="22"/>
        <v>28</v>
      </c>
      <c r="H328" s="58" t="s">
        <v>30</v>
      </c>
      <c r="I328" s="89"/>
      <c r="J328" s="137">
        <f t="shared" si="21"/>
        <v>0</v>
      </c>
    </row>
    <row r="329" spans="2:11" ht="16" customHeight="1">
      <c r="B329" s="32" t="s">
        <v>489</v>
      </c>
      <c r="C329" s="1" t="s">
        <v>486</v>
      </c>
      <c r="D329" s="188"/>
      <c r="E329" s="25" t="s">
        <v>20</v>
      </c>
      <c r="F329" s="128">
        <v>14</v>
      </c>
      <c r="G329" s="79">
        <f t="shared" si="22"/>
        <v>28</v>
      </c>
      <c r="H329" s="58" t="s">
        <v>31</v>
      </c>
      <c r="I329" s="89"/>
      <c r="J329" s="137">
        <f t="shared" si="21"/>
        <v>0</v>
      </c>
    </row>
    <row r="330" spans="2:11" ht="16" customHeight="1">
      <c r="B330" s="32" t="s">
        <v>490</v>
      </c>
      <c r="C330" s="1" t="s">
        <v>486</v>
      </c>
      <c r="D330" s="188"/>
      <c r="E330" s="25" t="s">
        <v>20</v>
      </c>
      <c r="F330" s="128">
        <v>14</v>
      </c>
      <c r="G330" s="79">
        <f t="shared" si="22"/>
        <v>28</v>
      </c>
      <c r="H330" s="58" t="s">
        <v>32</v>
      </c>
      <c r="I330" s="89"/>
      <c r="J330" s="137">
        <f t="shared" si="21"/>
        <v>0</v>
      </c>
    </row>
    <row r="331" spans="2:11" ht="16" customHeight="1">
      <c r="B331" s="32" t="s">
        <v>491</v>
      </c>
      <c r="C331" s="1" t="s">
        <v>486</v>
      </c>
      <c r="D331" s="189"/>
      <c r="E331" s="25" t="s">
        <v>20</v>
      </c>
      <c r="F331" s="128">
        <v>14</v>
      </c>
      <c r="G331" s="79">
        <f t="shared" si="22"/>
        <v>28</v>
      </c>
      <c r="H331" s="58" t="s">
        <v>15</v>
      </c>
      <c r="I331" s="89"/>
      <c r="J331" s="137">
        <f t="shared" si="21"/>
        <v>0</v>
      </c>
    </row>
    <row r="332" spans="2:11" ht="16" customHeight="1">
      <c r="B332" s="183" t="s">
        <v>86</v>
      </c>
      <c r="C332" s="183"/>
      <c r="D332" s="183"/>
      <c r="E332" s="183"/>
      <c r="F332" s="183"/>
      <c r="G332" s="183"/>
      <c r="H332" s="183"/>
      <c r="I332" s="183"/>
      <c r="J332" s="183"/>
    </row>
    <row r="333" spans="2:11" ht="16" customHeight="1">
      <c r="B333" s="144" t="s">
        <v>492</v>
      </c>
      <c r="C333" s="145"/>
      <c r="D333" s="145"/>
      <c r="E333" s="145"/>
      <c r="F333" s="145"/>
      <c r="G333" s="145"/>
      <c r="H333" s="145"/>
      <c r="I333" s="147" t="s">
        <v>599</v>
      </c>
      <c r="J333" s="146" t="s">
        <v>600</v>
      </c>
      <c r="K333" s="72"/>
    </row>
    <row r="334" spans="2:11" ht="16" customHeight="1">
      <c r="B334" s="85">
        <v>810183362259</v>
      </c>
      <c r="C334" s="1" t="s">
        <v>493</v>
      </c>
      <c r="D334" s="187" t="s">
        <v>494</v>
      </c>
      <c r="E334" s="1" t="s">
        <v>17</v>
      </c>
      <c r="F334" s="128">
        <v>15</v>
      </c>
      <c r="G334" s="80">
        <v>30</v>
      </c>
      <c r="H334" s="58" t="s">
        <v>29</v>
      </c>
      <c r="I334" s="59"/>
      <c r="J334" s="21">
        <f>SUM(F334*I334)</f>
        <v>0</v>
      </c>
    </row>
    <row r="335" spans="2:11" ht="16" customHeight="1">
      <c r="B335" s="85">
        <v>810183362266</v>
      </c>
      <c r="C335" s="1" t="s">
        <v>493</v>
      </c>
      <c r="D335" s="188"/>
      <c r="E335" s="1" t="s">
        <v>17</v>
      </c>
      <c r="F335" s="128">
        <v>15</v>
      </c>
      <c r="G335" s="81">
        <v>30</v>
      </c>
      <c r="H335" s="58" t="s">
        <v>30</v>
      </c>
      <c r="I335" s="59"/>
      <c r="J335" s="21">
        <f t="shared" ref="J335:J357" si="23">SUM(F335*I335)</f>
        <v>0</v>
      </c>
    </row>
    <row r="336" spans="2:11" ht="16" customHeight="1">
      <c r="B336" s="85">
        <v>810183362273</v>
      </c>
      <c r="C336" s="1" t="s">
        <v>493</v>
      </c>
      <c r="D336" s="189"/>
      <c r="E336" s="1" t="s">
        <v>17</v>
      </c>
      <c r="F336" s="128">
        <v>15</v>
      </c>
      <c r="G336" s="81">
        <v>30</v>
      </c>
      <c r="H336" s="58" t="s">
        <v>31</v>
      </c>
      <c r="I336" s="59"/>
      <c r="J336" s="21">
        <f t="shared" si="23"/>
        <v>0</v>
      </c>
    </row>
    <row r="337" spans="2:10" ht="16" customHeight="1">
      <c r="B337" s="88" t="s">
        <v>495</v>
      </c>
      <c r="C337" s="89" t="s">
        <v>496</v>
      </c>
      <c r="D337" s="196" t="s">
        <v>494</v>
      </c>
      <c r="E337" s="90" t="s">
        <v>497</v>
      </c>
      <c r="F337" s="129">
        <v>15</v>
      </c>
      <c r="G337" s="104">
        <f t="shared" ref="G337:G351" si="24">SUM(F337*2)</f>
        <v>30</v>
      </c>
      <c r="H337" s="103" t="s">
        <v>29</v>
      </c>
      <c r="I337" s="59"/>
      <c r="J337" s="21">
        <f t="shared" si="23"/>
        <v>0</v>
      </c>
    </row>
    <row r="338" spans="2:10" ht="16" customHeight="1">
      <c r="B338" s="33" t="s">
        <v>498</v>
      </c>
      <c r="C338" s="2" t="s">
        <v>496</v>
      </c>
      <c r="D338" s="188"/>
      <c r="E338" s="34" t="s">
        <v>497</v>
      </c>
      <c r="F338" s="129">
        <v>15</v>
      </c>
      <c r="G338" s="104">
        <f t="shared" si="24"/>
        <v>30</v>
      </c>
      <c r="H338" s="103" t="s">
        <v>30</v>
      </c>
      <c r="I338" s="59"/>
      <c r="J338" s="21">
        <f t="shared" si="23"/>
        <v>0</v>
      </c>
    </row>
    <row r="339" spans="2:10" ht="16" customHeight="1">
      <c r="B339" s="33" t="s">
        <v>499</v>
      </c>
      <c r="C339" s="2" t="s">
        <v>496</v>
      </c>
      <c r="D339" s="189"/>
      <c r="E339" s="34" t="s">
        <v>497</v>
      </c>
      <c r="F339" s="129">
        <v>15</v>
      </c>
      <c r="G339" s="104">
        <f t="shared" si="24"/>
        <v>30</v>
      </c>
      <c r="H339" s="103" t="s">
        <v>31</v>
      </c>
      <c r="I339" s="59"/>
      <c r="J339" s="21">
        <f t="shared" si="23"/>
        <v>0</v>
      </c>
    </row>
    <row r="340" spans="2:10" ht="16" customHeight="1">
      <c r="B340" s="32" t="s">
        <v>509</v>
      </c>
      <c r="C340" s="1" t="s">
        <v>510</v>
      </c>
      <c r="D340" s="187" t="s">
        <v>502</v>
      </c>
      <c r="E340" s="25" t="s">
        <v>23</v>
      </c>
      <c r="F340" s="128">
        <v>13</v>
      </c>
      <c r="G340" s="79">
        <f t="shared" ref="G340:G345" si="25">SUM(F340*2)</f>
        <v>26</v>
      </c>
      <c r="H340" s="58" t="s">
        <v>29</v>
      </c>
      <c r="I340" s="59"/>
      <c r="J340" s="21">
        <f t="shared" si="23"/>
        <v>0</v>
      </c>
    </row>
    <row r="341" spans="2:10" ht="16" customHeight="1">
      <c r="B341" s="32" t="s">
        <v>511</v>
      </c>
      <c r="C341" s="1" t="s">
        <v>510</v>
      </c>
      <c r="D341" s="188"/>
      <c r="E341" s="25" t="s">
        <v>23</v>
      </c>
      <c r="F341" s="128">
        <v>13</v>
      </c>
      <c r="G341" s="79">
        <f t="shared" si="25"/>
        <v>26</v>
      </c>
      <c r="H341" s="58" t="s">
        <v>30</v>
      </c>
      <c r="I341" s="59"/>
      <c r="J341" s="21">
        <f t="shared" si="23"/>
        <v>0</v>
      </c>
    </row>
    <row r="342" spans="2:10" ht="16" customHeight="1">
      <c r="B342" s="32" t="s">
        <v>512</v>
      </c>
      <c r="C342" s="1" t="s">
        <v>510</v>
      </c>
      <c r="D342" s="189"/>
      <c r="E342" s="25" t="s">
        <v>23</v>
      </c>
      <c r="F342" s="128">
        <v>13</v>
      </c>
      <c r="G342" s="79">
        <f t="shared" si="25"/>
        <v>26</v>
      </c>
      <c r="H342" s="58" t="s">
        <v>31</v>
      </c>
      <c r="I342" s="59"/>
      <c r="J342" s="21">
        <f t="shared" si="23"/>
        <v>0</v>
      </c>
    </row>
    <row r="343" spans="2:10" ht="16" customHeight="1">
      <c r="B343" s="33" t="s">
        <v>513</v>
      </c>
      <c r="C343" s="2" t="s">
        <v>514</v>
      </c>
      <c r="D343" s="190" t="s">
        <v>502</v>
      </c>
      <c r="E343" s="34" t="s">
        <v>21</v>
      </c>
      <c r="F343" s="129">
        <v>13</v>
      </c>
      <c r="G343" s="104">
        <f t="shared" si="25"/>
        <v>26</v>
      </c>
      <c r="H343" s="103" t="s">
        <v>29</v>
      </c>
      <c r="I343" s="59"/>
      <c r="J343" s="21">
        <f t="shared" si="23"/>
        <v>0</v>
      </c>
    </row>
    <row r="344" spans="2:10" ht="16" customHeight="1">
      <c r="B344" s="33" t="s">
        <v>515</v>
      </c>
      <c r="C344" s="2" t="s">
        <v>514</v>
      </c>
      <c r="D344" s="188"/>
      <c r="E344" s="34" t="s">
        <v>21</v>
      </c>
      <c r="F344" s="129">
        <v>13</v>
      </c>
      <c r="G344" s="104">
        <f t="shared" si="25"/>
        <v>26</v>
      </c>
      <c r="H344" s="103" t="s">
        <v>30</v>
      </c>
      <c r="I344" s="59"/>
      <c r="J344" s="21">
        <f t="shared" si="23"/>
        <v>0</v>
      </c>
    </row>
    <row r="345" spans="2:10" ht="16" customHeight="1">
      <c r="B345" s="33" t="s">
        <v>516</v>
      </c>
      <c r="C345" s="2" t="s">
        <v>514</v>
      </c>
      <c r="D345" s="189"/>
      <c r="E345" s="34" t="s">
        <v>21</v>
      </c>
      <c r="F345" s="129">
        <v>13</v>
      </c>
      <c r="G345" s="104">
        <f t="shared" si="25"/>
        <v>26</v>
      </c>
      <c r="H345" s="103" t="s">
        <v>31</v>
      </c>
      <c r="I345" s="59"/>
      <c r="J345" s="21">
        <f t="shared" si="23"/>
        <v>0</v>
      </c>
    </row>
    <row r="346" spans="2:10" ht="16" customHeight="1">
      <c r="B346" s="32" t="s">
        <v>500</v>
      </c>
      <c r="C346" s="1" t="s">
        <v>501</v>
      </c>
      <c r="D346" s="187" t="s">
        <v>502</v>
      </c>
      <c r="E346" s="25" t="s">
        <v>24</v>
      </c>
      <c r="F346" s="128">
        <v>13</v>
      </c>
      <c r="G346" s="79">
        <f t="shared" si="24"/>
        <v>26</v>
      </c>
      <c r="H346" s="58" t="s">
        <v>29</v>
      </c>
      <c r="I346" s="59"/>
      <c r="J346" s="21">
        <f t="shared" si="23"/>
        <v>0</v>
      </c>
    </row>
    <row r="347" spans="2:10" ht="16" customHeight="1">
      <c r="B347" s="32" t="s">
        <v>503</v>
      </c>
      <c r="C347" s="1" t="s">
        <v>501</v>
      </c>
      <c r="D347" s="188"/>
      <c r="E347" s="25" t="s">
        <v>24</v>
      </c>
      <c r="F347" s="128">
        <v>13</v>
      </c>
      <c r="G347" s="79">
        <f t="shared" si="24"/>
        <v>26</v>
      </c>
      <c r="H347" s="58" t="s">
        <v>30</v>
      </c>
      <c r="I347" s="59"/>
      <c r="J347" s="21">
        <f t="shared" si="23"/>
        <v>0</v>
      </c>
    </row>
    <row r="348" spans="2:10" ht="16" customHeight="1">
      <c r="B348" s="32" t="s">
        <v>504</v>
      </c>
      <c r="C348" s="1" t="s">
        <v>501</v>
      </c>
      <c r="D348" s="189"/>
      <c r="E348" s="25" t="s">
        <v>24</v>
      </c>
      <c r="F348" s="128">
        <v>13</v>
      </c>
      <c r="G348" s="79">
        <f t="shared" si="24"/>
        <v>26</v>
      </c>
      <c r="H348" s="58" t="s">
        <v>31</v>
      </c>
      <c r="I348" s="59"/>
      <c r="J348" s="21">
        <f t="shared" si="23"/>
        <v>0</v>
      </c>
    </row>
    <row r="349" spans="2:10" ht="16" customHeight="1">
      <c r="B349" s="33" t="s">
        <v>505</v>
      </c>
      <c r="C349" s="2" t="s">
        <v>506</v>
      </c>
      <c r="D349" s="190" t="s">
        <v>502</v>
      </c>
      <c r="E349" s="34" t="s">
        <v>84</v>
      </c>
      <c r="F349" s="129">
        <v>13</v>
      </c>
      <c r="G349" s="104">
        <f t="shared" si="24"/>
        <v>26</v>
      </c>
      <c r="H349" s="103" t="s">
        <v>29</v>
      </c>
      <c r="I349" s="59"/>
      <c r="J349" s="21">
        <f t="shared" si="23"/>
        <v>0</v>
      </c>
    </row>
    <row r="350" spans="2:10" ht="16" customHeight="1">
      <c r="B350" s="33" t="s">
        <v>507</v>
      </c>
      <c r="C350" s="2" t="s">
        <v>506</v>
      </c>
      <c r="D350" s="188"/>
      <c r="E350" s="34" t="s">
        <v>84</v>
      </c>
      <c r="F350" s="129">
        <v>13</v>
      </c>
      <c r="G350" s="104">
        <f t="shared" si="24"/>
        <v>26</v>
      </c>
      <c r="H350" s="103" t="s">
        <v>30</v>
      </c>
      <c r="I350" s="59"/>
      <c r="J350" s="21">
        <f t="shared" si="23"/>
        <v>0</v>
      </c>
    </row>
    <row r="351" spans="2:10" ht="16" customHeight="1">
      <c r="B351" s="33" t="s">
        <v>508</v>
      </c>
      <c r="C351" s="2" t="s">
        <v>506</v>
      </c>
      <c r="D351" s="189"/>
      <c r="E351" s="34" t="s">
        <v>84</v>
      </c>
      <c r="F351" s="129">
        <v>13</v>
      </c>
      <c r="G351" s="104">
        <f t="shared" si="24"/>
        <v>26</v>
      </c>
      <c r="H351" s="103" t="s">
        <v>31</v>
      </c>
      <c r="I351" s="59"/>
      <c r="J351" s="21">
        <f t="shared" si="23"/>
        <v>0</v>
      </c>
    </row>
    <row r="352" spans="2:10" ht="16" customHeight="1">
      <c r="B352" s="32" t="s">
        <v>517</v>
      </c>
      <c r="C352" s="1" t="s">
        <v>518</v>
      </c>
      <c r="D352" s="187" t="s">
        <v>603</v>
      </c>
      <c r="E352" s="1" t="s">
        <v>17</v>
      </c>
      <c r="F352" s="128">
        <v>22.5</v>
      </c>
      <c r="G352" s="80">
        <v>45</v>
      </c>
      <c r="H352" s="58" t="s">
        <v>29</v>
      </c>
      <c r="I352" s="59"/>
      <c r="J352" s="21">
        <f t="shared" si="23"/>
        <v>0</v>
      </c>
    </row>
    <row r="353" spans="1:20" ht="16" customHeight="1">
      <c r="B353" s="32" t="s">
        <v>519</v>
      </c>
      <c r="C353" s="1" t="s">
        <v>518</v>
      </c>
      <c r="D353" s="188"/>
      <c r="E353" s="1" t="s">
        <v>17</v>
      </c>
      <c r="F353" s="128">
        <v>22.5</v>
      </c>
      <c r="G353" s="81">
        <v>45</v>
      </c>
      <c r="H353" s="58" t="s">
        <v>30</v>
      </c>
      <c r="I353" s="59"/>
      <c r="J353" s="21">
        <f t="shared" si="23"/>
        <v>0</v>
      </c>
    </row>
    <row r="354" spans="1:20" ht="16" customHeight="1">
      <c r="B354" s="32" t="s">
        <v>520</v>
      </c>
      <c r="C354" s="1" t="s">
        <v>518</v>
      </c>
      <c r="D354" s="189"/>
      <c r="E354" s="1" t="s">
        <v>17</v>
      </c>
      <c r="F354" s="128">
        <v>22.5</v>
      </c>
      <c r="G354" s="81">
        <v>45</v>
      </c>
      <c r="H354" s="58" t="s">
        <v>31</v>
      </c>
      <c r="I354" s="59"/>
      <c r="J354" s="21">
        <f t="shared" si="23"/>
        <v>0</v>
      </c>
    </row>
    <row r="355" spans="1:20" ht="16" customHeight="1">
      <c r="B355" s="33" t="s">
        <v>521</v>
      </c>
      <c r="C355" s="2" t="s">
        <v>522</v>
      </c>
      <c r="D355" s="194" t="s">
        <v>603</v>
      </c>
      <c r="E355" s="2" t="s">
        <v>111</v>
      </c>
      <c r="F355" s="129">
        <v>22.5</v>
      </c>
      <c r="G355" s="104">
        <f t="shared" ref="G355:G357" si="26">SUM(F355*2)</f>
        <v>45</v>
      </c>
      <c r="H355" s="103" t="s">
        <v>29</v>
      </c>
      <c r="I355" s="59"/>
      <c r="J355" s="21">
        <f t="shared" si="23"/>
        <v>0</v>
      </c>
    </row>
    <row r="356" spans="1:20" ht="16" customHeight="1">
      <c r="B356" s="33" t="s">
        <v>523</v>
      </c>
      <c r="C356" s="2" t="s">
        <v>522</v>
      </c>
      <c r="D356" s="195"/>
      <c r="E356" s="2" t="s">
        <v>111</v>
      </c>
      <c r="F356" s="129">
        <v>22.5</v>
      </c>
      <c r="G356" s="104">
        <f t="shared" si="26"/>
        <v>45</v>
      </c>
      <c r="H356" s="103" t="s">
        <v>30</v>
      </c>
      <c r="I356" s="59"/>
      <c r="J356" s="21">
        <f t="shared" si="23"/>
        <v>0</v>
      </c>
    </row>
    <row r="357" spans="1:20" ht="16" customHeight="1">
      <c r="B357" s="33" t="s">
        <v>524</v>
      </c>
      <c r="C357" s="2" t="s">
        <v>522</v>
      </c>
      <c r="D357" s="195"/>
      <c r="E357" s="2" t="s">
        <v>111</v>
      </c>
      <c r="F357" s="129">
        <v>22.5</v>
      </c>
      <c r="G357" s="104">
        <f t="shared" si="26"/>
        <v>45</v>
      </c>
      <c r="H357" s="103" t="s">
        <v>31</v>
      </c>
      <c r="I357" s="59"/>
      <c r="J357" s="21">
        <f t="shared" si="23"/>
        <v>0</v>
      </c>
    </row>
    <row r="358" spans="1:20" ht="16" customHeight="1">
      <c r="B358" s="122"/>
      <c r="C358" s="123"/>
      <c r="D358" s="124"/>
      <c r="E358" s="123"/>
      <c r="F358" s="130"/>
      <c r="G358" s="125"/>
      <c r="H358" s="126"/>
      <c r="I358" s="123"/>
      <c r="J358" s="121"/>
    </row>
    <row r="359" spans="1:20" customFormat="1" ht="24">
      <c r="A359" s="113"/>
      <c r="B359" s="191" t="s">
        <v>597</v>
      </c>
      <c r="C359" s="192"/>
      <c r="D359" s="192"/>
      <c r="E359" s="192"/>
      <c r="F359" s="192"/>
      <c r="G359" s="192"/>
      <c r="H359" s="192"/>
      <c r="I359" s="192"/>
      <c r="J359" s="19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customFormat="1">
      <c r="A360" s="113"/>
      <c r="B360" s="140" t="s">
        <v>598</v>
      </c>
      <c r="C360" s="141"/>
      <c r="D360" s="141"/>
      <c r="E360" s="141"/>
      <c r="F360" s="141"/>
      <c r="G360" s="141"/>
      <c r="H360" s="141"/>
      <c r="I360" s="143" t="s">
        <v>599</v>
      </c>
      <c r="J360" s="142" t="s">
        <v>600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6" customHeight="1">
      <c r="B361" s="1" t="s">
        <v>526</v>
      </c>
      <c r="C361" s="1" t="s">
        <v>527</v>
      </c>
      <c r="D361" s="1" t="s">
        <v>528</v>
      </c>
      <c r="E361" s="1" t="s">
        <v>529</v>
      </c>
      <c r="F361" s="128">
        <v>65</v>
      </c>
      <c r="G361" s="134">
        <f t="shared" ref="G361:G377" si="27">SUM(F361*2)</f>
        <v>130</v>
      </c>
      <c r="H361" s="56" t="s">
        <v>330</v>
      </c>
      <c r="I361" s="135"/>
      <c r="J361" s="136">
        <f>SUM(F361*I361)</f>
        <v>0</v>
      </c>
    </row>
    <row r="362" spans="1:20" ht="16" customHeight="1">
      <c r="B362" s="1" t="s">
        <v>530</v>
      </c>
      <c r="C362" s="1" t="s">
        <v>527</v>
      </c>
      <c r="D362" s="1" t="s">
        <v>528</v>
      </c>
      <c r="E362" s="1" t="s">
        <v>529</v>
      </c>
      <c r="F362" s="128">
        <v>65</v>
      </c>
      <c r="G362" s="119">
        <f t="shared" si="27"/>
        <v>130</v>
      </c>
      <c r="H362" s="57" t="s">
        <v>29</v>
      </c>
      <c r="I362" s="135"/>
      <c r="J362" s="136">
        <f t="shared" ref="J362:J389" si="28">SUM(F362*I362)</f>
        <v>0</v>
      </c>
    </row>
    <row r="363" spans="1:20" ht="18" customHeight="1">
      <c r="B363" s="1" t="s">
        <v>531</v>
      </c>
      <c r="C363" s="1" t="s">
        <v>527</v>
      </c>
      <c r="D363" s="1" t="s">
        <v>528</v>
      </c>
      <c r="E363" s="1" t="s">
        <v>529</v>
      </c>
      <c r="F363" s="128">
        <v>65</v>
      </c>
      <c r="G363" s="119">
        <f t="shared" si="27"/>
        <v>130</v>
      </c>
      <c r="H363" s="58" t="s">
        <v>30</v>
      </c>
      <c r="I363" s="135"/>
      <c r="J363" s="136">
        <f t="shared" si="28"/>
        <v>0</v>
      </c>
    </row>
    <row r="364" spans="1:20" ht="16" customHeight="1">
      <c r="B364" s="1" t="s">
        <v>532</v>
      </c>
      <c r="C364" s="1" t="s">
        <v>527</v>
      </c>
      <c r="D364" s="1" t="s">
        <v>528</v>
      </c>
      <c r="E364" s="1" t="s">
        <v>529</v>
      </c>
      <c r="F364" s="128">
        <v>65</v>
      </c>
      <c r="G364" s="119">
        <f t="shared" si="27"/>
        <v>130</v>
      </c>
      <c r="H364" s="58" t="s">
        <v>31</v>
      </c>
      <c r="I364" s="135"/>
      <c r="J364" s="136">
        <f t="shared" si="28"/>
        <v>0</v>
      </c>
    </row>
    <row r="365" spans="1:20" ht="16" customHeight="1">
      <c r="B365" s="1" t="s">
        <v>533</v>
      </c>
      <c r="C365" s="1" t="s">
        <v>527</v>
      </c>
      <c r="D365" s="1" t="s">
        <v>528</v>
      </c>
      <c r="E365" s="1" t="s">
        <v>529</v>
      </c>
      <c r="F365" s="128">
        <v>65</v>
      </c>
      <c r="G365" s="119">
        <f t="shared" si="27"/>
        <v>130</v>
      </c>
      <c r="H365" s="58" t="s">
        <v>32</v>
      </c>
      <c r="I365" s="135"/>
      <c r="J365" s="136">
        <f t="shared" si="28"/>
        <v>0</v>
      </c>
    </row>
    <row r="366" spans="1:20" ht="16" customHeight="1">
      <c r="B366" s="1" t="s">
        <v>534</v>
      </c>
      <c r="C366" s="1" t="s">
        <v>527</v>
      </c>
      <c r="D366" s="1" t="s">
        <v>528</v>
      </c>
      <c r="E366" s="1" t="s">
        <v>529</v>
      </c>
      <c r="F366" s="128">
        <v>65</v>
      </c>
      <c r="G366" s="119">
        <f t="shared" si="27"/>
        <v>130</v>
      </c>
      <c r="H366" s="58" t="s">
        <v>15</v>
      </c>
      <c r="I366" s="135"/>
      <c r="J366" s="136">
        <f t="shared" si="28"/>
        <v>0</v>
      </c>
    </row>
    <row r="367" spans="1:20" ht="16" customHeight="1">
      <c r="B367" s="2" t="s">
        <v>535</v>
      </c>
      <c r="C367" s="2" t="s">
        <v>536</v>
      </c>
      <c r="D367" s="2" t="s">
        <v>528</v>
      </c>
      <c r="E367" s="2" t="s">
        <v>537</v>
      </c>
      <c r="F367" s="131">
        <v>65</v>
      </c>
      <c r="G367" s="117">
        <f t="shared" si="27"/>
        <v>130</v>
      </c>
      <c r="H367" s="102" t="s">
        <v>330</v>
      </c>
      <c r="I367" s="135"/>
      <c r="J367" s="136">
        <f t="shared" si="28"/>
        <v>0</v>
      </c>
    </row>
    <row r="368" spans="1:20" ht="16" customHeight="1">
      <c r="B368" s="2" t="s">
        <v>538</v>
      </c>
      <c r="C368" s="2" t="s">
        <v>536</v>
      </c>
      <c r="D368" s="2" t="s">
        <v>528</v>
      </c>
      <c r="E368" s="2" t="s">
        <v>537</v>
      </c>
      <c r="F368" s="131">
        <v>65</v>
      </c>
      <c r="G368" s="117">
        <f t="shared" si="27"/>
        <v>130</v>
      </c>
      <c r="H368" s="103" t="s">
        <v>29</v>
      </c>
      <c r="I368" s="135"/>
      <c r="J368" s="136">
        <f t="shared" si="28"/>
        <v>0</v>
      </c>
    </row>
    <row r="369" spans="2:10" ht="16" customHeight="1">
      <c r="B369" s="2" t="s">
        <v>539</v>
      </c>
      <c r="C369" s="2" t="s">
        <v>536</v>
      </c>
      <c r="D369" s="2" t="s">
        <v>528</v>
      </c>
      <c r="E369" s="2" t="s">
        <v>537</v>
      </c>
      <c r="F369" s="131">
        <v>65</v>
      </c>
      <c r="G369" s="117">
        <f t="shared" si="27"/>
        <v>130</v>
      </c>
      <c r="H369" s="103" t="s">
        <v>30</v>
      </c>
      <c r="I369" s="135"/>
      <c r="J369" s="136">
        <f t="shared" si="28"/>
        <v>0</v>
      </c>
    </row>
    <row r="370" spans="2:10" ht="16" customHeight="1">
      <c r="B370" s="2" t="s">
        <v>540</v>
      </c>
      <c r="C370" s="2" t="s">
        <v>536</v>
      </c>
      <c r="D370" s="2" t="s">
        <v>528</v>
      </c>
      <c r="E370" s="2" t="s">
        <v>537</v>
      </c>
      <c r="F370" s="131">
        <v>65</v>
      </c>
      <c r="G370" s="117">
        <f t="shared" si="27"/>
        <v>130</v>
      </c>
      <c r="H370" s="103" t="s">
        <v>31</v>
      </c>
      <c r="I370" s="135"/>
      <c r="J370" s="136">
        <f t="shared" si="28"/>
        <v>0</v>
      </c>
    </row>
    <row r="371" spans="2:10" ht="16" customHeight="1">
      <c r="B371" s="2" t="s">
        <v>541</v>
      </c>
      <c r="C371" s="2" t="s">
        <v>536</v>
      </c>
      <c r="D371" s="2" t="s">
        <v>528</v>
      </c>
      <c r="E371" s="2" t="s">
        <v>537</v>
      </c>
      <c r="F371" s="131">
        <v>65</v>
      </c>
      <c r="G371" s="117">
        <f t="shared" si="27"/>
        <v>130</v>
      </c>
      <c r="H371" s="103" t="s">
        <v>32</v>
      </c>
      <c r="I371" s="135"/>
      <c r="J371" s="136">
        <f t="shared" si="28"/>
        <v>0</v>
      </c>
    </row>
    <row r="372" spans="2:10" ht="16" customHeight="1">
      <c r="B372" s="2" t="s">
        <v>542</v>
      </c>
      <c r="C372" s="2" t="s">
        <v>536</v>
      </c>
      <c r="D372" s="2" t="s">
        <v>528</v>
      </c>
      <c r="E372" s="2" t="s">
        <v>537</v>
      </c>
      <c r="F372" s="131">
        <v>65</v>
      </c>
      <c r="G372" s="117">
        <f t="shared" si="27"/>
        <v>130</v>
      </c>
      <c r="H372" s="103" t="s">
        <v>15</v>
      </c>
      <c r="I372" s="135"/>
      <c r="J372" s="136">
        <f t="shared" si="28"/>
        <v>0</v>
      </c>
    </row>
    <row r="373" spans="2:10" ht="16" customHeight="1">
      <c r="B373" s="1" t="s">
        <v>543</v>
      </c>
      <c r="C373" s="1" t="s">
        <v>544</v>
      </c>
      <c r="D373" s="1" t="s">
        <v>545</v>
      </c>
      <c r="E373" s="1" t="s">
        <v>546</v>
      </c>
      <c r="F373" s="128">
        <v>65</v>
      </c>
      <c r="G373" s="119">
        <f t="shared" si="27"/>
        <v>130</v>
      </c>
      <c r="H373" s="56" t="s">
        <v>330</v>
      </c>
      <c r="I373" s="135"/>
      <c r="J373" s="136">
        <f t="shared" si="28"/>
        <v>0</v>
      </c>
    </row>
    <row r="374" spans="2:10" ht="16" customHeight="1">
      <c r="B374" s="1" t="s">
        <v>547</v>
      </c>
      <c r="C374" s="1" t="s">
        <v>544</v>
      </c>
      <c r="D374" s="1" t="s">
        <v>545</v>
      </c>
      <c r="E374" s="1" t="s">
        <v>546</v>
      </c>
      <c r="F374" s="128">
        <v>65</v>
      </c>
      <c r="G374" s="119">
        <f t="shared" si="27"/>
        <v>130</v>
      </c>
      <c r="H374" s="58" t="s">
        <v>29</v>
      </c>
      <c r="I374" s="135"/>
      <c r="J374" s="136">
        <f t="shared" si="28"/>
        <v>0</v>
      </c>
    </row>
    <row r="375" spans="2:10" ht="16" customHeight="1">
      <c r="B375" s="1" t="s">
        <v>548</v>
      </c>
      <c r="C375" s="1" t="s">
        <v>544</v>
      </c>
      <c r="D375" s="1" t="s">
        <v>545</v>
      </c>
      <c r="E375" s="1" t="s">
        <v>546</v>
      </c>
      <c r="F375" s="128">
        <v>65</v>
      </c>
      <c r="G375" s="119">
        <f t="shared" si="27"/>
        <v>130</v>
      </c>
      <c r="H375" s="58" t="s">
        <v>30</v>
      </c>
      <c r="I375" s="135"/>
      <c r="J375" s="136">
        <f t="shared" si="28"/>
        <v>0</v>
      </c>
    </row>
    <row r="376" spans="2:10" ht="16" customHeight="1">
      <c r="B376" s="1" t="s">
        <v>549</v>
      </c>
      <c r="C376" s="1" t="s">
        <v>544</v>
      </c>
      <c r="D376" s="1" t="s">
        <v>545</v>
      </c>
      <c r="E376" s="1" t="s">
        <v>546</v>
      </c>
      <c r="F376" s="128">
        <v>65</v>
      </c>
      <c r="G376" s="119">
        <f t="shared" si="27"/>
        <v>130</v>
      </c>
      <c r="H376" s="58" t="s">
        <v>31</v>
      </c>
      <c r="I376" s="135"/>
      <c r="J376" s="136">
        <f t="shared" si="28"/>
        <v>0</v>
      </c>
    </row>
    <row r="377" spans="2:10" ht="16" customHeight="1">
      <c r="B377" s="1" t="s">
        <v>550</v>
      </c>
      <c r="C377" s="1" t="s">
        <v>544</v>
      </c>
      <c r="D377" s="1" t="s">
        <v>545</v>
      </c>
      <c r="E377" s="1" t="s">
        <v>546</v>
      </c>
      <c r="F377" s="128">
        <v>65</v>
      </c>
      <c r="G377" s="119">
        <f t="shared" si="27"/>
        <v>130</v>
      </c>
      <c r="H377" s="58" t="s">
        <v>32</v>
      </c>
      <c r="I377" s="135"/>
      <c r="J377" s="136">
        <f t="shared" si="28"/>
        <v>0</v>
      </c>
    </row>
    <row r="378" spans="2:10" ht="16" customHeight="1">
      <c r="B378" s="1" t="s">
        <v>551</v>
      </c>
      <c r="C378" s="1" t="s">
        <v>544</v>
      </c>
      <c r="D378" s="1" t="s">
        <v>545</v>
      </c>
      <c r="E378" s="1" t="s">
        <v>546</v>
      </c>
      <c r="F378" s="128">
        <v>65</v>
      </c>
      <c r="G378" s="79">
        <f t="shared" ref="G378:G411" si="29">SUM(F378*2)</f>
        <v>130</v>
      </c>
      <c r="H378" s="58" t="s">
        <v>15</v>
      </c>
      <c r="I378" s="135"/>
      <c r="J378" s="136">
        <f t="shared" si="28"/>
        <v>0</v>
      </c>
    </row>
    <row r="379" spans="2:10" ht="16" customHeight="1">
      <c r="B379" s="2" t="s">
        <v>552</v>
      </c>
      <c r="C379" s="2" t="s">
        <v>553</v>
      </c>
      <c r="D379" s="2" t="s">
        <v>554</v>
      </c>
      <c r="E379" s="2" t="s">
        <v>555</v>
      </c>
      <c r="F379" s="131">
        <v>65</v>
      </c>
      <c r="G379" s="117">
        <f t="shared" si="29"/>
        <v>130</v>
      </c>
      <c r="H379" s="102" t="s">
        <v>330</v>
      </c>
      <c r="I379" s="135"/>
      <c r="J379" s="136">
        <f t="shared" si="28"/>
        <v>0</v>
      </c>
    </row>
    <row r="380" spans="2:10" ht="18" customHeight="1">
      <c r="B380" s="2" t="s">
        <v>556</v>
      </c>
      <c r="C380" s="2" t="s">
        <v>553</v>
      </c>
      <c r="D380" s="2" t="s">
        <v>554</v>
      </c>
      <c r="E380" s="2" t="s">
        <v>555</v>
      </c>
      <c r="F380" s="131">
        <v>65</v>
      </c>
      <c r="G380" s="117">
        <f t="shared" si="29"/>
        <v>130</v>
      </c>
      <c r="H380" s="103" t="s">
        <v>29</v>
      </c>
      <c r="I380" s="135"/>
      <c r="J380" s="136">
        <f t="shared" si="28"/>
        <v>0</v>
      </c>
    </row>
    <row r="381" spans="2:10" ht="16" customHeight="1">
      <c r="B381" s="2" t="s">
        <v>557</v>
      </c>
      <c r="C381" s="2" t="s">
        <v>553</v>
      </c>
      <c r="D381" s="2" t="s">
        <v>554</v>
      </c>
      <c r="E381" s="2" t="s">
        <v>555</v>
      </c>
      <c r="F381" s="131">
        <v>65</v>
      </c>
      <c r="G381" s="117">
        <f t="shared" si="29"/>
        <v>130</v>
      </c>
      <c r="H381" s="103" t="s">
        <v>30</v>
      </c>
      <c r="I381" s="135"/>
      <c r="J381" s="136">
        <f t="shared" si="28"/>
        <v>0</v>
      </c>
    </row>
    <row r="382" spans="2:10" ht="16" customHeight="1">
      <c r="B382" s="2" t="s">
        <v>558</v>
      </c>
      <c r="C382" s="2" t="s">
        <v>553</v>
      </c>
      <c r="D382" s="2" t="s">
        <v>554</v>
      </c>
      <c r="E382" s="2" t="s">
        <v>555</v>
      </c>
      <c r="F382" s="131">
        <v>65</v>
      </c>
      <c r="G382" s="117">
        <f t="shared" si="29"/>
        <v>130</v>
      </c>
      <c r="H382" s="103" t="s">
        <v>31</v>
      </c>
      <c r="I382" s="135"/>
      <c r="J382" s="136">
        <f t="shared" si="28"/>
        <v>0</v>
      </c>
    </row>
    <row r="383" spans="2:10" ht="16" customHeight="1">
      <c r="B383" s="2" t="s">
        <v>559</v>
      </c>
      <c r="C383" s="2" t="s">
        <v>553</v>
      </c>
      <c r="D383" s="2" t="s">
        <v>554</v>
      </c>
      <c r="E383" s="2" t="s">
        <v>555</v>
      </c>
      <c r="F383" s="131">
        <v>65</v>
      </c>
      <c r="G383" s="104">
        <f t="shared" si="29"/>
        <v>130</v>
      </c>
      <c r="H383" s="103" t="s">
        <v>32</v>
      </c>
      <c r="I383" s="135"/>
      <c r="J383" s="136">
        <f t="shared" si="28"/>
        <v>0</v>
      </c>
    </row>
    <row r="384" spans="2:10" ht="16" customHeight="1">
      <c r="B384" s="2" t="s">
        <v>560</v>
      </c>
      <c r="C384" s="2" t="s">
        <v>553</v>
      </c>
      <c r="D384" s="2" t="s">
        <v>554</v>
      </c>
      <c r="E384" s="2" t="s">
        <v>555</v>
      </c>
      <c r="F384" s="131">
        <v>65</v>
      </c>
      <c r="G384" s="104">
        <f t="shared" si="29"/>
        <v>130</v>
      </c>
      <c r="H384" s="103" t="s">
        <v>15</v>
      </c>
      <c r="I384" s="135"/>
      <c r="J384" s="136">
        <f t="shared" si="28"/>
        <v>0</v>
      </c>
    </row>
    <row r="385" spans="2:10" ht="16" customHeight="1">
      <c r="B385" s="1" t="s">
        <v>561</v>
      </c>
      <c r="C385" s="1" t="s">
        <v>562</v>
      </c>
      <c r="D385" s="1" t="s">
        <v>554</v>
      </c>
      <c r="E385" s="1" t="s">
        <v>17</v>
      </c>
      <c r="F385" s="128">
        <v>65</v>
      </c>
      <c r="G385" s="119">
        <f t="shared" si="29"/>
        <v>130</v>
      </c>
      <c r="H385" s="56" t="s">
        <v>330</v>
      </c>
      <c r="I385" s="135"/>
      <c r="J385" s="136">
        <f t="shared" si="28"/>
        <v>0</v>
      </c>
    </row>
    <row r="386" spans="2:10" ht="16" customHeight="1">
      <c r="B386" s="1" t="s">
        <v>563</v>
      </c>
      <c r="C386" s="1" t="s">
        <v>562</v>
      </c>
      <c r="D386" s="1" t="s">
        <v>554</v>
      </c>
      <c r="E386" s="1" t="s">
        <v>17</v>
      </c>
      <c r="F386" s="128">
        <v>65</v>
      </c>
      <c r="G386" s="119">
        <f t="shared" si="29"/>
        <v>130</v>
      </c>
      <c r="H386" s="58" t="s">
        <v>29</v>
      </c>
      <c r="I386" s="135"/>
      <c r="J386" s="136">
        <f t="shared" si="28"/>
        <v>0</v>
      </c>
    </row>
    <row r="387" spans="2:10" ht="16" customHeight="1">
      <c r="B387" s="1" t="s">
        <v>564</v>
      </c>
      <c r="C387" s="1" t="s">
        <v>562</v>
      </c>
      <c r="D387" s="1" t="s">
        <v>554</v>
      </c>
      <c r="E387" s="1" t="s">
        <v>17</v>
      </c>
      <c r="F387" s="128">
        <v>65</v>
      </c>
      <c r="G387" s="119">
        <f t="shared" si="29"/>
        <v>130</v>
      </c>
      <c r="H387" s="58" t="s">
        <v>30</v>
      </c>
      <c r="I387" s="135"/>
      <c r="J387" s="136">
        <f t="shared" si="28"/>
        <v>0</v>
      </c>
    </row>
    <row r="388" spans="2:10" ht="16" customHeight="1">
      <c r="B388" s="1" t="s">
        <v>565</v>
      </c>
      <c r="C388" s="1" t="s">
        <v>562</v>
      </c>
      <c r="D388" s="1" t="s">
        <v>554</v>
      </c>
      <c r="E388" s="1" t="s">
        <v>17</v>
      </c>
      <c r="F388" s="128">
        <v>65</v>
      </c>
      <c r="G388" s="79">
        <f t="shared" si="29"/>
        <v>130</v>
      </c>
      <c r="H388" s="58" t="s">
        <v>31</v>
      </c>
      <c r="I388" s="135"/>
      <c r="J388" s="136">
        <f t="shared" si="28"/>
        <v>0</v>
      </c>
    </row>
    <row r="389" spans="2:10" ht="16" customHeight="1">
      <c r="B389" s="1" t="s">
        <v>566</v>
      </c>
      <c r="C389" s="1" t="s">
        <v>562</v>
      </c>
      <c r="D389" s="1" t="s">
        <v>554</v>
      </c>
      <c r="E389" s="1" t="s">
        <v>17</v>
      </c>
      <c r="F389" s="128">
        <v>65</v>
      </c>
      <c r="G389" s="79">
        <f t="shared" si="29"/>
        <v>130</v>
      </c>
      <c r="H389" s="58" t="s">
        <v>32</v>
      </c>
      <c r="I389" s="135"/>
      <c r="J389" s="136">
        <f t="shared" si="28"/>
        <v>0</v>
      </c>
    </row>
    <row r="390" spans="2:10" ht="16" customHeight="1">
      <c r="B390" s="1" t="s">
        <v>567</v>
      </c>
      <c r="C390" s="1" t="s">
        <v>562</v>
      </c>
      <c r="D390" s="1" t="s">
        <v>554</v>
      </c>
      <c r="E390" s="1" t="s">
        <v>17</v>
      </c>
      <c r="F390" s="128">
        <v>65</v>
      </c>
      <c r="G390" s="79">
        <f t="shared" si="29"/>
        <v>130</v>
      </c>
      <c r="H390" s="58" t="s">
        <v>15</v>
      </c>
      <c r="I390" s="135"/>
      <c r="J390" s="136">
        <f>SUM(F390*I390)</f>
        <v>0</v>
      </c>
    </row>
    <row r="391" spans="2:10" ht="16" customHeight="1">
      <c r="B391" s="110" t="s">
        <v>420</v>
      </c>
      <c r="C391" s="111"/>
      <c r="D391" s="112"/>
      <c r="E391" s="112"/>
      <c r="F391" s="132"/>
      <c r="G391" s="133"/>
      <c r="H391" s="127"/>
      <c r="I391" s="138"/>
      <c r="J391" s="139"/>
    </row>
    <row r="392" spans="2:10" ht="16" customHeight="1">
      <c r="B392" s="1" t="s">
        <v>568</v>
      </c>
      <c r="C392" s="1" t="s">
        <v>569</v>
      </c>
      <c r="D392" s="1" t="s">
        <v>570</v>
      </c>
      <c r="E392" s="1" t="s">
        <v>415</v>
      </c>
      <c r="F392" s="128">
        <v>34</v>
      </c>
      <c r="G392" s="79">
        <f t="shared" si="29"/>
        <v>68</v>
      </c>
      <c r="H392" s="120" t="s">
        <v>29</v>
      </c>
      <c r="I392" s="59"/>
      <c r="J392" s="21">
        <f>SUM(F392*I392)</f>
        <v>0</v>
      </c>
    </row>
    <row r="393" spans="2:10" ht="16" customHeight="1">
      <c r="B393" s="1" t="s">
        <v>571</v>
      </c>
      <c r="C393" s="1" t="s">
        <v>569</v>
      </c>
      <c r="D393" s="1" t="s">
        <v>570</v>
      </c>
      <c r="E393" s="1" t="s">
        <v>415</v>
      </c>
      <c r="F393" s="128">
        <v>34</v>
      </c>
      <c r="G393" s="119">
        <f t="shared" si="29"/>
        <v>68</v>
      </c>
      <c r="H393" s="120" t="s">
        <v>30</v>
      </c>
      <c r="I393" s="59"/>
      <c r="J393" s="21">
        <f t="shared" ref="J393:J411" si="30">SUM(F393*I393)</f>
        <v>0</v>
      </c>
    </row>
    <row r="394" spans="2:10" ht="16" customHeight="1">
      <c r="B394" s="1" t="s">
        <v>572</v>
      </c>
      <c r="C394" s="1" t="s">
        <v>569</v>
      </c>
      <c r="D394" s="1" t="s">
        <v>570</v>
      </c>
      <c r="E394" s="1" t="s">
        <v>415</v>
      </c>
      <c r="F394" s="128">
        <v>34</v>
      </c>
      <c r="G394" s="119">
        <f t="shared" si="29"/>
        <v>68</v>
      </c>
      <c r="H394" s="120" t="s">
        <v>31</v>
      </c>
      <c r="I394" s="59"/>
      <c r="J394" s="21">
        <f t="shared" si="30"/>
        <v>0</v>
      </c>
    </row>
    <row r="395" spans="2:10" ht="16" customHeight="1">
      <c r="B395" s="1" t="s">
        <v>573</v>
      </c>
      <c r="C395" s="1" t="s">
        <v>569</v>
      </c>
      <c r="D395" s="1" t="s">
        <v>570</v>
      </c>
      <c r="E395" s="1" t="s">
        <v>415</v>
      </c>
      <c r="F395" s="128">
        <v>34</v>
      </c>
      <c r="G395" s="119">
        <f t="shared" si="29"/>
        <v>68</v>
      </c>
      <c r="H395" s="120" t="s">
        <v>32</v>
      </c>
      <c r="I395" s="59"/>
      <c r="J395" s="21">
        <f t="shared" si="30"/>
        <v>0</v>
      </c>
    </row>
    <row r="396" spans="2:10" ht="16" customHeight="1">
      <c r="B396" s="1" t="s">
        <v>574</v>
      </c>
      <c r="C396" s="1" t="s">
        <v>569</v>
      </c>
      <c r="D396" s="1" t="s">
        <v>570</v>
      </c>
      <c r="E396" s="1" t="s">
        <v>415</v>
      </c>
      <c r="F396" s="128">
        <v>34</v>
      </c>
      <c r="G396" s="119">
        <f t="shared" si="29"/>
        <v>68</v>
      </c>
      <c r="H396" s="120" t="s">
        <v>15</v>
      </c>
      <c r="I396" s="59"/>
      <c r="J396" s="21">
        <f t="shared" si="30"/>
        <v>0</v>
      </c>
    </row>
    <row r="397" spans="2:10" ht="16" customHeight="1">
      <c r="B397" s="2" t="s">
        <v>575</v>
      </c>
      <c r="C397" s="2" t="s">
        <v>576</v>
      </c>
      <c r="D397" s="2" t="s">
        <v>577</v>
      </c>
      <c r="E397" s="2" t="s">
        <v>17</v>
      </c>
      <c r="F397" s="131">
        <v>34</v>
      </c>
      <c r="G397" s="104">
        <f t="shared" si="29"/>
        <v>68</v>
      </c>
      <c r="H397" s="118" t="s">
        <v>29</v>
      </c>
      <c r="I397" s="59"/>
      <c r="J397" s="21">
        <f t="shared" si="30"/>
        <v>0</v>
      </c>
    </row>
    <row r="398" spans="2:10" ht="16" customHeight="1">
      <c r="B398" s="2" t="s">
        <v>578</v>
      </c>
      <c r="C398" s="2" t="s">
        <v>576</v>
      </c>
      <c r="D398" s="2" t="s">
        <v>577</v>
      </c>
      <c r="E398" s="2" t="s">
        <v>17</v>
      </c>
      <c r="F398" s="131">
        <v>34</v>
      </c>
      <c r="G398" s="117">
        <f t="shared" si="29"/>
        <v>68</v>
      </c>
      <c r="H398" s="118" t="s">
        <v>30</v>
      </c>
      <c r="I398" s="59"/>
      <c r="J398" s="21">
        <f t="shared" si="30"/>
        <v>0</v>
      </c>
    </row>
    <row r="399" spans="2:10" ht="16" customHeight="1">
      <c r="B399" s="2" t="s">
        <v>579</v>
      </c>
      <c r="C399" s="2" t="s">
        <v>576</v>
      </c>
      <c r="D399" s="2" t="s">
        <v>577</v>
      </c>
      <c r="E399" s="2" t="s">
        <v>17</v>
      </c>
      <c r="F399" s="131">
        <v>34</v>
      </c>
      <c r="G399" s="117">
        <f t="shared" si="29"/>
        <v>68</v>
      </c>
      <c r="H399" s="118" t="s">
        <v>31</v>
      </c>
      <c r="I399" s="59"/>
      <c r="J399" s="21">
        <f t="shared" si="30"/>
        <v>0</v>
      </c>
    </row>
    <row r="400" spans="2:10" ht="16" customHeight="1">
      <c r="B400" s="2" t="s">
        <v>580</v>
      </c>
      <c r="C400" s="2" t="s">
        <v>576</v>
      </c>
      <c r="D400" s="2" t="s">
        <v>577</v>
      </c>
      <c r="E400" s="2" t="s">
        <v>17</v>
      </c>
      <c r="F400" s="131">
        <v>34</v>
      </c>
      <c r="G400" s="117">
        <f t="shared" si="29"/>
        <v>68</v>
      </c>
      <c r="H400" s="118" t="s">
        <v>32</v>
      </c>
      <c r="I400" s="59"/>
      <c r="J400" s="21">
        <f t="shared" si="30"/>
        <v>0</v>
      </c>
    </row>
    <row r="401" spans="2:10" ht="16" customHeight="1">
      <c r="B401" s="2" t="s">
        <v>581</v>
      </c>
      <c r="C401" s="2" t="s">
        <v>576</v>
      </c>
      <c r="D401" s="2" t="s">
        <v>577</v>
      </c>
      <c r="E401" s="2" t="s">
        <v>17</v>
      </c>
      <c r="F401" s="131">
        <v>34</v>
      </c>
      <c r="G401" s="117">
        <f t="shared" si="29"/>
        <v>68</v>
      </c>
      <c r="H401" s="118" t="s">
        <v>15</v>
      </c>
      <c r="I401" s="59"/>
      <c r="J401" s="21">
        <f t="shared" si="30"/>
        <v>0</v>
      </c>
    </row>
    <row r="402" spans="2:10" ht="16" customHeight="1">
      <c r="B402" s="1" t="s">
        <v>582</v>
      </c>
      <c r="C402" s="1" t="s">
        <v>583</v>
      </c>
      <c r="D402" s="1" t="s">
        <v>584</v>
      </c>
      <c r="E402" s="1" t="s">
        <v>17</v>
      </c>
      <c r="F402" s="128">
        <v>18</v>
      </c>
      <c r="G402" s="79">
        <f t="shared" si="29"/>
        <v>36</v>
      </c>
      <c r="H402" s="120" t="s">
        <v>29</v>
      </c>
      <c r="I402" s="59"/>
      <c r="J402" s="21">
        <f t="shared" si="30"/>
        <v>0</v>
      </c>
    </row>
    <row r="403" spans="2:10" ht="16" customHeight="1">
      <c r="B403" s="1" t="s">
        <v>585</v>
      </c>
      <c r="C403" s="1" t="s">
        <v>583</v>
      </c>
      <c r="D403" s="1" t="s">
        <v>584</v>
      </c>
      <c r="E403" s="1" t="s">
        <v>17</v>
      </c>
      <c r="F403" s="128">
        <v>18</v>
      </c>
      <c r="G403" s="119">
        <f t="shared" si="29"/>
        <v>36</v>
      </c>
      <c r="H403" s="120" t="s">
        <v>30</v>
      </c>
      <c r="I403" s="59"/>
      <c r="J403" s="21">
        <f t="shared" si="30"/>
        <v>0</v>
      </c>
    </row>
    <row r="404" spans="2:10" ht="16" customHeight="1">
      <c r="B404" s="1" t="s">
        <v>586</v>
      </c>
      <c r="C404" s="1" t="s">
        <v>583</v>
      </c>
      <c r="D404" s="1" t="s">
        <v>584</v>
      </c>
      <c r="E404" s="1" t="s">
        <v>17</v>
      </c>
      <c r="F404" s="128">
        <v>18</v>
      </c>
      <c r="G404" s="119">
        <f t="shared" si="29"/>
        <v>36</v>
      </c>
      <c r="H404" s="120" t="s">
        <v>31</v>
      </c>
      <c r="I404" s="59"/>
      <c r="J404" s="21">
        <f t="shared" si="30"/>
        <v>0</v>
      </c>
    </row>
    <row r="405" spans="2:10" ht="16" customHeight="1">
      <c r="B405" s="1" t="s">
        <v>587</v>
      </c>
      <c r="C405" s="1" t="s">
        <v>583</v>
      </c>
      <c r="D405" s="1" t="s">
        <v>584</v>
      </c>
      <c r="E405" s="1" t="s">
        <v>17</v>
      </c>
      <c r="F405" s="128">
        <v>18</v>
      </c>
      <c r="G405" s="119">
        <f t="shared" si="29"/>
        <v>36</v>
      </c>
      <c r="H405" s="120" t="s">
        <v>32</v>
      </c>
      <c r="I405" s="59"/>
      <c r="J405" s="21">
        <f t="shared" si="30"/>
        <v>0</v>
      </c>
    </row>
    <row r="406" spans="2:10" ht="16" customHeight="1">
      <c r="B406" s="1" t="s">
        <v>588</v>
      </c>
      <c r="C406" s="1" t="s">
        <v>583</v>
      </c>
      <c r="D406" s="1" t="s">
        <v>584</v>
      </c>
      <c r="E406" s="1" t="s">
        <v>17</v>
      </c>
      <c r="F406" s="128">
        <v>18</v>
      </c>
      <c r="G406" s="119">
        <f t="shared" si="29"/>
        <v>36</v>
      </c>
      <c r="H406" s="120" t="s">
        <v>15</v>
      </c>
      <c r="I406" s="59"/>
      <c r="J406" s="21">
        <f t="shared" si="30"/>
        <v>0</v>
      </c>
    </row>
    <row r="407" spans="2:10" ht="16" customHeight="1">
      <c r="B407" s="2" t="s">
        <v>589</v>
      </c>
      <c r="C407" s="2" t="s">
        <v>590</v>
      </c>
      <c r="D407" s="2" t="s">
        <v>591</v>
      </c>
      <c r="E407" s="2" t="s">
        <v>592</v>
      </c>
      <c r="F407" s="131">
        <v>18</v>
      </c>
      <c r="G407" s="104">
        <f t="shared" si="29"/>
        <v>36</v>
      </c>
      <c r="H407" s="118" t="s">
        <v>29</v>
      </c>
      <c r="I407" s="59"/>
      <c r="J407" s="21">
        <f t="shared" si="30"/>
        <v>0</v>
      </c>
    </row>
    <row r="408" spans="2:10" ht="16" customHeight="1">
      <c r="B408" s="2" t="s">
        <v>593</v>
      </c>
      <c r="C408" s="2" t="s">
        <v>590</v>
      </c>
      <c r="D408" s="2" t="s">
        <v>591</v>
      </c>
      <c r="E408" s="2" t="s">
        <v>592</v>
      </c>
      <c r="F408" s="131">
        <v>18</v>
      </c>
      <c r="G408" s="117">
        <f t="shared" si="29"/>
        <v>36</v>
      </c>
      <c r="H408" s="118" t="s">
        <v>30</v>
      </c>
      <c r="I408" s="59"/>
      <c r="J408" s="21">
        <f t="shared" si="30"/>
        <v>0</v>
      </c>
    </row>
    <row r="409" spans="2:10" ht="16" customHeight="1">
      <c r="B409" s="2" t="s">
        <v>594</v>
      </c>
      <c r="C409" s="2" t="s">
        <v>590</v>
      </c>
      <c r="D409" s="2" t="s">
        <v>591</v>
      </c>
      <c r="E409" s="2" t="s">
        <v>592</v>
      </c>
      <c r="F409" s="131">
        <v>18</v>
      </c>
      <c r="G409" s="117">
        <f t="shared" si="29"/>
        <v>36</v>
      </c>
      <c r="H409" s="118" t="s">
        <v>31</v>
      </c>
      <c r="I409" s="59"/>
      <c r="J409" s="21">
        <f t="shared" si="30"/>
        <v>0</v>
      </c>
    </row>
    <row r="410" spans="2:10" ht="16" customHeight="1">
      <c r="B410" s="2" t="s">
        <v>595</v>
      </c>
      <c r="C410" s="2" t="s">
        <v>590</v>
      </c>
      <c r="D410" s="2" t="s">
        <v>591</v>
      </c>
      <c r="E410" s="2" t="s">
        <v>592</v>
      </c>
      <c r="F410" s="131">
        <v>18</v>
      </c>
      <c r="G410" s="117">
        <f t="shared" si="29"/>
        <v>36</v>
      </c>
      <c r="H410" s="118" t="s">
        <v>32</v>
      </c>
      <c r="I410" s="59"/>
      <c r="J410" s="21">
        <f t="shared" si="30"/>
        <v>0</v>
      </c>
    </row>
    <row r="411" spans="2:10" ht="16" customHeight="1" thickBot="1">
      <c r="B411" s="2" t="s">
        <v>596</v>
      </c>
      <c r="C411" s="2" t="s">
        <v>590</v>
      </c>
      <c r="D411" s="2" t="s">
        <v>591</v>
      </c>
      <c r="E411" s="2" t="s">
        <v>592</v>
      </c>
      <c r="F411" s="131">
        <v>18</v>
      </c>
      <c r="G411" s="117">
        <f t="shared" si="29"/>
        <v>36</v>
      </c>
      <c r="H411" s="118" t="s">
        <v>15</v>
      </c>
      <c r="I411" s="59"/>
      <c r="J411" s="21">
        <f t="shared" si="30"/>
        <v>0</v>
      </c>
    </row>
    <row r="412" spans="2:10" ht="17" thickBot="1">
      <c r="G412" s="177" t="s">
        <v>36</v>
      </c>
      <c r="H412" s="178"/>
      <c r="I412" s="86">
        <f>SUM(E24)</f>
        <v>0</v>
      </c>
      <c r="J412" s="87">
        <f>SUM(G24)</f>
        <v>0</v>
      </c>
    </row>
    <row r="413" spans="2:10" ht="30" customHeight="1">
      <c r="C413" s="60"/>
      <c r="G413" s="61"/>
    </row>
    <row r="414" spans="2:10">
      <c r="C414" s="60"/>
      <c r="D414" s="62"/>
      <c r="E414" s="62" t="s">
        <v>25</v>
      </c>
      <c r="F414" s="82"/>
      <c r="G414" s="61"/>
    </row>
    <row r="415" spans="2:10" ht="18" customHeight="1">
      <c r="C415" s="60"/>
      <c r="D415" s="62"/>
      <c r="E415" s="62" t="s">
        <v>0</v>
      </c>
      <c r="F415" s="82"/>
      <c r="G415" s="61"/>
      <c r="H415" s="63"/>
    </row>
    <row r="416" spans="2:10" ht="18" customHeight="1">
      <c r="D416" s="62"/>
      <c r="E416" s="62" t="s">
        <v>33</v>
      </c>
      <c r="F416" s="82"/>
      <c r="G416" s="61"/>
      <c r="H416" s="62"/>
      <c r="I416" s="62"/>
      <c r="J416" s="62"/>
    </row>
    <row r="417" spans="4:11" ht="18" customHeight="1">
      <c r="D417" s="62"/>
      <c r="E417" s="62" t="s">
        <v>70</v>
      </c>
      <c r="F417" s="82"/>
      <c r="H417" s="60"/>
      <c r="I417" s="60"/>
      <c r="J417" s="60"/>
    </row>
    <row r="418" spans="4:11" ht="18" customHeight="1">
      <c r="D418" s="62"/>
      <c r="E418" s="62" t="s">
        <v>1</v>
      </c>
      <c r="F418" s="82"/>
      <c r="H418" s="60"/>
      <c r="I418" s="60"/>
      <c r="J418" s="60"/>
    </row>
    <row r="419" spans="4:11" ht="18" customHeight="1">
      <c r="E419" s="64"/>
      <c r="F419" s="82"/>
      <c r="H419" s="60"/>
      <c r="I419" s="60"/>
      <c r="J419" s="60"/>
    </row>
    <row r="420" spans="4:11" ht="18" customHeight="1">
      <c r="H420" s="60"/>
      <c r="I420" s="60"/>
      <c r="J420" s="60"/>
    </row>
    <row r="421" spans="4:11" ht="18" customHeight="1"/>
    <row r="422" spans="4:11" ht="18" customHeight="1"/>
    <row r="423" spans="4:11" ht="18" customHeight="1">
      <c r="K423" s="62"/>
    </row>
    <row r="424" spans="4:11" ht="18" customHeight="1">
      <c r="K424" s="60"/>
    </row>
    <row r="425" spans="4:11" ht="18" customHeight="1">
      <c r="K425" s="60"/>
    </row>
    <row r="426" spans="4:11" ht="18" customHeight="1">
      <c r="K426" s="60"/>
    </row>
    <row r="427" spans="4:11" ht="18" customHeight="1">
      <c r="K427" s="60"/>
    </row>
    <row r="428" spans="4:11" ht="18" customHeight="1"/>
    <row r="429" spans="4:11" ht="18" customHeight="1"/>
    <row r="430" spans="4:11" ht="18" customHeight="1"/>
    <row r="431" spans="4:11" ht="18" customHeight="1"/>
    <row r="432" spans="4:11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31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spans="12:12" ht="18" customHeight="1"/>
    <row r="642" spans="12:12" ht="18" customHeight="1"/>
    <row r="643" spans="12:12" ht="18" customHeight="1"/>
    <row r="644" spans="12:12" ht="18" customHeight="1"/>
    <row r="645" spans="12:12" ht="18" customHeight="1"/>
    <row r="650" spans="12:12">
      <c r="L650" s="62"/>
    </row>
    <row r="651" spans="12:12">
      <c r="L651" s="60"/>
    </row>
    <row r="652" spans="12:12">
      <c r="L652" s="60"/>
    </row>
    <row r="653" spans="12:12">
      <c r="L653" s="60"/>
    </row>
    <row r="654" spans="12:12">
      <c r="L654" s="60"/>
    </row>
  </sheetData>
  <mergeCells count="78">
    <mergeCell ref="D205:D210"/>
    <mergeCell ref="D211:D216"/>
    <mergeCell ref="D217:D222"/>
    <mergeCell ref="D169:D174"/>
    <mergeCell ref="D175:D180"/>
    <mergeCell ref="D181:D186"/>
    <mergeCell ref="D187:D192"/>
    <mergeCell ref="D193:D198"/>
    <mergeCell ref="D31:D36"/>
    <mergeCell ref="D73:D78"/>
    <mergeCell ref="D85:D90"/>
    <mergeCell ref="D67:D72"/>
    <mergeCell ref="D79:D84"/>
    <mergeCell ref="B359:J359"/>
    <mergeCell ref="D352:D354"/>
    <mergeCell ref="D355:D357"/>
    <mergeCell ref="D327:D331"/>
    <mergeCell ref="D334:D336"/>
    <mergeCell ref="D337:D339"/>
    <mergeCell ref="D346:D348"/>
    <mergeCell ref="D349:D351"/>
    <mergeCell ref="D340:D342"/>
    <mergeCell ref="D343:D345"/>
    <mergeCell ref="D302:D306"/>
    <mergeCell ref="D307:D311"/>
    <mergeCell ref="D312:D316"/>
    <mergeCell ref="D317:D321"/>
    <mergeCell ref="D322:D326"/>
    <mergeCell ref="D282:D286"/>
    <mergeCell ref="D287:D291"/>
    <mergeCell ref="D292:D296"/>
    <mergeCell ref="D297:D301"/>
    <mergeCell ref="D225:D229"/>
    <mergeCell ref="D230:D234"/>
    <mergeCell ref="D245:D249"/>
    <mergeCell ref="D250:D254"/>
    <mergeCell ref="D275:D279"/>
    <mergeCell ref="D235:D239"/>
    <mergeCell ref="D240:D244"/>
    <mergeCell ref="D199:D204"/>
    <mergeCell ref="D133:D138"/>
    <mergeCell ref="D139:D144"/>
    <mergeCell ref="D145:D150"/>
    <mergeCell ref="D151:D156"/>
    <mergeCell ref="D157:D162"/>
    <mergeCell ref="D163:D168"/>
    <mergeCell ref="D103:D108"/>
    <mergeCell ref="D109:D114"/>
    <mergeCell ref="D121:D126"/>
    <mergeCell ref="D127:D132"/>
    <mergeCell ref="D115:D120"/>
    <mergeCell ref="D43:D48"/>
    <mergeCell ref="D97:D102"/>
    <mergeCell ref="D91:D96"/>
    <mergeCell ref="D49:D54"/>
    <mergeCell ref="D55:D60"/>
    <mergeCell ref="D61:D66"/>
    <mergeCell ref="F18:H18"/>
    <mergeCell ref="B28:J28"/>
    <mergeCell ref="B29:J29"/>
    <mergeCell ref="G412:H412"/>
    <mergeCell ref="F21:H21"/>
    <mergeCell ref="F22:H22"/>
    <mergeCell ref="F20:H20"/>
    <mergeCell ref="H23:J23"/>
    <mergeCell ref="B223:J223"/>
    <mergeCell ref="B332:J332"/>
    <mergeCell ref="D37:D42"/>
    <mergeCell ref="B280:J280"/>
    <mergeCell ref="D255:D259"/>
    <mergeCell ref="D260:D264"/>
    <mergeCell ref="D265:D269"/>
    <mergeCell ref="D270:D274"/>
    <mergeCell ref="F13:H13"/>
    <mergeCell ref="F14:H14"/>
    <mergeCell ref="F15:H15"/>
    <mergeCell ref="F16:H16"/>
    <mergeCell ref="F17:H17"/>
  </mergeCells>
  <phoneticPr fontId="19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DF20-3840-B446-8AC3-B4EA25F7075F}">
  <dimension ref="B1:J46"/>
  <sheetViews>
    <sheetView showGridLines="0" zoomScaleNormal="100" workbookViewId="0">
      <selection activeCell="B8" sqref="B8"/>
    </sheetView>
  </sheetViews>
  <sheetFormatPr baseColWidth="10" defaultRowHeight="16"/>
  <cols>
    <col min="1" max="1" width="4.33203125" customWidth="1"/>
    <col min="2" max="2" width="123.6640625" bestFit="1" customWidth="1"/>
    <col min="3" max="3" width="13.5" bestFit="1" customWidth="1"/>
  </cols>
  <sheetData>
    <row r="1" spans="2:10">
      <c r="B1" s="29" t="s">
        <v>74</v>
      </c>
      <c r="C1" s="30" t="s">
        <v>71</v>
      </c>
      <c r="D1" s="31" t="s">
        <v>72</v>
      </c>
    </row>
    <row r="2" spans="2:10">
      <c r="B2" s="66" t="s">
        <v>332</v>
      </c>
      <c r="C2" s="27" t="s">
        <v>88</v>
      </c>
      <c r="D2" s="28">
        <v>0.02</v>
      </c>
    </row>
    <row r="3" spans="2:10">
      <c r="B3" s="26" t="s">
        <v>80</v>
      </c>
      <c r="C3" s="23" t="s">
        <v>89</v>
      </c>
      <c r="D3" s="24">
        <v>0.03</v>
      </c>
    </row>
    <row r="4" spans="2:10">
      <c r="B4" s="26" t="s">
        <v>73</v>
      </c>
      <c r="C4" s="23" t="s">
        <v>90</v>
      </c>
      <c r="D4" s="24">
        <v>0.04</v>
      </c>
    </row>
    <row r="5" spans="2:10">
      <c r="B5" s="67" t="s">
        <v>339</v>
      </c>
      <c r="C5" s="65" t="s">
        <v>91</v>
      </c>
      <c r="D5" s="24">
        <v>0.05</v>
      </c>
    </row>
    <row r="6" spans="2:10">
      <c r="B6" s="203"/>
      <c r="C6" s="68" t="s">
        <v>333</v>
      </c>
      <c r="D6" s="69">
        <v>0.06</v>
      </c>
    </row>
    <row r="7" spans="2:10">
      <c r="B7" s="204"/>
      <c r="C7" s="70" t="s">
        <v>334</v>
      </c>
      <c r="D7" s="71">
        <v>7.0000000000000007E-2</v>
      </c>
    </row>
    <row r="9" spans="2:10" ht="19">
      <c r="B9" s="197" t="s">
        <v>40</v>
      </c>
      <c r="C9" s="198"/>
      <c r="D9" s="199"/>
    </row>
    <row r="10" spans="2:10" ht="19">
      <c r="B10" s="5" t="s">
        <v>41</v>
      </c>
      <c r="C10" s="6"/>
      <c r="D10" s="7"/>
    </row>
    <row r="11" spans="2:10" ht="19">
      <c r="B11" s="5" t="s">
        <v>42</v>
      </c>
      <c r="C11" s="6"/>
      <c r="D11" s="7"/>
      <c r="E11" s="4"/>
      <c r="F11" s="4"/>
      <c r="G11" s="4"/>
      <c r="H11" s="4"/>
      <c r="I11" s="4"/>
      <c r="J11" s="4"/>
    </row>
    <row r="12" spans="2:10" ht="19">
      <c r="B12" s="5" t="s">
        <v>43</v>
      </c>
      <c r="C12" s="6"/>
      <c r="D12" s="7"/>
      <c r="E12" s="4"/>
      <c r="F12" s="4"/>
      <c r="G12" s="4"/>
      <c r="H12" s="4"/>
      <c r="I12" s="4"/>
      <c r="J12" s="4"/>
    </row>
    <row r="13" spans="2:10" ht="19">
      <c r="B13" s="5" t="s">
        <v>44</v>
      </c>
      <c r="C13" s="6"/>
      <c r="D13" s="7"/>
      <c r="E13" s="4"/>
      <c r="F13" s="4"/>
      <c r="G13" s="4"/>
      <c r="H13" s="4"/>
      <c r="I13" s="4"/>
      <c r="J13" s="4"/>
    </row>
    <row r="14" spans="2:10" ht="19">
      <c r="B14" s="5" t="s">
        <v>45</v>
      </c>
      <c r="C14" s="6"/>
      <c r="D14" s="7"/>
      <c r="E14" s="4"/>
      <c r="F14" s="4"/>
      <c r="G14" s="4"/>
      <c r="H14" s="4"/>
      <c r="I14" s="4"/>
      <c r="J14" s="4"/>
    </row>
    <row r="15" spans="2:10" ht="19">
      <c r="B15" s="5" t="s">
        <v>46</v>
      </c>
      <c r="C15" s="6"/>
      <c r="D15" s="7"/>
      <c r="E15" s="4"/>
      <c r="F15" s="4"/>
      <c r="G15" s="4"/>
      <c r="H15" s="4"/>
      <c r="I15" s="4"/>
      <c r="J15" s="4"/>
    </row>
    <row r="16" spans="2:10" ht="19">
      <c r="B16" s="5" t="s">
        <v>47</v>
      </c>
      <c r="C16" s="6"/>
      <c r="D16" s="7"/>
      <c r="E16" s="4"/>
      <c r="F16" s="4"/>
      <c r="G16" s="4"/>
      <c r="H16" s="4"/>
      <c r="I16" s="4"/>
      <c r="J16" s="4"/>
    </row>
    <row r="17" spans="2:10" ht="19">
      <c r="B17" s="5" t="s">
        <v>48</v>
      </c>
      <c r="C17" s="6"/>
      <c r="D17" s="7"/>
      <c r="E17" s="4"/>
      <c r="F17" s="4"/>
      <c r="G17" s="4"/>
      <c r="H17" s="4"/>
      <c r="I17" s="4"/>
      <c r="J17" s="4"/>
    </row>
    <row r="18" spans="2:10" ht="19">
      <c r="B18" s="5" t="s">
        <v>49</v>
      </c>
      <c r="C18" s="6"/>
      <c r="D18" s="7"/>
      <c r="E18" s="4"/>
      <c r="F18" s="4"/>
      <c r="G18" s="4"/>
      <c r="H18" s="4"/>
      <c r="I18" s="4"/>
      <c r="J18" s="4"/>
    </row>
    <row r="19" spans="2:10" ht="19">
      <c r="B19" s="5" t="s">
        <v>50</v>
      </c>
      <c r="C19" s="6"/>
      <c r="D19" s="7"/>
      <c r="E19" s="4"/>
      <c r="F19" s="4"/>
      <c r="G19" s="4"/>
      <c r="H19" s="4"/>
      <c r="I19" s="4"/>
      <c r="J19" s="4"/>
    </row>
    <row r="20" spans="2:10" ht="19">
      <c r="B20" s="5" t="s">
        <v>51</v>
      </c>
      <c r="C20" s="6"/>
      <c r="D20" s="7"/>
      <c r="E20" s="4"/>
      <c r="F20" s="4"/>
      <c r="G20" s="4"/>
      <c r="H20" s="4"/>
      <c r="I20" s="4"/>
      <c r="J20" s="4"/>
    </row>
    <row r="21" spans="2:10" ht="19">
      <c r="B21" s="5" t="s">
        <v>335</v>
      </c>
      <c r="C21" s="6"/>
      <c r="D21" s="7"/>
      <c r="E21" s="4"/>
      <c r="F21" s="4"/>
      <c r="G21" s="4"/>
      <c r="H21" s="4"/>
      <c r="I21" s="4"/>
      <c r="J21" s="4"/>
    </row>
    <row r="22" spans="2:10" ht="19">
      <c r="B22" s="5" t="s">
        <v>52</v>
      </c>
      <c r="C22" s="6"/>
      <c r="D22" s="7"/>
      <c r="E22" s="4"/>
      <c r="F22" s="4"/>
      <c r="G22" s="4"/>
      <c r="H22" s="4"/>
      <c r="I22" s="4"/>
      <c r="J22" s="4"/>
    </row>
    <row r="23" spans="2:10" ht="19">
      <c r="B23" s="5" t="s">
        <v>53</v>
      </c>
      <c r="C23" s="6"/>
      <c r="D23" s="7"/>
      <c r="E23" s="4"/>
      <c r="F23" s="4"/>
      <c r="G23" s="4"/>
      <c r="H23" s="4"/>
      <c r="I23" s="4"/>
      <c r="J23" s="4"/>
    </row>
    <row r="24" spans="2:10" ht="19">
      <c r="B24" s="5" t="s">
        <v>54</v>
      </c>
      <c r="C24" s="6"/>
      <c r="D24" s="7"/>
      <c r="E24" s="4"/>
      <c r="F24" s="4"/>
      <c r="G24" s="4"/>
      <c r="H24" s="4"/>
      <c r="I24" s="4"/>
      <c r="J24" s="4"/>
    </row>
    <row r="25" spans="2:10" ht="19">
      <c r="B25" s="8" t="s">
        <v>55</v>
      </c>
      <c r="C25" s="9"/>
      <c r="D25" s="10"/>
      <c r="E25" s="4"/>
      <c r="F25" s="4"/>
      <c r="G25" s="4"/>
      <c r="H25" s="4"/>
      <c r="I25" s="4"/>
      <c r="J25" s="4"/>
    </row>
    <row r="26" spans="2:10" ht="19">
      <c r="B26" s="11"/>
      <c r="C26" s="12"/>
      <c r="D26" s="12"/>
      <c r="E26" s="4"/>
      <c r="F26" s="4"/>
      <c r="G26" s="4"/>
      <c r="H26" s="4"/>
      <c r="I26" s="4"/>
      <c r="J26" s="4"/>
    </row>
    <row r="27" spans="2:10" ht="19">
      <c r="B27" s="197" t="s">
        <v>56</v>
      </c>
      <c r="C27" s="198"/>
      <c r="D27" s="199"/>
      <c r="E27" s="4"/>
      <c r="F27" s="4"/>
      <c r="G27" s="4"/>
      <c r="H27" s="4"/>
      <c r="I27" s="4"/>
      <c r="J27" s="4"/>
    </row>
    <row r="28" spans="2:10" ht="19">
      <c r="B28" s="13" t="s">
        <v>57</v>
      </c>
      <c r="C28" s="12"/>
      <c r="D28" s="14"/>
      <c r="E28" s="4"/>
      <c r="F28" s="4"/>
      <c r="G28" s="4"/>
      <c r="H28" s="4"/>
      <c r="I28" s="4"/>
      <c r="J28" s="4"/>
    </row>
    <row r="29" spans="2:10" ht="19">
      <c r="B29" s="13" t="s">
        <v>336</v>
      </c>
      <c r="C29" s="12"/>
      <c r="D29" s="14"/>
      <c r="E29" s="4"/>
      <c r="F29" s="4"/>
      <c r="G29" s="4"/>
      <c r="H29" s="4"/>
      <c r="I29" s="4"/>
      <c r="J29" s="4"/>
    </row>
    <row r="30" spans="2:10" ht="19">
      <c r="B30" s="13" t="s">
        <v>337</v>
      </c>
      <c r="C30" s="12"/>
      <c r="D30" s="14"/>
      <c r="E30" s="4"/>
      <c r="F30" s="4"/>
      <c r="G30" s="4"/>
      <c r="H30" s="4"/>
      <c r="I30" s="4"/>
      <c r="J30" s="4"/>
    </row>
    <row r="31" spans="2:10" ht="19">
      <c r="B31" s="5" t="s">
        <v>58</v>
      </c>
      <c r="C31" s="6"/>
      <c r="D31" s="7"/>
      <c r="E31" s="4"/>
      <c r="F31" s="4"/>
      <c r="G31" s="4"/>
      <c r="H31" s="4"/>
      <c r="I31" s="4"/>
      <c r="J31" s="4"/>
    </row>
    <row r="32" spans="2:10" ht="19">
      <c r="B32" s="13" t="s">
        <v>59</v>
      </c>
      <c r="C32" s="12"/>
      <c r="D32" s="14"/>
      <c r="E32" s="4"/>
      <c r="F32" s="4"/>
      <c r="G32" s="4"/>
      <c r="H32" s="4"/>
      <c r="I32" s="4"/>
      <c r="J32" s="4"/>
    </row>
    <row r="33" spans="2:10" ht="19">
      <c r="B33" s="15" t="s">
        <v>60</v>
      </c>
      <c r="C33" s="16"/>
      <c r="D33" s="17"/>
      <c r="E33" s="4"/>
      <c r="F33" s="4"/>
      <c r="G33" s="4"/>
      <c r="H33" s="4"/>
      <c r="I33" s="4"/>
      <c r="J33" s="4"/>
    </row>
    <row r="34" spans="2:10" ht="19">
      <c r="B34" s="11"/>
      <c r="C34" s="12"/>
      <c r="D34" s="12"/>
      <c r="E34" s="4"/>
      <c r="F34" s="4"/>
      <c r="G34" s="4"/>
      <c r="H34" s="4"/>
      <c r="I34" s="4"/>
      <c r="J34" s="4"/>
    </row>
    <row r="35" spans="2:10" ht="19">
      <c r="B35" s="197" t="s">
        <v>61</v>
      </c>
      <c r="C35" s="198"/>
      <c r="D35" s="199"/>
      <c r="E35" s="4"/>
      <c r="F35" s="4"/>
      <c r="G35" s="4"/>
      <c r="H35" s="4"/>
      <c r="I35" s="4"/>
      <c r="J35" s="4"/>
    </row>
    <row r="36" spans="2:10" ht="19">
      <c r="B36" s="13" t="s">
        <v>62</v>
      </c>
      <c r="C36" s="12"/>
      <c r="D36" s="14"/>
      <c r="E36" s="4"/>
      <c r="F36" s="4"/>
      <c r="G36" s="4"/>
      <c r="H36" s="4"/>
      <c r="I36" s="4"/>
      <c r="J36" s="4"/>
    </row>
    <row r="37" spans="2:10" ht="19">
      <c r="B37" s="13" t="s">
        <v>338</v>
      </c>
      <c r="C37" s="12"/>
      <c r="D37" s="14"/>
      <c r="E37" s="4"/>
      <c r="F37" s="4"/>
      <c r="G37" s="4"/>
      <c r="H37" s="4"/>
      <c r="I37" s="4"/>
      <c r="J37" s="4"/>
    </row>
    <row r="38" spans="2:10" ht="19">
      <c r="B38" s="13" t="s">
        <v>63</v>
      </c>
      <c r="C38" s="12"/>
      <c r="D38" s="14"/>
      <c r="E38" s="4"/>
      <c r="F38" s="4"/>
      <c r="G38" s="4"/>
      <c r="H38" s="4"/>
      <c r="I38" s="4"/>
      <c r="J38" s="4"/>
    </row>
    <row r="39" spans="2:10" ht="19">
      <c r="B39" s="13" t="s">
        <v>64</v>
      </c>
      <c r="C39" s="12"/>
      <c r="D39" s="14"/>
      <c r="E39" s="4"/>
      <c r="F39" s="4"/>
      <c r="G39" s="4"/>
      <c r="H39" s="4"/>
      <c r="I39" s="4"/>
      <c r="J39" s="4"/>
    </row>
    <row r="40" spans="2:10" ht="19">
      <c r="B40" s="15" t="s">
        <v>65</v>
      </c>
      <c r="C40" s="16"/>
      <c r="D40" s="17"/>
      <c r="E40" s="4"/>
      <c r="F40" s="4"/>
      <c r="G40" s="4"/>
      <c r="H40" s="4"/>
      <c r="I40" s="4"/>
      <c r="J40" s="4"/>
    </row>
    <row r="41" spans="2:10" ht="20" thickBot="1">
      <c r="B41" s="18"/>
      <c r="C41" s="16"/>
      <c r="D41" s="16"/>
      <c r="E41" s="4"/>
      <c r="F41" s="4"/>
      <c r="G41" s="4"/>
      <c r="H41" s="4"/>
      <c r="I41" s="4"/>
      <c r="J41" s="4"/>
    </row>
    <row r="42" spans="2:10" ht="19">
      <c r="B42" s="200" t="s">
        <v>66</v>
      </c>
      <c r="C42" s="201"/>
      <c r="D42" s="202"/>
      <c r="E42" s="4"/>
      <c r="F42" s="4"/>
      <c r="G42" s="4"/>
      <c r="H42" s="4"/>
      <c r="I42" s="4"/>
      <c r="J42" s="4"/>
    </row>
    <row r="43" spans="2:10" ht="19">
      <c r="B43" s="15" t="s">
        <v>67</v>
      </c>
      <c r="C43" s="16"/>
      <c r="D43" s="17"/>
      <c r="E43" s="4"/>
      <c r="F43" s="4"/>
      <c r="G43" s="4"/>
      <c r="H43" s="4"/>
      <c r="I43" s="4"/>
      <c r="J43" s="4"/>
    </row>
    <row r="44" spans="2:10" ht="19">
      <c r="B44" s="19" t="s">
        <v>68</v>
      </c>
      <c r="C44" s="20"/>
      <c r="D44" s="20"/>
      <c r="E44" s="4"/>
      <c r="F44" s="4"/>
      <c r="G44" s="4"/>
      <c r="H44" s="4"/>
      <c r="I44" s="4"/>
      <c r="J44" s="4"/>
    </row>
    <row r="45" spans="2:10" ht="19">
      <c r="E45" s="4"/>
      <c r="F45" s="4"/>
      <c r="G45" s="4"/>
      <c r="H45" s="4"/>
      <c r="I45" s="4"/>
      <c r="J45" s="4"/>
    </row>
    <row r="46" spans="2:10" ht="19">
      <c r="E46" s="4"/>
      <c r="F46" s="4"/>
      <c r="G46" s="4"/>
      <c r="H46" s="4"/>
      <c r="I46" s="4"/>
      <c r="J46" s="4"/>
    </row>
  </sheetData>
  <mergeCells count="5">
    <mergeCell ref="B9:D9"/>
    <mergeCell ref="B27:D27"/>
    <mergeCell ref="B35:D35"/>
    <mergeCell ref="B42:D42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Alband</dc:creator>
  <cp:lastModifiedBy>Jeffrey Richards</cp:lastModifiedBy>
  <dcterms:created xsi:type="dcterms:W3CDTF">2020-09-18T18:37:43Z</dcterms:created>
  <dcterms:modified xsi:type="dcterms:W3CDTF">2025-12-10T17:57:18Z</dcterms:modified>
</cp:coreProperties>
</file>
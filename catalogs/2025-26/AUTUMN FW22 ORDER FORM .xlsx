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j/Documents/SBJ Orders/W23/Autum/"/>
    </mc:Choice>
  </mc:AlternateContent>
  <xr:revisionPtr revIDLastSave="0" documentId="13_ncr:1_{5C7D944A-9E06-E648-B33F-52A790BA8D75}" xr6:coauthVersionLast="47" xr6:coauthVersionMax="47" xr10:uidLastSave="{00000000-0000-0000-0000-000000000000}"/>
  <bookViews>
    <workbookView xWindow="16460" yWindow="2380" windowWidth="28340" windowHeight="19700" xr2:uid="{B9C78ABF-E102-8E41-8C54-3724086686C2}"/>
  </bookViews>
  <sheets>
    <sheet name="Order Form" sheetId="1" r:id="rId1"/>
    <sheet name="Policy" sheetId="2" r:id="rId2"/>
  </sheets>
  <definedNames>
    <definedName name="_xlnm.Print_Area" localSheetId="0">'Order Form'!$K$209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7" i="1" l="1"/>
  <c r="G352" i="1"/>
  <c r="G215" i="1"/>
  <c r="G23" i="1" l="1"/>
  <c r="G351" i="1" s="1"/>
  <c r="H212" i="1"/>
  <c r="H213" i="1"/>
  <c r="H196" i="1"/>
  <c r="H197" i="1"/>
  <c r="H188" i="1"/>
  <c r="H189" i="1"/>
  <c r="H184" i="1"/>
  <c r="H185" i="1"/>
  <c r="H180" i="1"/>
  <c r="H181" i="1"/>
  <c r="H182" i="1"/>
  <c r="H175" i="1"/>
  <c r="H172" i="1"/>
  <c r="H168" i="1"/>
  <c r="H161" i="1"/>
  <c r="H155" i="1"/>
  <c r="H149" i="1"/>
  <c r="H143" i="1"/>
  <c r="H137" i="1"/>
  <c r="H138" i="1"/>
  <c r="H139" i="1"/>
  <c r="H132" i="1"/>
  <c r="H133" i="1"/>
  <c r="H126" i="1"/>
  <c r="H127" i="1"/>
  <c r="H117" i="1"/>
  <c r="H118" i="1"/>
  <c r="H119" i="1"/>
  <c r="H120" i="1"/>
  <c r="H99" i="1"/>
  <c r="H100" i="1"/>
  <c r="H101" i="1"/>
  <c r="H102" i="1"/>
  <c r="H103" i="1"/>
  <c r="H95" i="1"/>
  <c r="H96" i="1"/>
  <c r="H97" i="1"/>
  <c r="H88" i="1"/>
  <c r="H89" i="1"/>
  <c r="H76" i="1"/>
  <c r="H77" i="1"/>
  <c r="H78" i="1"/>
  <c r="H79" i="1"/>
  <c r="H80" i="1"/>
  <c r="H81" i="1"/>
  <c r="H82" i="1"/>
  <c r="H83" i="1"/>
  <c r="H84" i="1"/>
  <c r="H57" i="1"/>
  <c r="H58" i="1"/>
  <c r="H59" i="1"/>
  <c r="H52" i="1"/>
  <c r="H53" i="1"/>
  <c r="H54" i="1"/>
  <c r="H55" i="1"/>
  <c r="H48" i="1"/>
  <c r="H49" i="1"/>
  <c r="H50" i="1"/>
  <c r="H51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32" i="1"/>
  <c r="H231" i="1"/>
  <c r="H230" i="1"/>
  <c r="H229" i="1"/>
  <c r="H228" i="1"/>
  <c r="H214" i="1"/>
  <c r="H211" i="1"/>
  <c r="H210" i="1"/>
  <c r="H190" i="1"/>
  <c r="H187" i="1"/>
  <c r="H186" i="1"/>
  <c r="H183" i="1"/>
  <c r="H179" i="1"/>
  <c r="H176" i="1"/>
  <c r="H174" i="1"/>
  <c r="H173" i="1"/>
  <c r="H162" i="1"/>
  <c r="H160" i="1"/>
  <c r="H159" i="1"/>
  <c r="H158" i="1"/>
  <c r="H156" i="1"/>
  <c r="H154" i="1"/>
  <c r="H153" i="1"/>
  <c r="H152" i="1"/>
  <c r="H151" i="1"/>
  <c r="H150" i="1"/>
  <c r="H148" i="1"/>
  <c r="H147" i="1"/>
  <c r="H146" i="1"/>
  <c r="H145" i="1"/>
  <c r="H144" i="1"/>
  <c r="H142" i="1"/>
  <c r="H141" i="1"/>
  <c r="H140" i="1"/>
  <c r="H136" i="1"/>
  <c r="H45" i="1"/>
  <c r="H33" i="1"/>
  <c r="H34" i="1"/>
  <c r="H35" i="1"/>
  <c r="H36" i="1"/>
  <c r="H37" i="1"/>
  <c r="H38" i="1"/>
  <c r="H207" i="1"/>
  <c r="H170" i="1"/>
  <c r="H345" i="1" l="1"/>
  <c r="H347" i="1"/>
  <c r="H346" i="1"/>
  <c r="H348" i="1"/>
  <c r="H342" i="1"/>
  <c r="H341" i="1"/>
  <c r="H340" i="1"/>
  <c r="H343" i="1"/>
  <c r="H336" i="1"/>
  <c r="H337" i="1"/>
  <c r="H335" i="1"/>
  <c r="H338" i="1"/>
  <c r="H333" i="1"/>
  <c r="H331" i="1"/>
  <c r="H330" i="1"/>
  <c r="H332" i="1"/>
  <c r="H327" i="1"/>
  <c r="H326" i="1"/>
  <c r="H325" i="1"/>
  <c r="H328" i="1"/>
  <c r="H323" i="1"/>
  <c r="H321" i="1"/>
  <c r="H320" i="1"/>
  <c r="H322" i="1"/>
  <c r="H318" i="1"/>
  <c r="H316" i="1"/>
  <c r="H315" i="1"/>
  <c r="H317" i="1"/>
  <c r="H312" i="1"/>
  <c r="H311" i="1"/>
  <c r="H310" i="1"/>
  <c r="H313" i="1"/>
  <c r="H305" i="1"/>
  <c r="H307" i="1"/>
  <c r="H306" i="1"/>
  <c r="H308" i="1"/>
  <c r="H303" i="1"/>
  <c r="H301" i="1"/>
  <c r="H300" i="1"/>
  <c r="H302" i="1"/>
  <c r="H224" i="1"/>
  <c r="H226" i="1"/>
  <c r="H233" i="1"/>
  <c r="H234" i="1"/>
  <c r="H235" i="1"/>
  <c r="H241" i="1"/>
  <c r="H243" i="1"/>
  <c r="H244" i="1"/>
  <c r="H245" i="1"/>
  <c r="H246" i="1"/>
  <c r="H255" i="1"/>
  <c r="H258" i="1"/>
  <c r="H259" i="1"/>
  <c r="H260" i="1"/>
  <c r="H264" i="1"/>
  <c r="H265" i="1"/>
  <c r="H266" i="1"/>
  <c r="H268" i="1"/>
  <c r="H269" i="1"/>
  <c r="H270" i="1"/>
  <c r="H271" i="1"/>
  <c r="H290" i="1"/>
  <c r="H296" i="1"/>
  <c r="H293" i="1"/>
  <c r="H295" i="1"/>
  <c r="H294" i="1"/>
  <c r="H289" i="1"/>
  <c r="H288" i="1"/>
  <c r="H291" i="1"/>
  <c r="H263" i="1"/>
  <c r="H261" i="1"/>
  <c r="H254" i="1"/>
  <c r="H253" i="1"/>
  <c r="H256" i="1"/>
  <c r="H251" i="1"/>
  <c r="H249" i="1"/>
  <c r="H248" i="1"/>
  <c r="H250" i="1"/>
  <c r="H238" i="1"/>
  <c r="H240" i="1"/>
  <c r="H239" i="1"/>
  <c r="H236" i="1"/>
  <c r="H223" i="1"/>
  <c r="H225" i="1"/>
  <c r="H221" i="1"/>
  <c r="H222" i="1"/>
  <c r="H220" i="1"/>
  <c r="H219" i="1"/>
  <c r="H334" i="1" l="1"/>
  <c r="H329" i="1"/>
  <c r="H324" i="1"/>
  <c r="H319" i="1"/>
  <c r="H209" i="1"/>
  <c r="H208" i="1"/>
  <c r="H206" i="1"/>
  <c r="H205" i="1"/>
  <c r="H204" i="1"/>
  <c r="H203" i="1"/>
  <c r="H202" i="1"/>
  <c r="H201" i="1"/>
  <c r="H200" i="1"/>
  <c r="H199" i="1"/>
  <c r="H198" i="1"/>
  <c r="H195" i="1"/>
  <c r="H194" i="1"/>
  <c r="H193" i="1"/>
  <c r="H169" i="1"/>
  <c r="H167" i="1"/>
  <c r="H166" i="1"/>
  <c r="H165" i="1"/>
  <c r="H123" i="1"/>
  <c r="H122" i="1"/>
  <c r="H121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24" i="1"/>
  <c r="H42" i="1"/>
  <c r="H39" i="1"/>
  <c r="H349" i="1"/>
  <c r="H344" i="1"/>
  <c r="H339" i="1"/>
  <c r="H314" i="1"/>
  <c r="H309" i="1"/>
  <c r="H304" i="1"/>
  <c r="H297" i="1"/>
  <c r="H292" i="1"/>
  <c r="H272" i="1"/>
  <c r="H267" i="1"/>
  <c r="H262" i="1"/>
  <c r="H257" i="1"/>
  <c r="H252" i="1"/>
  <c r="H247" i="1"/>
  <c r="H242" i="1"/>
  <c r="H237" i="1"/>
  <c r="H227" i="1"/>
  <c r="H218" i="1"/>
  <c r="H171" i="1"/>
  <c r="H134" i="1"/>
  <c r="H131" i="1"/>
  <c r="H130" i="1"/>
  <c r="H129" i="1"/>
  <c r="H128" i="1"/>
  <c r="H125" i="1"/>
  <c r="H104" i="1"/>
  <c r="H98" i="1"/>
  <c r="H94" i="1"/>
  <c r="H93" i="1"/>
  <c r="H92" i="1"/>
  <c r="H91" i="1"/>
  <c r="H90" i="1"/>
  <c r="H87" i="1"/>
  <c r="H86" i="1"/>
  <c r="H85" i="1"/>
  <c r="H75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6" i="1"/>
  <c r="H47" i="1"/>
  <c r="H46" i="1"/>
  <c r="H44" i="1"/>
  <c r="H43" i="1"/>
  <c r="H41" i="1"/>
  <c r="H40" i="1"/>
  <c r="H32" i="1"/>
  <c r="H31" i="1"/>
  <c r="H30" i="1"/>
  <c r="H29" i="1"/>
  <c r="C22" i="1" l="1"/>
  <c r="H28" i="1"/>
  <c r="H352" i="1" s="1"/>
  <c r="H215" i="1" l="1"/>
</calcChain>
</file>

<file path=xl/sharedStrings.xml><?xml version="1.0" encoding="utf-8"?>
<sst xmlns="http://schemas.openxmlformats.org/spreadsheetml/2006/main" count="1110" uniqueCount="530">
  <si>
    <t>FOUNDRY DISTRIBUTION</t>
  </si>
  <si>
    <t>801-994-6484</t>
  </si>
  <si>
    <t>Store Name</t>
  </si>
  <si>
    <t>Address</t>
  </si>
  <si>
    <t>City</t>
  </si>
  <si>
    <t>State</t>
  </si>
  <si>
    <t>Zip</t>
  </si>
  <si>
    <t>Tel #</t>
  </si>
  <si>
    <t>Email</t>
  </si>
  <si>
    <t>Total QTY</t>
  </si>
  <si>
    <t>Total Value</t>
  </si>
  <si>
    <t>Customer PO #</t>
  </si>
  <si>
    <t>Delivery Start</t>
  </si>
  <si>
    <t>STYLE NUMBER</t>
  </si>
  <si>
    <t>STYLE NAME</t>
  </si>
  <si>
    <t>COLOR</t>
  </si>
  <si>
    <t>WHOLESALE</t>
  </si>
  <si>
    <t>OS</t>
  </si>
  <si>
    <t>XXL</t>
  </si>
  <si>
    <t>TOTAL $</t>
  </si>
  <si>
    <t>SIMPLE BEANIE</t>
  </si>
  <si>
    <t>BLACK</t>
  </si>
  <si>
    <t>HEATHER GREY</t>
  </si>
  <si>
    <t>BURGUNDY</t>
  </si>
  <si>
    <t>BLACK MARL</t>
  </si>
  <si>
    <t>NAVY</t>
  </si>
  <si>
    <t>SANDSTONE</t>
  </si>
  <si>
    <t>SELECT BEANIE</t>
  </si>
  <si>
    <t>DENIM HEATHER</t>
  </si>
  <si>
    <t>TEAL</t>
  </si>
  <si>
    <t>PURPLE</t>
  </si>
  <si>
    <t>KHAKI</t>
  </si>
  <si>
    <t>GREY</t>
  </si>
  <si>
    <t>MASK BEANIE</t>
  </si>
  <si>
    <t>MARL BALACLAVA</t>
  </si>
  <si>
    <t>RED</t>
  </si>
  <si>
    <t>TIE DYE</t>
  </si>
  <si>
    <t>HI TEK HOOD</t>
  </si>
  <si>
    <t>PRINTABLES</t>
  </si>
  <si>
    <t>WHITE</t>
  </si>
  <si>
    <t>OATMEAL</t>
  </si>
  <si>
    <t>CHARCOAL</t>
  </si>
  <si>
    <t>NATURAL</t>
  </si>
  <si>
    <t>RUST</t>
  </si>
  <si>
    <t>BROWN</t>
  </si>
  <si>
    <t>WORK BROWN</t>
  </si>
  <si>
    <t>HIGHLIGHTER</t>
  </si>
  <si>
    <t>BLUE</t>
  </si>
  <si>
    <t>WORK GREEN</t>
  </si>
  <si>
    <t>ORANGE</t>
  </si>
  <si>
    <t>ARMY</t>
  </si>
  <si>
    <t>GREEN</t>
  </si>
  <si>
    <t>BROWN MARL</t>
  </si>
  <si>
    <t>SUSTAINABLE BEANIES</t>
  </si>
  <si>
    <t>MTN GOAT BEANIE</t>
  </si>
  <si>
    <t>LAVENDER</t>
  </si>
  <si>
    <t>SOLSTICE FULL ZIP</t>
  </si>
  <si>
    <t>PATCHWORK</t>
  </si>
  <si>
    <t>CAMO</t>
  </si>
  <si>
    <t>SAND</t>
  </si>
  <si>
    <t>AUTUMN HEADWEAR</t>
  </si>
  <si>
    <t>Notes:</t>
  </si>
  <si>
    <t xml:space="preserve">QUANTITY </t>
  </si>
  <si>
    <t>SIZE</t>
  </si>
  <si>
    <t>SMALL</t>
  </si>
  <si>
    <t>MEDIUM</t>
  </si>
  <si>
    <t>LARGE</t>
  </si>
  <si>
    <t>X-LARGE</t>
  </si>
  <si>
    <t xml:space="preserve">SIZE </t>
  </si>
  <si>
    <t>TECH HEADWEAR</t>
  </si>
  <si>
    <t>HEADWEAR TOTAL UNITS &amp; VALUE:</t>
  </si>
  <si>
    <t>3602 VIA TERRA ST.</t>
  </si>
  <si>
    <t>SALT LAKE CITY, UT  84115</t>
  </si>
  <si>
    <t>SKU</t>
  </si>
  <si>
    <t>QUANTITY</t>
  </si>
  <si>
    <t>Order Total:</t>
  </si>
  <si>
    <t>Order Deadline</t>
  </si>
  <si>
    <t>FALL/WINTER 22/23</t>
  </si>
  <si>
    <t xml:space="preserve"> ORDERFORM</t>
  </si>
  <si>
    <t>A23001-07</t>
  </si>
  <si>
    <t>A23001-01</t>
  </si>
  <si>
    <t>A23001-12</t>
  </si>
  <si>
    <t>A23001-08</t>
  </si>
  <si>
    <t>A23001-10</t>
  </si>
  <si>
    <t>A23001-05</t>
  </si>
  <si>
    <t>A23001-09</t>
  </si>
  <si>
    <t>A23001-03</t>
  </si>
  <si>
    <t>A23001-11</t>
  </si>
  <si>
    <t>A23001-02</t>
  </si>
  <si>
    <t>A23001-06</t>
  </si>
  <si>
    <t>A23001-04</t>
  </si>
  <si>
    <t>ARMY GREEN</t>
  </si>
  <si>
    <t>PINK MARL</t>
  </si>
  <si>
    <t>A23009-03</t>
  </si>
  <si>
    <t>A23009-01</t>
  </si>
  <si>
    <t>A23009-02</t>
  </si>
  <si>
    <t>A23005-04</t>
  </si>
  <si>
    <t>A23005-01</t>
  </si>
  <si>
    <t>A23005-02</t>
  </si>
  <si>
    <t>A23005-03</t>
  </si>
  <si>
    <t>VINTAGE</t>
  </si>
  <si>
    <t>A23003-01</t>
  </si>
  <si>
    <t>A23003-03</t>
  </si>
  <si>
    <t>A23003-02</t>
  </si>
  <si>
    <t>A23003-04</t>
  </si>
  <si>
    <t>LIGHT GREY</t>
  </si>
  <si>
    <t>A23004-04</t>
  </si>
  <si>
    <t>A23004-01</t>
  </si>
  <si>
    <t>A23004-05</t>
  </si>
  <si>
    <t>A23004-03</t>
  </si>
  <si>
    <t>A23004-02</t>
  </si>
  <si>
    <t>HARVEST</t>
  </si>
  <si>
    <t>SLATE BLUE</t>
  </si>
  <si>
    <t>GRADIENT</t>
  </si>
  <si>
    <t>CUFF</t>
  </si>
  <si>
    <t>BIRDSEYE</t>
  </si>
  <si>
    <t>SLACKER</t>
  </si>
  <si>
    <t>A23006-01</t>
  </si>
  <si>
    <t>A23006-02</t>
  </si>
  <si>
    <t>A23006-03</t>
  </si>
  <si>
    <t>A23006-04</t>
  </si>
  <si>
    <t>RUGBY</t>
  </si>
  <si>
    <t>A23002-02</t>
  </si>
  <si>
    <t>A23002-01</t>
  </si>
  <si>
    <t>A23002-03</t>
  </si>
  <si>
    <t>DARK GREEN</t>
  </si>
  <si>
    <t>DARK GREY</t>
  </si>
  <si>
    <t>A23010-03</t>
  </si>
  <si>
    <t>A23010-02</t>
  </si>
  <si>
    <t>A23010-01</t>
  </si>
  <si>
    <t>RETRO</t>
  </si>
  <si>
    <t>MAUVE</t>
  </si>
  <si>
    <t>CHUNKY</t>
  </si>
  <si>
    <t>A23008-01</t>
  </si>
  <si>
    <t>A23008-02</t>
  </si>
  <si>
    <t>A23008-03</t>
  </si>
  <si>
    <t>LIGHT BLUE</t>
  </si>
  <si>
    <t>DUAL TONE</t>
  </si>
  <si>
    <t xml:space="preserve"> A23007-03</t>
  </si>
  <si>
    <t xml:space="preserve"> A23007-01</t>
  </si>
  <si>
    <t xml:space="preserve"> A23007-04</t>
  </si>
  <si>
    <t xml:space="preserve"> A23007-05</t>
  </si>
  <si>
    <t xml:space="preserve"> A23007-02</t>
  </si>
  <si>
    <t>DUSTY PINK</t>
  </si>
  <si>
    <t>A23011-01</t>
  </si>
  <si>
    <t>A23011-05</t>
  </si>
  <si>
    <t>A23011-06</t>
  </si>
  <si>
    <t>A23011-04</t>
  </si>
  <si>
    <t>A23011-10</t>
  </si>
  <si>
    <t>A23011-08</t>
  </si>
  <si>
    <t>A23011-12</t>
  </si>
  <si>
    <t>A23011-03</t>
  </si>
  <si>
    <t>A23011-07</t>
  </si>
  <si>
    <t>A23011-09</t>
  </si>
  <si>
    <t>A23011-11</t>
  </si>
  <si>
    <t>A23011-02</t>
  </si>
  <si>
    <t>CAPPUCCINO</t>
  </si>
  <si>
    <t>DUSTY BLUE</t>
  </si>
  <si>
    <t>BLOCKED</t>
  </si>
  <si>
    <t>A23012-02</t>
  </si>
  <si>
    <t>A23012-03</t>
  </si>
  <si>
    <t>A23012-04</t>
  </si>
  <si>
    <t>A23012-01</t>
  </si>
  <si>
    <t>NAVY </t>
  </si>
  <si>
    <t>WAFFLE</t>
  </si>
  <si>
    <t>A23013-03</t>
  </si>
  <si>
    <t>A23013-01</t>
  </si>
  <si>
    <t>A23013-02</t>
  </si>
  <si>
    <t>A23021-02</t>
  </si>
  <si>
    <t>A23021-01</t>
  </si>
  <si>
    <t>A23021-03</t>
  </si>
  <si>
    <t>A23021-04</t>
  </si>
  <si>
    <t>MINI STRIPE</t>
  </si>
  <si>
    <t>SLATE</t>
  </si>
  <si>
    <t>STRIPE</t>
  </si>
  <si>
    <t>A23016-06</t>
  </si>
  <si>
    <t>A23016-02</t>
  </si>
  <si>
    <t>A23016-03</t>
  </si>
  <si>
    <t>A23016-01</t>
  </si>
  <si>
    <t>A23016-04</t>
  </si>
  <si>
    <t>A23016-05</t>
  </si>
  <si>
    <t>BLACK/WHITE</t>
  </si>
  <si>
    <t>BURGUNDY/BLUE</t>
  </si>
  <si>
    <t>BROWN/HIGHLIGHTER</t>
  </si>
  <si>
    <t>NAVY/GREEN</t>
  </si>
  <si>
    <t>KHAKI/PURPLE</t>
  </si>
  <si>
    <t>GREY/TEAL</t>
  </si>
  <si>
    <t>CORD</t>
  </si>
  <si>
    <t>A23015-01</t>
  </si>
  <si>
    <t>A23015-04</t>
  </si>
  <si>
    <t>A23015-05</t>
  </si>
  <si>
    <t>A23015-03</t>
  </si>
  <si>
    <t>A23015-02</t>
  </si>
  <si>
    <t>MINT</t>
  </si>
  <si>
    <t>A23023-03</t>
  </si>
  <si>
    <t>A23023-02</t>
  </si>
  <si>
    <t>A23023-01</t>
  </si>
  <si>
    <t>GRAY</t>
  </si>
  <si>
    <t xml:space="preserve">SPECKLED </t>
  </si>
  <si>
    <t>A23014-01</t>
  </si>
  <si>
    <t>A23014-03</t>
  </si>
  <si>
    <t>A23014-04</t>
  </si>
  <si>
    <t>A23014-02</t>
  </si>
  <si>
    <t>TOBACCO</t>
  </si>
  <si>
    <t>MULTI STRIPE</t>
  </si>
  <si>
    <t>A23020-01</t>
  </si>
  <si>
    <t>A23020-04</t>
  </si>
  <si>
    <t>A23020-05</t>
  </si>
  <si>
    <t>A23020-06</t>
  </si>
  <si>
    <t>A23020-02</t>
  </si>
  <si>
    <t>A23020-03</t>
  </si>
  <si>
    <t>CHEVRON</t>
  </si>
  <si>
    <t>A23019-02</t>
  </si>
  <si>
    <t>A23019-03</t>
  </si>
  <si>
    <t>A23019-01</t>
  </si>
  <si>
    <t>ROOTS</t>
  </si>
  <si>
    <t>A23017-03</t>
  </si>
  <si>
    <t>A23017-01</t>
  </si>
  <si>
    <t>A23017-02</t>
  </si>
  <si>
    <t>A23018-01</t>
  </si>
  <si>
    <t>A23018-03</t>
  </si>
  <si>
    <t>A23018-02</t>
  </si>
  <si>
    <t>MILLY</t>
  </si>
  <si>
    <t>SPRAY</t>
  </si>
  <si>
    <t>A23022-03</t>
  </si>
  <si>
    <t>A23022-01</t>
  </si>
  <si>
    <t>A23022-04</t>
  </si>
  <si>
    <t>A23022-02</t>
  </si>
  <si>
    <t>RIVER ROCK</t>
  </si>
  <si>
    <t>LIMEADE</t>
  </si>
  <si>
    <t>SHERBET</t>
  </si>
  <si>
    <t>SUNSET</t>
  </si>
  <si>
    <t>SURPLUS</t>
  </si>
  <si>
    <t>A23024-06</t>
  </si>
  <si>
    <t>A23024-04</t>
  </si>
  <si>
    <t>A23024-03</t>
  </si>
  <si>
    <t>A23024-02</t>
  </si>
  <si>
    <t>A23024-01</t>
  </si>
  <si>
    <t>A23024-05</t>
  </si>
  <si>
    <t>MAGENTA</t>
  </si>
  <si>
    <t>BOLD STRIPE</t>
  </si>
  <si>
    <t>HALFTIME</t>
  </si>
  <si>
    <t>WONDERLAND</t>
  </si>
  <si>
    <t>BLANKET</t>
  </si>
  <si>
    <t>BRADFORD</t>
  </si>
  <si>
    <t>A23027-03</t>
  </si>
  <si>
    <t>A23027-02</t>
  </si>
  <si>
    <t>A23027-01</t>
  </si>
  <si>
    <t>A23025-01</t>
  </si>
  <si>
    <t>A23025-02</t>
  </si>
  <si>
    <t>A23025-03</t>
  </si>
  <si>
    <t>A23026-03</t>
  </si>
  <si>
    <t>A23026-02</t>
  </si>
  <si>
    <t>A23026-01</t>
  </si>
  <si>
    <t>A23028-01</t>
  </si>
  <si>
    <t>A23028-03</t>
  </si>
  <si>
    <t>A23028-02</t>
  </si>
  <si>
    <t>A23029-01</t>
  </si>
  <si>
    <t>A23029-02</t>
  </si>
  <si>
    <t>A23029-03</t>
  </si>
  <si>
    <t>A23030-03</t>
  </si>
  <si>
    <t>A23030-01</t>
  </si>
  <si>
    <t>A23030-02</t>
  </si>
  <si>
    <t>A23031-01</t>
  </si>
  <si>
    <t>A23031-03</t>
  </si>
  <si>
    <t>A23031-02</t>
  </si>
  <si>
    <t>SIMPLE R</t>
  </si>
  <si>
    <t>A23032-01</t>
  </si>
  <si>
    <t>A23032-02</t>
  </si>
  <si>
    <t>DIRTY SNOW</t>
  </si>
  <si>
    <t>PINE</t>
  </si>
  <si>
    <t>SURPLUS R</t>
  </si>
  <si>
    <t>A23036-01</t>
  </si>
  <si>
    <t>A23036-02</t>
  </si>
  <si>
    <t>A23036-03</t>
  </si>
  <si>
    <t>LT GREY</t>
  </si>
  <si>
    <t>BABYLON R</t>
  </si>
  <si>
    <t>A23035-03</t>
  </si>
  <si>
    <t>A23035-01</t>
  </si>
  <si>
    <t>SELECT R</t>
  </si>
  <si>
    <t>A23034-02</t>
  </si>
  <si>
    <t>A23034-01</t>
  </si>
  <si>
    <t>BRANCH</t>
  </si>
  <si>
    <t>SOLAR</t>
  </si>
  <si>
    <t>KNOT R</t>
  </si>
  <si>
    <t>A23033-02</t>
  </si>
  <si>
    <t>A23033-03</t>
  </si>
  <si>
    <t>A23033-01</t>
  </si>
  <si>
    <t>YOUTH BEANIES</t>
  </si>
  <si>
    <t>BASIC YOUTH</t>
  </si>
  <si>
    <t>BLOCKED YOUTH</t>
  </si>
  <si>
    <t>STRIPE YOUTH</t>
  </si>
  <si>
    <t>A23200-01</t>
  </si>
  <si>
    <t>A23200-04</t>
  </si>
  <si>
    <t>A23200-02</t>
  </si>
  <si>
    <t>A23200-03</t>
  </si>
  <si>
    <t>A23201-04</t>
  </si>
  <si>
    <t>A23201-03</t>
  </si>
  <si>
    <t>A23201-01</t>
  </si>
  <si>
    <t>A23201-02</t>
  </si>
  <si>
    <t>A23202-01</t>
  </si>
  <si>
    <t>A23202-04</t>
  </si>
  <si>
    <t>A23202-02</t>
  </si>
  <si>
    <t>A23202-03</t>
  </si>
  <si>
    <t>VISOR</t>
  </si>
  <si>
    <t>A23037-01</t>
  </si>
  <si>
    <t>A23037-02</t>
  </si>
  <si>
    <t>A23042-01</t>
  </si>
  <si>
    <t>A23042-02</t>
  </si>
  <si>
    <t>A23042-04</t>
  </si>
  <si>
    <t>A23042-03</t>
  </si>
  <si>
    <t>AZTEC</t>
  </si>
  <si>
    <t>NISEKO EARFLAP</t>
  </si>
  <si>
    <t>A23038-01</t>
  </si>
  <si>
    <t>A23038-02</t>
  </si>
  <si>
    <t>A23039-01</t>
  </si>
  <si>
    <t>A23039-03</t>
  </si>
  <si>
    <t>A23039-02</t>
  </si>
  <si>
    <t>STRIPE BALACLAVA</t>
  </si>
  <si>
    <t>A23040-01</t>
  </si>
  <si>
    <t>A23040-03</t>
  </si>
  <si>
    <t>A23040-02</t>
  </si>
  <si>
    <t>A23041-01</t>
  </si>
  <si>
    <t>A23041-02</t>
  </si>
  <si>
    <t>A23041-03</t>
  </si>
  <si>
    <t>A23060-01</t>
  </si>
  <si>
    <t>A23060-02</t>
  </si>
  <si>
    <t>A23060-05</t>
  </si>
  <si>
    <t>A23060-04</t>
  </si>
  <si>
    <t>A23060-03</t>
  </si>
  <si>
    <t>ANORAK &amp; FLEECEWEAR</t>
  </si>
  <si>
    <t>CASCADE ANORAK</t>
  </si>
  <si>
    <t>ALPINE</t>
  </si>
  <si>
    <t>GREY/BROWN</t>
  </si>
  <si>
    <t>A23065-01S</t>
  </si>
  <si>
    <t>A23065-01M</t>
  </si>
  <si>
    <t>A23065-01L</t>
  </si>
  <si>
    <t>A23065-01XL</t>
  </si>
  <si>
    <t>A23065-01XXL</t>
  </si>
  <si>
    <t>A23065-02S</t>
  </si>
  <si>
    <t>A23065-02M</t>
  </si>
  <si>
    <t>A23065-02L</t>
  </si>
  <si>
    <t>A23065-02XL</t>
  </si>
  <si>
    <t>A23065-02XXL</t>
  </si>
  <si>
    <t>A23065-03S</t>
  </si>
  <si>
    <t>A23065-03M</t>
  </si>
  <si>
    <t>A23065-03L</t>
  </si>
  <si>
    <t>A23065-03XL</t>
  </si>
  <si>
    <t>A23065-03XXL</t>
  </si>
  <si>
    <t>HORIZON HOODED FLEECE</t>
  </si>
  <si>
    <t>A23066-03S</t>
  </si>
  <si>
    <t>A23066-03M</t>
  </si>
  <si>
    <t>A23066-03L</t>
  </si>
  <si>
    <t>A23066-03XL</t>
  </si>
  <si>
    <t>A23066-03XXL</t>
  </si>
  <si>
    <t>A23066-02S</t>
  </si>
  <si>
    <t>A23066-02M</t>
  </si>
  <si>
    <t>A23066-02L</t>
  </si>
  <si>
    <t>A23066-02XL</t>
  </si>
  <si>
    <t>A23066-02XXL</t>
  </si>
  <si>
    <t>SHIBORI TIE DYE</t>
  </si>
  <si>
    <t>A23067-02S</t>
  </si>
  <si>
    <t>A23067-02M</t>
  </si>
  <si>
    <t>A23067-02L</t>
  </si>
  <si>
    <t>A23067-02XL</t>
  </si>
  <si>
    <t>A23067-02XXL</t>
  </si>
  <si>
    <t>A23067-01S</t>
  </si>
  <si>
    <t>A23067-01M</t>
  </si>
  <si>
    <t>A23067-01L</t>
  </si>
  <si>
    <t>A23067-01XL</t>
  </si>
  <si>
    <t>A23067-01SXXL</t>
  </si>
  <si>
    <t>ORB HALF SNAP FLEECE</t>
  </si>
  <si>
    <t>HARVEST GOLD</t>
  </si>
  <si>
    <t>PREP STRIPE</t>
  </si>
  <si>
    <t>A23068-02S</t>
  </si>
  <si>
    <t>A23068-02M</t>
  </si>
  <si>
    <t>A23068-02L</t>
  </si>
  <si>
    <t>A23068-02XL</t>
  </si>
  <si>
    <t>A23068-02XXL</t>
  </si>
  <si>
    <t>A23068-01S</t>
  </si>
  <si>
    <t>A23068-01M</t>
  </si>
  <si>
    <t>A23068-01L</t>
  </si>
  <si>
    <t>A23068-01XL</t>
  </si>
  <si>
    <t>A23068-01XXL</t>
  </si>
  <si>
    <t>BASK FLEECE PANTS</t>
  </si>
  <si>
    <t>FAIR ISLE PATCHWORK</t>
  </si>
  <si>
    <t>A23070-01S</t>
  </si>
  <si>
    <t>A23070-01M</t>
  </si>
  <si>
    <t>A23070-01L</t>
  </si>
  <si>
    <t>A23070-01XL</t>
  </si>
  <si>
    <t>A23070-01XXL</t>
  </si>
  <si>
    <t>A23070-02S</t>
  </si>
  <si>
    <t>A23070-02M</t>
  </si>
  <si>
    <t>A23070-02L</t>
  </si>
  <si>
    <t>A23070-02XL</t>
  </si>
  <si>
    <t>A23070-02XXL</t>
  </si>
  <si>
    <t>A23070-05S</t>
  </si>
  <si>
    <t>A23070-05M</t>
  </si>
  <si>
    <t>A23070-05L</t>
  </si>
  <si>
    <t>A23070-05XL</t>
  </si>
  <si>
    <t>A23070-05XXL</t>
  </si>
  <si>
    <t>A23070-04S</t>
  </si>
  <si>
    <t>A23070-04M</t>
  </si>
  <si>
    <t>A23070-04L</t>
  </si>
  <si>
    <t>A23070-04XL</t>
  </si>
  <si>
    <t>A23070-04XXL</t>
  </si>
  <si>
    <t>A23070-03S</t>
  </si>
  <si>
    <t>A23070-03M</t>
  </si>
  <si>
    <t>A23070-03L</t>
  </si>
  <si>
    <t>A23070-03XL</t>
  </si>
  <si>
    <t>A23070-03XXL</t>
  </si>
  <si>
    <t>VORTEX HALF ZIP FLEECE</t>
  </si>
  <si>
    <t>SUN FLAKE</t>
  </si>
  <si>
    <t>A23069-02S</t>
  </si>
  <si>
    <t>A23069-02M</t>
  </si>
  <si>
    <t>A23069-02L</t>
  </si>
  <si>
    <t>A23069-02XL</t>
  </si>
  <si>
    <t>A23069-02XXL</t>
  </si>
  <si>
    <t>A23069-01S</t>
  </si>
  <si>
    <t>A23069-01M</t>
  </si>
  <si>
    <t>A23069-01L</t>
  </si>
  <si>
    <t>A23069-01XL</t>
  </si>
  <si>
    <t>A23069-01XXL</t>
  </si>
  <si>
    <t>ICON HOODIE</t>
  </si>
  <si>
    <t>COTTONWOOD HOODIE</t>
  </si>
  <si>
    <t>CYCLE CLUB HOODIE</t>
  </si>
  <si>
    <t>CORDUROY HOODIE</t>
  </si>
  <si>
    <t>WARMTH HOODIE</t>
  </si>
  <si>
    <t>MTN ICON LS TEE</t>
  </si>
  <si>
    <t>NEDERLAND LS TEE</t>
  </si>
  <si>
    <t>HOME LS TEE</t>
  </si>
  <si>
    <t>OWL LS TEE</t>
  </si>
  <si>
    <t>FRIENDS LS TEE</t>
  </si>
  <si>
    <t>PREBOOK PROGRAM BEANIE</t>
  </si>
  <si>
    <t>A23080-01S</t>
  </si>
  <si>
    <t>A23080-01M</t>
  </si>
  <si>
    <t>A23080-01L</t>
  </si>
  <si>
    <t>A23080-01XL</t>
  </si>
  <si>
    <t>A23080-01XXL</t>
  </si>
  <si>
    <t>A23081-01S</t>
  </si>
  <si>
    <t>A23081-01M</t>
  </si>
  <si>
    <t>A23081-01L</t>
  </si>
  <si>
    <t>A23081-01XL</t>
  </si>
  <si>
    <t>A23081-01XXL</t>
  </si>
  <si>
    <t>A23084-01S</t>
  </si>
  <si>
    <t>A23084-01M</t>
  </si>
  <si>
    <t>A23084-01L</t>
  </si>
  <si>
    <t>A23084-01XL</t>
  </si>
  <si>
    <t>A23084-01XXL</t>
  </si>
  <si>
    <t>A23082-01S</t>
  </si>
  <si>
    <t>A23082-01M</t>
  </si>
  <si>
    <t>A23082-01L</t>
  </si>
  <si>
    <t>A23082-01XL</t>
  </si>
  <si>
    <t>A23082-01XXL</t>
  </si>
  <si>
    <t>A23083-01S</t>
  </si>
  <si>
    <t>A23083-01M</t>
  </si>
  <si>
    <t>A23083-01L</t>
  </si>
  <si>
    <t>A23083-01XL</t>
  </si>
  <si>
    <t>A23083-01XXL</t>
  </si>
  <si>
    <t>A23085-01S</t>
  </si>
  <si>
    <t>A23085-01M</t>
  </si>
  <si>
    <t>A23085-01L</t>
  </si>
  <si>
    <t>A23085-01XL</t>
  </si>
  <si>
    <t>A23085-01XXL</t>
  </si>
  <si>
    <t>A23086-01S</t>
  </si>
  <si>
    <t>A23086-01M</t>
  </si>
  <si>
    <t>A23086-01L</t>
  </si>
  <si>
    <t>A23086-01XL</t>
  </si>
  <si>
    <t>A23086-01XXL</t>
  </si>
  <si>
    <t>A23087-01S</t>
  </si>
  <si>
    <t>A23087-01M</t>
  </si>
  <si>
    <t>A23087-01L</t>
  </si>
  <si>
    <t>A23087-01XL</t>
  </si>
  <si>
    <t>A23087-01XXL</t>
  </si>
  <si>
    <t>A23088-01S</t>
  </si>
  <si>
    <t>A23088-01M</t>
  </si>
  <si>
    <t>A23088-01L</t>
  </si>
  <si>
    <t>A23088-01XL</t>
  </si>
  <si>
    <t>A23088-01SXXL</t>
  </si>
  <si>
    <t>A23089-01S</t>
  </si>
  <si>
    <t>A23089-01M</t>
  </si>
  <si>
    <t>A23089-01L</t>
  </si>
  <si>
    <t>A23089-01XL</t>
  </si>
  <si>
    <t>A23089-01XXL</t>
  </si>
  <si>
    <t>Promo Beanies</t>
  </si>
  <si>
    <t>SIMPLE FIT</t>
  </si>
  <si>
    <t>SELECT FIT</t>
  </si>
  <si>
    <t>SURPLUS FIT</t>
  </si>
  <si>
    <t>Ship To:</t>
  </si>
  <si>
    <t>Bill To:</t>
  </si>
  <si>
    <t>ONE SIZE</t>
  </si>
  <si>
    <t>CREDIT TERMS &amp; LIMITS</t>
  </si>
  <si>
    <t>* To receive discounts or terms order MUST be submitted by order deadline</t>
  </si>
  <si>
    <t>* Booking terms are Net 30 from the date of delivery (On Approved Credit).</t>
  </si>
  <si>
    <t xml:space="preserve">* After the expiration date all backorders will be shipped on regular terms. </t>
  </si>
  <si>
    <t>* To qualify for AUTUMN's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</si>
  <si>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</si>
  <si>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</si>
  <si>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</si>
  <si>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</si>
  <si>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AUTUMN Internatioanl and may be rejected without cause or liability.  </t>
  </si>
  <si>
    <t>* 2%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</si>
  <si>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</si>
  <si>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</si>
  <si>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</si>
  <si>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</si>
  <si>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AUTUMN International Accounting Department. </t>
  </si>
  <si>
    <t>DELIVERY</t>
  </si>
  <si>
    <t>* AUTUMN reserves the right to choose shipping methods.</t>
  </si>
  <si>
    <t>* Packing Slip will be attached to outside of box.  In larger orders with multiple boxes, the packing slip will be attached to the first box.</t>
  </si>
  <si>
    <t>* AUTUMN reserves the right to charge a 15% re-stocking fee in the case of dealer refusal.</t>
  </si>
  <si>
    <t>*AUTUMN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</si>
  <si>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</si>
  <si>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</si>
  <si>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</si>
  <si>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</si>
  <si>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AUTUMN reserves the right to substitute reorder products that are not available.</t>
  </si>
  <si>
    <t>* AUTUMN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</si>
  <si>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</si>
  <si>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</si>
  <si>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AUTUMN INTERNATIONAL'S AUTHORIZED DEALER APPLICATION </t>
  </si>
  <si>
    <t>* Earliest Delivery date is September 1st , 2022.</t>
  </si>
  <si>
    <t>* Dealer pricing can fluctuate according to currency vs. Jan 1, 2023</t>
  </si>
  <si>
    <t>* Cancel date for product not shipped is December 1, 2022 or later.</t>
  </si>
  <si>
    <t>Requested Ship Date</t>
  </si>
  <si>
    <t>os</t>
  </si>
  <si>
    <t>FREE</t>
  </si>
  <si>
    <t xml:space="preserve">Free "promo" beanies included </t>
  </si>
  <si>
    <t xml:space="preserve">with your order. </t>
  </si>
  <si>
    <t>A23203-01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</si>
</sst>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name val="Texta"/>
    </font>
    <font>
      <sz val="10"/>
      <name val="Texta"/>
    </font>
    <font>
      <sz val="24"/>
      <name val="Texta"/>
    </font>
    <font>
      <sz val="12"/>
      <name val="Texta"/>
    </font>
    <font>
      <b/>
      <sz val="12"/>
      <name val="Texta"/>
    </font>
    <font>
      <b/>
      <sz val="16"/>
      <name val="Texta"/>
    </font>
    <font>
      <b/>
      <sz val="12"/>
      <color theme="1"/>
      <name val="Texta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name val="Texta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Calibri (Body)_x0000_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 (Body)"/>
    </font>
    <font>
      <b/>
      <sz val="10"/>
      <name val="Texta"/>
    </font>
    <font>
      <b/>
      <sz val="14"/>
      <color rgb="FF000000"/>
      <name val="Cordia New"/>
      <family val="2"/>
    </font>
    <font>
      <sz val="14"/>
      <color theme="1"/>
      <name val="Calibri"/>
      <family val="2"/>
      <scheme val="minor"/>
    </font>
    <font>
      <sz val="14"/>
      <color rgb="FF000000"/>
      <name val="Cordia New"/>
      <family val="2"/>
    </font>
  </fonts>
  <fills count="12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9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5" fillId="2" borderId="0" xfId="0" applyFont="1" applyFill="1"/>
    <xf numFmtId="0" fontId="7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4" fontId="3" fillId="5" borderId="0" xfId="1" applyFont="1" applyFill="1" applyAlignment="1">
      <alignment horizontal="center"/>
    </xf>
    <xf numFmtId="44" fontId="11" fillId="6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0" applyNumberFormat="1" applyBorder="1"/>
    <xf numFmtId="0" fontId="0" fillId="7" borderId="3" xfId="0" applyFill="1" applyBorder="1" applyAlignment="1">
      <alignment horizontal="center"/>
    </xf>
    <xf numFmtId="44" fontId="0" fillId="7" borderId="3" xfId="1" applyFont="1" applyFill="1" applyBorder="1"/>
    <xf numFmtId="44" fontId="0" fillId="7" borderId="3" xfId="0" applyNumberFormat="1" applyFill="1" applyBorder="1"/>
    <xf numFmtId="44" fontId="0" fillId="0" borderId="3" xfId="1" applyFont="1" applyFill="1" applyBorder="1"/>
    <xf numFmtId="44" fontId="0" fillId="7" borderId="1" xfId="1" applyFont="1" applyFill="1" applyBorder="1"/>
    <xf numFmtId="0" fontId="0" fillId="0" borderId="3" xfId="0" applyFill="1" applyBorder="1" applyAlignment="1">
      <alignment horizontal="center"/>
    </xf>
    <xf numFmtId="44" fontId="0" fillId="0" borderId="3" xfId="0" applyNumberFormat="1" applyFill="1" applyBorder="1"/>
    <xf numFmtId="0" fontId="0" fillId="8" borderId="3" xfId="0" applyFill="1" applyBorder="1" applyAlignment="1">
      <alignment horizontal="center"/>
    </xf>
    <xf numFmtId="44" fontId="0" fillId="8" borderId="3" xfId="1" applyFont="1" applyFill="1" applyBorder="1"/>
    <xf numFmtId="0" fontId="0" fillId="7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9" borderId="0" xfId="0" applyFill="1"/>
    <xf numFmtId="0" fontId="0" fillId="3" borderId="0" xfId="0" applyFill="1"/>
    <xf numFmtId="0" fontId="14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44" fontId="0" fillId="7" borderId="8" xfId="1" applyFont="1" applyFill="1" applyBorder="1"/>
    <xf numFmtId="44" fontId="0" fillId="7" borderId="6" xfId="0" applyNumberFormat="1" applyFill="1" applyBorder="1"/>
    <xf numFmtId="0" fontId="2" fillId="4" borderId="5" xfId="0" applyFont="1" applyFill="1" applyBorder="1" applyAlignment="1" applyProtection="1">
      <alignment horizontal="center"/>
      <protection hidden="1"/>
    </xf>
    <xf numFmtId="44" fontId="2" fillId="4" borderId="5" xfId="0" applyNumberFormat="1" applyFont="1" applyFill="1" applyBorder="1" applyProtection="1">
      <protection hidden="1"/>
    </xf>
    <xf numFmtId="0" fontId="18" fillId="9" borderId="0" xfId="0" applyFont="1" applyFill="1"/>
    <xf numFmtId="0" fontId="7" fillId="9" borderId="0" xfId="0" applyFont="1" applyFill="1" applyBorder="1"/>
    <xf numFmtId="0" fontId="0" fillId="9" borderId="0" xfId="0" applyFill="1" applyBorder="1"/>
    <xf numFmtId="0" fontId="7" fillId="2" borderId="3" xfId="0" applyFont="1" applyFill="1" applyBorder="1" applyAlignment="1">
      <alignment horizontal="center"/>
    </xf>
    <xf numFmtId="15" fontId="8" fillId="3" borderId="3" xfId="0" applyNumberFormat="1" applyFont="1" applyFill="1" applyBorder="1" applyAlignment="1" applyProtection="1">
      <alignment horizontal="center"/>
      <protection locked="0"/>
    </xf>
    <xf numFmtId="0" fontId="7" fillId="8" borderId="0" xfId="0" applyFont="1" applyFill="1"/>
    <xf numFmtId="1" fontId="8" fillId="9" borderId="0" xfId="0" applyNumberFormat="1" applyFont="1" applyFill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44" fontId="0" fillId="9" borderId="0" xfId="1" applyFont="1" applyFill="1" applyBorder="1"/>
    <xf numFmtId="0" fontId="0" fillId="9" borderId="0" xfId="0" applyFont="1" applyFill="1" applyBorder="1" applyAlignment="1">
      <alignment horizontal="center"/>
    </xf>
    <xf numFmtId="44" fontId="0" fillId="9" borderId="0" xfId="0" applyNumberFormat="1" applyFill="1" applyBorder="1"/>
    <xf numFmtId="44" fontId="2" fillId="9" borderId="0" xfId="1" applyFont="1" applyFill="1" applyBorder="1" applyAlignment="1">
      <alignment horizontal="right"/>
    </xf>
    <xf numFmtId="0" fontId="2" fillId="9" borderId="0" xfId="0" applyFont="1" applyFill="1" applyBorder="1" applyAlignment="1">
      <alignment horizontal="right"/>
    </xf>
    <xf numFmtId="0" fontId="2" fillId="9" borderId="0" xfId="0" applyFont="1" applyFill="1" applyBorder="1" applyAlignment="1" applyProtection="1">
      <alignment horizontal="center"/>
      <protection hidden="1"/>
    </xf>
    <xf numFmtId="44" fontId="2" fillId="9" borderId="0" xfId="0" applyNumberFormat="1" applyFont="1" applyFill="1" applyBorder="1" applyProtection="1">
      <protection hidden="1"/>
    </xf>
    <xf numFmtId="0" fontId="0" fillId="7" borderId="3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23" fillId="0" borderId="0" xfId="0" applyFont="1"/>
    <xf numFmtId="0" fontId="24" fillId="11" borderId="20" xfId="0" applyFont="1" applyFill="1" applyBorder="1" applyAlignment="1">
      <alignment horizontal="left" vertical="center"/>
    </xf>
    <xf numFmtId="1" fontId="24" fillId="11" borderId="0" xfId="0" applyNumberFormat="1" applyFont="1" applyFill="1" applyAlignment="1">
      <alignment horizontal="left" vertical="center"/>
    </xf>
    <xf numFmtId="1" fontId="24" fillId="11" borderId="21" xfId="0" applyNumberFormat="1" applyFont="1" applyFill="1" applyBorder="1" applyAlignment="1">
      <alignment horizontal="left" vertical="center"/>
    </xf>
    <xf numFmtId="0" fontId="24" fillId="11" borderId="22" xfId="0" applyFont="1" applyFill="1" applyBorder="1" applyAlignment="1">
      <alignment horizontal="left" vertical="center"/>
    </xf>
    <xf numFmtId="1" fontId="24" fillId="11" borderId="23" xfId="0" applyNumberFormat="1" applyFont="1" applyFill="1" applyBorder="1" applyAlignment="1">
      <alignment horizontal="left" vertical="center"/>
    </xf>
    <xf numFmtId="1" fontId="24" fillId="11" borderId="24" xfId="0" applyNumberFormat="1" applyFont="1" applyFill="1" applyBorder="1" applyAlignment="1">
      <alignment horizontal="left" vertical="center"/>
    </xf>
    <xf numFmtId="0" fontId="24" fillId="11" borderId="0" xfId="0" applyFont="1" applyFill="1" applyAlignment="1">
      <alignment vertical="center"/>
    </xf>
    <xf numFmtId="1" fontId="24" fillId="11" borderId="0" xfId="0" applyNumberFormat="1" applyFont="1" applyFill="1" applyAlignment="1">
      <alignment vertical="center"/>
    </xf>
    <xf numFmtId="0" fontId="24" fillId="11" borderId="20" xfId="0" applyFont="1" applyFill="1" applyBorder="1" applyAlignment="1">
      <alignment vertical="center"/>
    </xf>
    <xf numFmtId="1" fontId="24" fillId="11" borderId="21" xfId="0" applyNumberFormat="1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1" fontId="24" fillId="11" borderId="23" xfId="0" applyNumberFormat="1" applyFont="1" applyFill="1" applyBorder="1" applyAlignment="1">
      <alignment vertical="center"/>
    </xf>
    <xf numFmtId="1" fontId="24" fillId="11" borderId="24" xfId="0" applyNumberFormat="1" applyFont="1" applyFill="1" applyBorder="1" applyAlignment="1">
      <alignment vertical="center"/>
    </xf>
    <xf numFmtId="0" fontId="24" fillId="11" borderId="23" xfId="0" applyFont="1" applyFill="1" applyBorder="1" applyAlignment="1">
      <alignment vertical="center"/>
    </xf>
    <xf numFmtId="1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top" wrapText="1"/>
    </xf>
    <xf numFmtId="0" fontId="0" fillId="0" borderId="3" xfId="0" applyFill="1" applyBorder="1" applyAlignment="1" applyProtection="1">
      <alignment horizontal="center"/>
      <protection hidden="1"/>
    </xf>
    <xf numFmtId="0" fontId="0" fillId="7" borderId="3" xfId="0" applyFill="1" applyBorder="1" applyAlignment="1" applyProtection="1">
      <alignment horizontal="center"/>
      <protection hidden="1"/>
    </xf>
    <xf numFmtId="0" fontId="0" fillId="7" borderId="3" xfId="0" applyFont="1" applyFill="1" applyBorder="1" applyAlignment="1" applyProtection="1">
      <alignment horizontal="center"/>
      <protection hidden="1"/>
    </xf>
    <xf numFmtId="44" fontId="0" fillId="8" borderId="3" xfId="0" applyNumberFormat="1" applyFill="1" applyBorder="1" applyProtection="1">
      <protection hidden="1"/>
    </xf>
    <xf numFmtId="1" fontId="8" fillId="8" borderId="4" xfId="0" applyNumberFormat="1" applyFont="1" applyFill="1" applyBorder="1" applyAlignment="1" applyProtection="1">
      <alignment horizontal="center" vertical="center"/>
      <protection hidden="1"/>
    </xf>
    <xf numFmtId="1" fontId="0" fillId="8" borderId="3" xfId="0" applyNumberFormat="1" applyFill="1" applyBorder="1" applyAlignment="1" applyProtection="1">
      <alignment horizontal="center"/>
      <protection hidden="1"/>
    </xf>
    <xf numFmtId="44" fontId="0" fillId="7" borderId="3" xfId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44" fontId="3" fillId="5" borderId="29" xfId="1" applyFont="1" applyFill="1" applyBorder="1" applyAlignment="1">
      <alignment horizontal="center"/>
    </xf>
    <xf numFmtId="44" fontId="11" fillId="6" borderId="30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Fill="1" applyBorder="1" applyAlignment="1" applyProtection="1">
      <alignment horizontal="center"/>
    </xf>
    <xf numFmtId="0" fontId="0" fillId="0" borderId="15" xfId="0" applyFill="1" applyBorder="1" applyAlignment="1">
      <alignment horizontal="center"/>
    </xf>
    <xf numFmtId="44" fontId="0" fillId="0" borderId="15" xfId="0" applyNumberFormat="1" applyFill="1" applyBorder="1"/>
    <xf numFmtId="44" fontId="0" fillId="0" borderId="15" xfId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3" borderId="3" xfId="1" applyFont="1" applyFill="1" applyBorder="1"/>
    <xf numFmtId="0" fontId="12" fillId="7" borderId="3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44" fontId="3" fillId="5" borderId="31" xfId="1" applyFont="1" applyFill="1" applyBorder="1" applyAlignment="1">
      <alignment horizontal="center"/>
    </xf>
    <xf numFmtId="44" fontId="11" fillId="6" borderId="32" xfId="0" applyNumberFormat="1" applyFont="1" applyFill="1" applyBorder="1" applyAlignment="1">
      <alignment horizontal="center"/>
    </xf>
    <xf numFmtId="44" fontId="0" fillId="3" borderId="33" xfId="1" applyFont="1" applyFill="1" applyBorder="1"/>
    <xf numFmtId="0" fontId="0" fillId="3" borderId="15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>
      <alignment horizontal="center"/>
    </xf>
    <xf numFmtId="44" fontId="0" fillId="3" borderId="15" xfId="0" applyNumberFormat="1" applyFill="1" applyBorder="1"/>
    <xf numFmtId="44" fontId="0" fillId="3" borderId="1" xfId="1" applyFont="1" applyFill="1" applyBorder="1"/>
    <xf numFmtId="0" fontId="0" fillId="3" borderId="3" xfId="0" applyFont="1" applyFill="1" applyBorder="1" applyAlignment="1" applyProtection="1">
      <alignment horizontal="center"/>
      <protection hidden="1"/>
    </xf>
    <xf numFmtId="44" fontId="0" fillId="3" borderId="3" xfId="0" applyNumberFormat="1" applyFill="1" applyBorder="1"/>
    <xf numFmtId="0" fontId="3" fillId="5" borderId="2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7" fillId="2" borderId="3" xfId="0" applyFont="1" applyFill="1" applyBorder="1"/>
    <xf numFmtId="49" fontId="7" fillId="3" borderId="3" xfId="0" applyNumberFormat="1" applyFont="1" applyFill="1" applyBorder="1" applyAlignment="1" applyProtection="1">
      <alignment horizontal="center"/>
      <protection locked="0"/>
    </xf>
    <xf numFmtId="15" fontId="7" fillId="3" borderId="3" xfId="0" applyNumberFormat="1" applyFont="1" applyFill="1" applyBorder="1" applyAlignment="1" applyProtection="1">
      <alignment horizontal="center"/>
      <protection locked="0"/>
    </xf>
    <xf numFmtId="15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/>
    <xf numFmtId="0" fontId="2" fillId="4" borderId="3" xfId="0" applyFont="1" applyFill="1" applyBorder="1" applyAlignment="1" applyProtection="1">
      <alignment horizontal="center"/>
      <protection hidden="1"/>
    </xf>
    <xf numFmtId="44" fontId="10" fillId="4" borderId="3" xfId="0" applyNumberFormat="1" applyFont="1" applyFill="1" applyBorder="1" applyProtection="1">
      <protection hidden="1"/>
    </xf>
    <xf numFmtId="0" fontId="2" fillId="0" borderId="34" xfId="0" applyFont="1" applyBorder="1" applyAlignment="1" applyProtection="1">
      <alignment horizontal="center"/>
      <protection hidden="1"/>
    </xf>
    <xf numFmtId="44" fontId="0" fillId="0" borderId="34" xfId="0" applyNumberFormat="1" applyFill="1" applyBorder="1" applyProtection="1">
      <protection hidden="1"/>
    </xf>
    <xf numFmtId="0" fontId="3" fillId="5" borderId="3" xfId="0" applyFont="1" applyFill="1" applyBorder="1" applyAlignment="1">
      <alignment horizontal="center"/>
    </xf>
    <xf numFmtId="44" fontId="3" fillId="5" borderId="3" xfId="1" applyFont="1" applyFill="1" applyBorder="1" applyAlignment="1">
      <alignment horizontal="center"/>
    </xf>
    <xf numFmtId="44" fontId="11" fillId="6" borderId="3" xfId="0" applyNumberFormat="1" applyFont="1" applyFill="1" applyBorder="1" applyAlignment="1">
      <alignment horizontal="center"/>
    </xf>
    <xf numFmtId="49" fontId="7" fillId="9" borderId="0" xfId="0" applyNumberFormat="1" applyFont="1" applyFill="1" applyBorder="1" applyAlignment="1" applyProtection="1">
      <alignment horizontal="center"/>
      <protection locked="0"/>
    </xf>
    <xf numFmtId="15" fontId="7" fillId="9" borderId="0" xfId="0" applyNumberFormat="1" applyFont="1" applyFill="1" applyBorder="1" applyAlignment="1" applyProtection="1">
      <alignment horizontal="center"/>
      <protection locked="0"/>
    </xf>
    <xf numFmtId="15" fontId="8" fillId="9" borderId="0" xfId="0" applyNumberFormat="1" applyFont="1" applyFill="1" applyBorder="1" applyAlignment="1" applyProtection="1">
      <alignment horizontal="center"/>
      <protection locked="0"/>
    </xf>
    <xf numFmtId="15" fontId="8" fillId="9" borderId="0" xfId="0" applyNumberFormat="1" applyFont="1" applyFill="1" applyBorder="1" applyAlignment="1">
      <alignment horizontal="center" vertical="center"/>
    </xf>
    <xf numFmtId="0" fontId="7" fillId="9" borderId="0" xfId="0" applyFont="1" applyFill="1"/>
    <xf numFmtId="0" fontId="0" fillId="7" borderId="3" xfId="0" applyFont="1" applyFill="1" applyBorder="1" applyAlignment="1">
      <alignment horizontal="center"/>
    </xf>
    <xf numFmtId="0" fontId="0" fillId="7" borderId="15" xfId="0" applyFill="1" applyBorder="1" applyAlignment="1" applyProtection="1">
      <alignment horizontal="center"/>
    </xf>
    <xf numFmtId="0" fontId="7" fillId="3" borderId="1" xfId="0" applyFont="1" applyFill="1" applyBorder="1" applyAlignment="1"/>
    <xf numFmtId="0" fontId="0" fillId="0" borderId="7" xfId="0" applyBorder="1" applyAlignment="1"/>
    <xf numFmtId="0" fontId="0" fillId="0" borderId="2" xfId="0" applyBorder="1" applyAlignment="1"/>
    <xf numFmtId="0" fontId="7" fillId="8" borderId="28" xfId="0" applyFont="1" applyFill="1" applyBorder="1" applyAlignment="1"/>
    <xf numFmtId="0" fontId="0" fillId="0" borderId="0" xfId="0" applyAlignment="1"/>
    <xf numFmtId="0" fontId="0" fillId="8" borderId="0" xfId="0" applyFill="1" applyAlignment="1"/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6" xfId="0" applyFont="1" applyBorder="1" applyAlignment="1">
      <alignment vertical="center"/>
    </xf>
    <xf numFmtId="0" fontId="20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/>
    </xf>
    <xf numFmtId="0" fontId="16" fillId="0" borderId="3" xfId="0" applyFont="1" applyBorder="1" applyAlignment="1"/>
    <xf numFmtId="0" fontId="2" fillId="7" borderId="3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 applyProtection="1">
      <alignment horizontal="left"/>
      <protection locked="0"/>
    </xf>
    <xf numFmtId="49" fontId="7" fillId="3" borderId="2" xfId="0" applyNumberFormat="1" applyFont="1" applyFill="1" applyBorder="1" applyAlignment="1" applyProtection="1">
      <alignment horizontal="left"/>
      <protection locked="0"/>
    </xf>
    <xf numFmtId="49" fontId="7" fillId="3" borderId="3" xfId="0" applyNumberFormat="1" applyFont="1" applyFill="1" applyBorder="1" applyAlignment="1" applyProtection="1">
      <alignment horizontal="left"/>
      <protection locked="0"/>
    </xf>
    <xf numFmtId="44" fontId="2" fillId="9" borderId="11" xfId="1" applyFont="1" applyFill="1" applyBorder="1" applyAlignment="1">
      <alignment horizontal="right"/>
    </xf>
    <xf numFmtId="0" fontId="2" fillId="9" borderId="14" xfId="0" applyFont="1" applyFill="1" applyBorder="1" applyAlignment="1">
      <alignment horizontal="right"/>
    </xf>
    <xf numFmtId="49" fontId="7" fillId="3" borderId="1" xfId="0" applyNumberFormat="1" applyFont="1" applyFill="1" applyBorder="1" applyProtection="1">
      <protection locked="0"/>
    </xf>
    <xf numFmtId="49" fontId="7" fillId="3" borderId="2" xfId="0" applyNumberFormat="1" applyFont="1" applyFill="1" applyBorder="1" applyProtection="1">
      <protection locked="0"/>
    </xf>
    <xf numFmtId="0" fontId="2" fillId="0" borderId="1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vertical="center"/>
    </xf>
    <xf numFmtId="0" fontId="15" fillId="5" borderId="30" xfId="0" applyFont="1" applyFill="1" applyBorder="1" applyAlignment="1">
      <alignment vertical="center"/>
    </xf>
    <xf numFmtId="0" fontId="17" fillId="5" borderId="3" xfId="0" applyFont="1" applyFill="1" applyBorder="1" applyAlignment="1">
      <alignment horizontal="center"/>
    </xf>
    <xf numFmtId="0" fontId="13" fillId="0" borderId="3" xfId="0" applyFont="1" applyBorder="1" applyAlignment="1"/>
    <xf numFmtId="0" fontId="16" fillId="5" borderId="10" xfId="0" applyFont="1" applyFill="1" applyBorder="1" applyAlignment="1">
      <alignment horizontal="center"/>
    </xf>
    <xf numFmtId="0" fontId="16" fillId="0" borderId="0" xfId="0" applyFont="1" applyAlignment="1"/>
    <xf numFmtId="0" fontId="2" fillId="9" borderId="0" xfId="0" applyFont="1" applyFill="1" applyBorder="1" applyAlignment="1">
      <alignment horizontal="right"/>
    </xf>
    <xf numFmtId="0" fontId="2" fillId="9" borderId="16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2" fillId="10" borderId="17" xfId="0" applyFont="1" applyFill="1" applyBorder="1" applyAlignment="1">
      <alignment vertical="center"/>
    </xf>
    <xf numFmtId="0" fontId="22" fillId="10" borderId="18" xfId="0" applyFont="1" applyFill="1" applyBorder="1" applyAlignment="1">
      <alignment vertical="center"/>
    </xf>
    <xf numFmtId="0" fontId="22" fillId="10" borderId="19" xfId="0" applyFont="1" applyFill="1" applyBorder="1" applyAlignment="1">
      <alignment vertical="center"/>
    </xf>
    <xf numFmtId="0" fontId="22" fillId="10" borderId="25" xfId="0" applyFont="1" applyFill="1" applyBorder="1" applyAlignment="1">
      <alignment vertical="center"/>
    </xf>
    <xf numFmtId="0" fontId="22" fillId="10" borderId="26" xfId="0" applyFont="1" applyFill="1" applyBorder="1" applyAlignment="1">
      <alignment vertical="center"/>
    </xf>
    <xf numFmtId="0" fontId="22" fillId="10" borderId="27" xfId="0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2204719</xdr:colOff>
      <xdr:row>0</xdr:row>
      <xdr:rowOff>20320</xdr:rowOff>
    </xdr:from>
    <xdr:to>
      <xdr:col>4</xdr:col>
      <xdr:colOff>355894</xdr:colOff>
      <xdr:row>9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E6887-245B-7A42-AC27-33847BD1C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2159" y="20320"/>
          <a:ext cx="2550455" cy="247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2AEF-3381-6940-9B44-A5B656CFAA76}">
  <dimension ref="A1:R484"/>
  <sheetViews>
    <sheetView showGridLines="0" tabSelected="1" topLeftCell="A173" zoomScale="130" zoomScaleNormal="130" workbookViewId="0">
      <selection activeCell="G197" sqref="G197"/>
    </sheetView>
  </sheetViews>
  <sheetFormatPr baseColWidth="10" defaultRowHeight="16"/>
  <cols>
    <col min="1" max="1" width="10.6640625" customWidth="1"/>
    <col min="2" max="2" width="20.5" customWidth="1"/>
    <col min="3" max="3" width="33.33203125" bestFit="1" customWidth="1"/>
    <col min="4" max="4" width="24.33203125" customWidth="1"/>
    <col min="5" max="5" width="13.83203125" customWidth="1"/>
    <col min="6" max="6" width="13.33203125" customWidth="1"/>
    <col min="7" max="7" width="13.83203125" customWidth="1"/>
    <col min="8" max="8" width="15" customWidth="1"/>
    <col min="9" max="9" width="11.5" customWidth="1"/>
    <col min="10" max="10" width="6.33203125" style="27" customWidth="1"/>
    <col min="11" max="18" width="10.83203125" style="26"/>
  </cols>
  <sheetData>
    <row r="1" spans="1:18" s="27" customFormat="1">
      <c r="A1" s="26"/>
      <c r="B1" s="36" t="s">
        <v>73</v>
      </c>
      <c r="C1" s="26"/>
      <c r="D1" s="26"/>
      <c r="E1" s="26"/>
      <c r="F1" s="26"/>
      <c r="G1" s="36" t="s">
        <v>74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s="27" customFormat="1">
      <c r="A2" s="26"/>
      <c r="B2" s="36"/>
      <c r="C2" s="26"/>
      <c r="D2" s="26"/>
      <c r="E2" s="26"/>
      <c r="F2" s="26"/>
      <c r="G2" s="3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s="27" customFormat="1">
      <c r="A3" s="26"/>
      <c r="B3" s="36"/>
      <c r="C3" s="26"/>
      <c r="D3" s="26"/>
      <c r="E3" s="26"/>
      <c r="F3" s="26"/>
      <c r="G3" s="3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s="27" customFormat="1">
      <c r="A4" s="26"/>
      <c r="B4" s="36"/>
      <c r="C4" s="26"/>
      <c r="D4" s="26"/>
      <c r="E4" s="26"/>
      <c r="F4" s="26"/>
      <c r="G4" s="3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s="27" customFormat="1">
      <c r="A5" s="26"/>
      <c r="B5" s="36"/>
      <c r="C5" s="26"/>
      <c r="D5" s="26"/>
      <c r="E5" s="26"/>
      <c r="F5" s="26"/>
      <c r="G5" s="3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s="27" customForma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ht="33">
      <c r="A7" s="26"/>
      <c r="B7" s="1"/>
      <c r="C7" s="2"/>
      <c r="D7" s="2"/>
      <c r="E7" s="3"/>
      <c r="F7" s="3"/>
      <c r="G7" s="4"/>
      <c r="H7" s="4"/>
      <c r="I7" s="26"/>
      <c r="J7" s="26"/>
    </row>
    <row r="8" spans="1:18" ht="33">
      <c r="A8" s="26"/>
      <c r="B8" s="1"/>
      <c r="C8" s="2"/>
      <c r="D8" s="2"/>
      <c r="E8" s="3"/>
      <c r="F8" s="3"/>
      <c r="G8" s="4"/>
      <c r="H8" s="4"/>
      <c r="I8" s="26"/>
      <c r="J8" s="26"/>
    </row>
    <row r="9" spans="1:18" ht="33">
      <c r="A9" s="26"/>
      <c r="B9" s="1"/>
      <c r="C9" s="2"/>
      <c r="D9" s="28" t="s">
        <v>77</v>
      </c>
      <c r="E9" s="3"/>
      <c r="F9" s="3"/>
      <c r="G9" s="4"/>
      <c r="H9" s="4"/>
      <c r="I9" s="26"/>
      <c r="J9" s="26"/>
    </row>
    <row r="10" spans="1:18" ht="20" customHeight="1">
      <c r="A10" s="26"/>
      <c r="B10" s="5"/>
      <c r="C10" s="2"/>
      <c r="D10" s="44" t="s">
        <v>78</v>
      </c>
      <c r="E10" s="3"/>
      <c r="F10" s="3"/>
      <c r="G10" s="4"/>
      <c r="H10" s="4"/>
      <c r="I10" s="26"/>
      <c r="J10" s="26"/>
    </row>
    <row r="11" spans="1:18" ht="13" customHeight="1">
      <c r="A11" s="26"/>
      <c r="B11" s="4"/>
      <c r="C11" s="6"/>
      <c r="D11" s="6"/>
      <c r="E11" s="6"/>
      <c r="F11" s="6"/>
      <c r="G11" s="4"/>
      <c r="H11" s="4"/>
      <c r="I11" s="26"/>
      <c r="J11" s="26"/>
    </row>
    <row r="12" spans="1:18">
      <c r="A12" s="26"/>
      <c r="B12" s="7"/>
      <c r="C12" s="7"/>
      <c r="D12" s="7"/>
      <c r="E12" s="7"/>
      <c r="F12" s="7"/>
      <c r="G12" s="4"/>
      <c r="H12" s="4"/>
      <c r="I12" s="26"/>
      <c r="J12" s="26"/>
    </row>
    <row r="13" spans="1:18">
      <c r="A13" s="26"/>
      <c r="B13" s="5" t="s">
        <v>488</v>
      </c>
      <c r="C13" s="150"/>
      <c r="D13" s="151"/>
      <c r="E13" s="8"/>
      <c r="F13" s="5" t="s">
        <v>489</v>
      </c>
      <c r="G13" s="124"/>
      <c r="H13" s="125"/>
      <c r="I13" s="126"/>
      <c r="J13" s="26"/>
    </row>
    <row r="14" spans="1:18">
      <c r="A14" s="26"/>
      <c r="B14" s="4" t="s">
        <v>2</v>
      </c>
      <c r="C14" s="152"/>
      <c r="D14" s="152"/>
      <c r="E14" s="8"/>
      <c r="F14" s="4" t="s">
        <v>2</v>
      </c>
      <c r="G14" s="124"/>
      <c r="H14" s="125"/>
      <c r="I14" s="126"/>
      <c r="J14" s="26"/>
    </row>
    <row r="15" spans="1:18">
      <c r="A15" s="26"/>
      <c r="B15" s="4" t="s">
        <v>3</v>
      </c>
      <c r="C15" s="152"/>
      <c r="D15" s="152"/>
      <c r="E15" s="8"/>
      <c r="F15" s="4" t="s">
        <v>3</v>
      </c>
      <c r="G15" s="124"/>
      <c r="H15" s="125"/>
      <c r="I15" s="126"/>
      <c r="J15" s="26"/>
    </row>
    <row r="16" spans="1:18">
      <c r="A16" s="26"/>
      <c r="B16" s="4" t="s">
        <v>4</v>
      </c>
      <c r="C16" s="152"/>
      <c r="D16" s="152"/>
      <c r="E16" s="8"/>
      <c r="F16" s="4" t="s">
        <v>4</v>
      </c>
      <c r="G16" s="124"/>
      <c r="H16" s="125"/>
      <c r="I16" s="126"/>
      <c r="J16" s="26"/>
    </row>
    <row r="17" spans="1:11">
      <c r="A17" s="26"/>
      <c r="B17" s="4" t="s">
        <v>5</v>
      </c>
      <c r="C17" s="155"/>
      <c r="D17" s="156"/>
      <c r="E17" s="8"/>
      <c r="F17" s="4" t="s">
        <v>5</v>
      </c>
      <c r="G17" s="124"/>
      <c r="H17" s="125"/>
      <c r="I17" s="126"/>
      <c r="J17" s="26"/>
    </row>
    <row r="18" spans="1:11">
      <c r="A18" s="26"/>
      <c r="B18" s="4" t="s">
        <v>6</v>
      </c>
      <c r="C18" s="150"/>
      <c r="D18" s="151"/>
      <c r="E18" s="29"/>
      <c r="F18" s="4" t="s">
        <v>6</v>
      </c>
      <c r="G18" s="124"/>
      <c r="H18" s="125"/>
      <c r="I18" s="126"/>
      <c r="J18" s="26"/>
    </row>
    <row r="19" spans="1:11">
      <c r="A19" s="26"/>
      <c r="B19" s="4" t="s">
        <v>7</v>
      </c>
      <c r="C19" s="152"/>
      <c r="D19" s="152"/>
      <c r="E19" s="8"/>
      <c r="F19" s="4"/>
      <c r="G19" s="4"/>
      <c r="H19" s="4"/>
      <c r="I19" s="26"/>
      <c r="J19" s="26"/>
    </row>
    <row r="20" spans="1:11">
      <c r="A20" s="26"/>
      <c r="B20" s="4" t="s">
        <v>8</v>
      </c>
      <c r="C20" s="152"/>
      <c r="D20" s="152"/>
      <c r="E20" s="4"/>
      <c r="F20" s="4" t="s">
        <v>61</v>
      </c>
      <c r="G20" s="124"/>
      <c r="H20" s="125"/>
      <c r="I20" s="126"/>
      <c r="J20" s="26"/>
    </row>
    <row r="21" spans="1:11">
      <c r="A21" s="26"/>
      <c r="B21" s="4"/>
      <c r="C21" s="4"/>
      <c r="D21" s="4"/>
      <c r="E21" s="4"/>
      <c r="F21" s="4"/>
      <c r="G21" s="124"/>
      <c r="H21" s="125"/>
      <c r="I21" s="126"/>
      <c r="J21" s="26"/>
    </row>
    <row r="22" spans="1:11" ht="17" thickBot="1">
      <c r="A22" s="26"/>
      <c r="B22" s="109" t="s">
        <v>9</v>
      </c>
      <c r="C22" s="110">
        <f>SUM(G352)</f>
        <v>155</v>
      </c>
      <c r="D22" s="109" t="s">
        <v>10</v>
      </c>
      <c r="E22" s="111"/>
      <c r="F22" s="37"/>
      <c r="G22" s="42"/>
      <c r="H22" s="37"/>
      <c r="I22" s="38"/>
      <c r="J22" s="26"/>
    </row>
    <row r="23" spans="1:11" ht="17" thickBot="1">
      <c r="A23" s="26"/>
      <c r="B23" s="105" t="s">
        <v>11</v>
      </c>
      <c r="C23" s="39" t="s">
        <v>524</v>
      </c>
      <c r="D23" s="39" t="s">
        <v>12</v>
      </c>
      <c r="E23" s="39" t="s">
        <v>76</v>
      </c>
      <c r="F23" s="41" t="s">
        <v>484</v>
      </c>
      <c r="G23" s="78">
        <f>SUM(G215/10)</f>
        <v>12.8</v>
      </c>
      <c r="H23" s="127" t="s">
        <v>527</v>
      </c>
      <c r="I23" s="128"/>
      <c r="J23" s="26"/>
    </row>
    <row r="24" spans="1:11">
      <c r="A24" s="26"/>
      <c r="B24" s="106"/>
      <c r="C24" s="107"/>
      <c r="D24" s="40">
        <v>44805</v>
      </c>
      <c r="E24" s="108">
        <v>44617</v>
      </c>
      <c r="F24" s="4"/>
      <c r="G24" s="4"/>
      <c r="H24" s="129" t="s">
        <v>528</v>
      </c>
      <c r="I24" s="128"/>
      <c r="J24" s="26"/>
    </row>
    <row r="25" spans="1:11" ht="17" thickBot="1">
      <c r="A25" s="26"/>
      <c r="B25" s="117"/>
      <c r="C25" s="118"/>
      <c r="D25" s="119"/>
      <c r="E25" s="120"/>
      <c r="F25" s="4"/>
      <c r="G25" s="4"/>
      <c r="H25" s="121"/>
      <c r="I25" s="4"/>
      <c r="J25" s="4"/>
      <c r="K25" s="4"/>
    </row>
    <row r="26" spans="1:11">
      <c r="A26" s="26"/>
      <c r="B26" s="81" t="s">
        <v>13</v>
      </c>
      <c r="C26" s="82" t="s">
        <v>14</v>
      </c>
      <c r="D26" s="82" t="s">
        <v>15</v>
      </c>
      <c r="E26" s="83" t="s">
        <v>16</v>
      </c>
      <c r="F26" s="83" t="s">
        <v>490</v>
      </c>
      <c r="G26" s="83" t="s">
        <v>62</v>
      </c>
      <c r="H26" s="84" t="s">
        <v>19</v>
      </c>
      <c r="I26" s="26"/>
      <c r="J26" s="26"/>
    </row>
    <row r="27" spans="1:11" ht="17" thickBot="1">
      <c r="A27" s="26"/>
      <c r="B27" s="134" t="s">
        <v>485</v>
      </c>
      <c r="C27" s="135"/>
      <c r="D27" s="135"/>
      <c r="E27" s="135"/>
      <c r="F27" s="135"/>
      <c r="G27" s="135"/>
      <c r="H27" s="136"/>
      <c r="I27" s="26"/>
      <c r="J27" s="26"/>
    </row>
    <row r="28" spans="1:11" ht="16" customHeight="1">
      <c r="A28" s="26"/>
      <c r="B28" s="85" t="s">
        <v>79</v>
      </c>
      <c r="C28" s="157" t="s">
        <v>20</v>
      </c>
      <c r="D28" s="85" t="s">
        <v>91</v>
      </c>
      <c r="E28" s="89">
        <v>10</v>
      </c>
      <c r="F28" s="86" t="s">
        <v>525</v>
      </c>
      <c r="G28" s="87"/>
      <c r="H28" s="88">
        <f t="shared" ref="H28:H72" si="0">SUM(E28*G28)</f>
        <v>0</v>
      </c>
      <c r="I28" s="26"/>
      <c r="J28" s="26"/>
    </row>
    <row r="29" spans="1:11" ht="16" customHeight="1">
      <c r="A29" s="26"/>
      <c r="B29" s="12" t="s">
        <v>80</v>
      </c>
      <c r="C29" s="158"/>
      <c r="D29" s="12" t="s">
        <v>21</v>
      </c>
      <c r="E29" s="43">
        <v>10</v>
      </c>
      <c r="F29" s="86" t="s">
        <v>525</v>
      </c>
      <c r="G29" s="87"/>
      <c r="H29" s="20">
        <f t="shared" si="0"/>
        <v>0</v>
      </c>
      <c r="I29" s="26"/>
      <c r="J29" s="26"/>
    </row>
    <row r="30" spans="1:11" ht="16" customHeight="1">
      <c r="A30" s="26"/>
      <c r="B30" s="12" t="s">
        <v>81</v>
      </c>
      <c r="C30" s="158"/>
      <c r="D30" s="12" t="s">
        <v>52</v>
      </c>
      <c r="E30" s="43">
        <v>10</v>
      </c>
      <c r="F30" s="86" t="s">
        <v>525</v>
      </c>
      <c r="G30" s="87"/>
      <c r="H30" s="20">
        <f t="shared" si="0"/>
        <v>0</v>
      </c>
      <c r="I30" s="26"/>
      <c r="J30" s="26"/>
    </row>
    <row r="31" spans="1:11" ht="16" customHeight="1">
      <c r="A31" s="26"/>
      <c r="B31" s="12" t="s">
        <v>82</v>
      </c>
      <c r="C31" s="158"/>
      <c r="D31" s="12" t="s">
        <v>23</v>
      </c>
      <c r="E31" s="43">
        <v>10</v>
      </c>
      <c r="F31" s="86" t="s">
        <v>525</v>
      </c>
      <c r="G31" s="87"/>
      <c r="H31" s="20">
        <f t="shared" si="0"/>
        <v>0</v>
      </c>
      <c r="I31" s="26"/>
      <c r="J31" s="26"/>
    </row>
    <row r="32" spans="1:11" ht="16" customHeight="1">
      <c r="A32" s="26"/>
      <c r="B32" s="12" t="s">
        <v>83</v>
      </c>
      <c r="C32" s="158"/>
      <c r="D32" s="12" t="s">
        <v>41</v>
      </c>
      <c r="E32" s="43">
        <v>10</v>
      </c>
      <c r="F32" s="86" t="s">
        <v>525</v>
      </c>
      <c r="G32" s="87"/>
      <c r="H32" s="20">
        <f t="shared" si="0"/>
        <v>0</v>
      </c>
      <c r="I32" s="26"/>
      <c r="J32" s="26"/>
    </row>
    <row r="33" spans="1:10" ht="16" customHeight="1">
      <c r="A33" s="26"/>
      <c r="B33" s="12" t="s">
        <v>84</v>
      </c>
      <c r="C33" s="158"/>
      <c r="D33" s="12" t="s">
        <v>32</v>
      </c>
      <c r="E33" s="43">
        <v>10</v>
      </c>
      <c r="F33" s="86" t="s">
        <v>525</v>
      </c>
      <c r="G33" s="87"/>
      <c r="H33" s="20">
        <f t="shared" si="0"/>
        <v>0</v>
      </c>
      <c r="I33" s="26"/>
      <c r="J33" s="26"/>
    </row>
    <row r="34" spans="1:10" ht="16" customHeight="1">
      <c r="A34" s="26"/>
      <c r="B34" s="12" t="s">
        <v>85</v>
      </c>
      <c r="C34" s="158"/>
      <c r="D34" s="12" t="s">
        <v>25</v>
      </c>
      <c r="E34" s="43">
        <v>10</v>
      </c>
      <c r="F34" s="86" t="s">
        <v>525</v>
      </c>
      <c r="G34" s="87"/>
      <c r="H34" s="20">
        <f t="shared" si="0"/>
        <v>0</v>
      </c>
      <c r="I34" s="26"/>
      <c r="J34" s="26"/>
    </row>
    <row r="35" spans="1:10" ht="16" customHeight="1">
      <c r="A35" s="26"/>
      <c r="B35" s="12" t="s">
        <v>86</v>
      </c>
      <c r="C35" s="158"/>
      <c r="D35" s="12" t="s">
        <v>40</v>
      </c>
      <c r="E35" s="43">
        <v>10</v>
      </c>
      <c r="F35" s="86" t="s">
        <v>525</v>
      </c>
      <c r="G35" s="87"/>
      <c r="H35" s="20">
        <f t="shared" si="0"/>
        <v>0</v>
      </c>
      <c r="I35" s="26"/>
      <c r="J35" s="26"/>
    </row>
    <row r="36" spans="1:10" ht="16" customHeight="1">
      <c r="A36" s="26"/>
      <c r="B36" s="12" t="s">
        <v>87</v>
      </c>
      <c r="C36" s="158"/>
      <c r="D36" s="12" t="s">
        <v>92</v>
      </c>
      <c r="E36" s="43">
        <v>10</v>
      </c>
      <c r="F36" s="86" t="s">
        <v>525</v>
      </c>
      <c r="G36" s="87"/>
      <c r="H36" s="20">
        <f t="shared" si="0"/>
        <v>0</v>
      </c>
      <c r="I36" s="26"/>
      <c r="J36" s="26"/>
    </row>
    <row r="37" spans="1:10" ht="16" customHeight="1">
      <c r="A37" s="26"/>
      <c r="B37" s="12" t="s">
        <v>88</v>
      </c>
      <c r="C37" s="158"/>
      <c r="D37" s="12" t="s">
        <v>39</v>
      </c>
      <c r="E37" s="43">
        <v>10</v>
      </c>
      <c r="F37" s="86" t="s">
        <v>525</v>
      </c>
      <c r="G37" s="87"/>
      <c r="H37" s="20">
        <f t="shared" si="0"/>
        <v>0</v>
      </c>
      <c r="I37" s="26"/>
      <c r="J37" s="26"/>
    </row>
    <row r="38" spans="1:10" ht="16" customHeight="1">
      <c r="A38" s="26"/>
      <c r="B38" s="12" t="s">
        <v>89</v>
      </c>
      <c r="C38" s="158"/>
      <c r="D38" s="12" t="s">
        <v>45</v>
      </c>
      <c r="E38" s="43">
        <v>10</v>
      </c>
      <c r="F38" s="86" t="s">
        <v>525</v>
      </c>
      <c r="G38" s="87"/>
      <c r="H38" s="20">
        <f t="shared" si="0"/>
        <v>0</v>
      </c>
      <c r="I38" s="26"/>
      <c r="J38" s="26"/>
    </row>
    <row r="39" spans="1:10" ht="16" customHeight="1">
      <c r="A39" s="26"/>
      <c r="B39" s="12" t="s">
        <v>90</v>
      </c>
      <c r="C39" s="158"/>
      <c r="D39" s="12" t="s">
        <v>24</v>
      </c>
      <c r="E39" s="43">
        <v>10</v>
      </c>
      <c r="F39" s="86" t="s">
        <v>525</v>
      </c>
      <c r="G39" s="87"/>
      <c r="H39" s="20">
        <f t="shared" si="0"/>
        <v>0</v>
      </c>
      <c r="I39" s="26"/>
      <c r="J39" s="26"/>
    </row>
    <row r="40" spans="1:10" ht="16" customHeight="1">
      <c r="A40" s="26"/>
      <c r="B40" s="14" t="s">
        <v>93</v>
      </c>
      <c r="C40" s="149" t="s">
        <v>113</v>
      </c>
      <c r="D40" s="14" t="s">
        <v>47</v>
      </c>
      <c r="E40" s="80">
        <v>13</v>
      </c>
      <c r="F40" s="123" t="s">
        <v>525</v>
      </c>
      <c r="G40" s="14"/>
      <c r="H40" s="16">
        <f t="shared" si="0"/>
        <v>0</v>
      </c>
      <c r="I40" s="26"/>
      <c r="J40" s="26"/>
    </row>
    <row r="41" spans="1:10" ht="16" customHeight="1">
      <c r="A41" s="26"/>
      <c r="B41" s="14" t="s">
        <v>94</v>
      </c>
      <c r="C41" s="149"/>
      <c r="D41" s="14" t="s">
        <v>32</v>
      </c>
      <c r="E41" s="80">
        <v>13</v>
      </c>
      <c r="F41" s="123" t="s">
        <v>525</v>
      </c>
      <c r="G41" s="14"/>
      <c r="H41" s="16">
        <f t="shared" si="0"/>
        <v>0</v>
      </c>
      <c r="I41" s="26"/>
      <c r="J41" s="26"/>
    </row>
    <row r="42" spans="1:10" ht="16" customHeight="1">
      <c r="A42" s="26"/>
      <c r="B42" s="14" t="s">
        <v>95</v>
      </c>
      <c r="C42" s="149"/>
      <c r="D42" s="14" t="s">
        <v>31</v>
      </c>
      <c r="E42" s="80">
        <v>13</v>
      </c>
      <c r="F42" s="123" t="s">
        <v>525</v>
      </c>
      <c r="G42" s="14"/>
      <c r="H42" s="16">
        <f t="shared" si="0"/>
        <v>0</v>
      </c>
      <c r="I42" s="26"/>
      <c r="J42" s="26"/>
    </row>
    <row r="43" spans="1:10" ht="16" customHeight="1">
      <c r="A43" s="26"/>
      <c r="B43" s="12" t="s">
        <v>96</v>
      </c>
      <c r="C43" s="144" t="s">
        <v>100</v>
      </c>
      <c r="D43" s="12" t="s">
        <v>91</v>
      </c>
      <c r="E43" s="17">
        <v>12</v>
      </c>
      <c r="F43" s="86" t="s">
        <v>525</v>
      </c>
      <c r="G43" s="19"/>
      <c r="H43" s="20">
        <f t="shared" si="0"/>
        <v>0</v>
      </c>
      <c r="I43" s="26"/>
      <c r="J43" s="26"/>
    </row>
    <row r="44" spans="1:10" ht="16" customHeight="1">
      <c r="A44" s="26"/>
      <c r="B44" s="12" t="s">
        <v>97</v>
      </c>
      <c r="C44" s="144"/>
      <c r="D44" s="12" t="s">
        <v>21</v>
      </c>
      <c r="E44" s="17">
        <v>12</v>
      </c>
      <c r="F44" s="86" t="s">
        <v>525</v>
      </c>
      <c r="G44" s="19"/>
      <c r="H44" s="20">
        <f t="shared" si="0"/>
        <v>0</v>
      </c>
      <c r="I44" s="26"/>
      <c r="J44" s="26"/>
    </row>
    <row r="45" spans="1:10" ht="16" customHeight="1">
      <c r="A45" s="26"/>
      <c r="B45" s="12" t="s">
        <v>98</v>
      </c>
      <c r="C45" s="144"/>
      <c r="D45" s="12" t="s">
        <v>23</v>
      </c>
      <c r="E45" s="17">
        <v>12</v>
      </c>
      <c r="F45" s="86" t="s">
        <v>525</v>
      </c>
      <c r="G45" s="19"/>
      <c r="H45" s="20">
        <f t="shared" si="0"/>
        <v>0</v>
      </c>
      <c r="I45" s="26"/>
      <c r="J45" s="26"/>
    </row>
    <row r="46" spans="1:10" ht="16" customHeight="1">
      <c r="A46" s="26"/>
      <c r="B46" s="12" t="s">
        <v>99</v>
      </c>
      <c r="C46" s="144"/>
      <c r="D46" s="12" t="s">
        <v>42</v>
      </c>
      <c r="E46" s="17">
        <v>12</v>
      </c>
      <c r="F46" s="86" t="s">
        <v>525</v>
      </c>
      <c r="G46" s="19"/>
      <c r="H46" s="20">
        <f t="shared" si="0"/>
        <v>0</v>
      </c>
      <c r="I46" s="26"/>
      <c r="J46" s="26"/>
    </row>
    <row r="47" spans="1:10" ht="16" customHeight="1">
      <c r="A47" s="26"/>
      <c r="B47" s="14" t="s">
        <v>101</v>
      </c>
      <c r="C47" s="149" t="s">
        <v>114</v>
      </c>
      <c r="D47" s="14" t="s">
        <v>21</v>
      </c>
      <c r="E47" s="15">
        <v>12</v>
      </c>
      <c r="F47" s="123" t="s">
        <v>525</v>
      </c>
      <c r="G47" s="14">
        <v>3</v>
      </c>
      <c r="H47" s="16">
        <f t="shared" si="0"/>
        <v>36</v>
      </c>
      <c r="I47" s="26"/>
      <c r="J47" s="26"/>
    </row>
    <row r="48" spans="1:10" ht="16" customHeight="1">
      <c r="A48" s="26"/>
      <c r="B48" s="14" t="s">
        <v>102</v>
      </c>
      <c r="C48" s="149"/>
      <c r="D48" s="14" t="s">
        <v>105</v>
      </c>
      <c r="E48" s="15">
        <v>12</v>
      </c>
      <c r="F48" s="123" t="s">
        <v>525</v>
      </c>
      <c r="G48" s="14"/>
      <c r="H48" s="16">
        <f t="shared" si="0"/>
        <v>0</v>
      </c>
      <c r="I48" s="26"/>
      <c r="J48" s="26"/>
    </row>
    <row r="49" spans="1:10" ht="16" customHeight="1">
      <c r="A49" s="26"/>
      <c r="B49" s="14" t="s">
        <v>103</v>
      </c>
      <c r="C49" s="149"/>
      <c r="D49" s="14" t="s">
        <v>25</v>
      </c>
      <c r="E49" s="15">
        <v>12</v>
      </c>
      <c r="F49" s="123" t="s">
        <v>525</v>
      </c>
      <c r="G49" s="14">
        <v>3</v>
      </c>
      <c r="H49" s="16">
        <f t="shared" si="0"/>
        <v>36</v>
      </c>
      <c r="I49" s="26"/>
      <c r="J49" s="26"/>
    </row>
    <row r="50" spans="1:10" ht="16" customHeight="1">
      <c r="A50" s="26"/>
      <c r="B50" s="14" t="s">
        <v>104</v>
      </c>
      <c r="C50" s="149"/>
      <c r="D50" s="14" t="s">
        <v>39</v>
      </c>
      <c r="E50" s="15">
        <v>12</v>
      </c>
      <c r="F50" s="123" t="s">
        <v>525</v>
      </c>
      <c r="G50" s="14">
        <v>3</v>
      </c>
      <c r="H50" s="16">
        <f t="shared" si="0"/>
        <v>36</v>
      </c>
      <c r="I50" s="26"/>
      <c r="J50" s="26"/>
    </row>
    <row r="51" spans="1:10" ht="16" customHeight="1">
      <c r="A51" s="26"/>
      <c r="B51" s="12" t="s">
        <v>106</v>
      </c>
      <c r="C51" s="144" t="s">
        <v>115</v>
      </c>
      <c r="D51" s="12" t="s">
        <v>21</v>
      </c>
      <c r="E51" s="17">
        <v>12</v>
      </c>
      <c r="F51" s="86" t="s">
        <v>525</v>
      </c>
      <c r="G51" s="19">
        <v>3</v>
      </c>
      <c r="H51" s="20">
        <f t="shared" si="0"/>
        <v>36</v>
      </c>
      <c r="I51" s="26"/>
      <c r="J51" s="26"/>
    </row>
    <row r="52" spans="1:10" ht="16" customHeight="1">
      <c r="A52" s="26"/>
      <c r="B52" s="12" t="s">
        <v>107</v>
      </c>
      <c r="C52" s="144"/>
      <c r="D52" s="12" t="s">
        <v>111</v>
      </c>
      <c r="E52" s="17">
        <v>12</v>
      </c>
      <c r="F52" s="86" t="s">
        <v>525</v>
      </c>
      <c r="G52" s="19"/>
      <c r="H52" s="20">
        <f t="shared" si="0"/>
        <v>0</v>
      </c>
      <c r="I52" s="26"/>
      <c r="J52" s="26"/>
    </row>
    <row r="53" spans="1:10" ht="16" customHeight="1">
      <c r="A53" s="26"/>
      <c r="B53" s="12" t="s">
        <v>108</v>
      </c>
      <c r="C53" s="144"/>
      <c r="D53" s="12" t="s">
        <v>42</v>
      </c>
      <c r="E53" s="17">
        <v>12</v>
      </c>
      <c r="F53" s="86" t="s">
        <v>525</v>
      </c>
      <c r="G53" s="19">
        <v>3</v>
      </c>
      <c r="H53" s="20">
        <f t="shared" si="0"/>
        <v>36</v>
      </c>
      <c r="I53" s="26"/>
      <c r="J53" s="26"/>
    </row>
    <row r="54" spans="1:10" ht="16" customHeight="1">
      <c r="A54" s="26"/>
      <c r="B54" s="12" t="s">
        <v>109</v>
      </c>
      <c r="C54" s="144"/>
      <c r="D54" s="12" t="s">
        <v>112</v>
      </c>
      <c r="E54" s="17">
        <v>12</v>
      </c>
      <c r="F54" s="86" t="s">
        <v>525</v>
      </c>
      <c r="G54" s="19">
        <v>3</v>
      </c>
      <c r="H54" s="20">
        <f t="shared" si="0"/>
        <v>36</v>
      </c>
      <c r="I54" s="26"/>
      <c r="J54" s="26"/>
    </row>
    <row r="55" spans="1:10" ht="16" customHeight="1">
      <c r="A55" s="26"/>
      <c r="B55" s="12" t="s">
        <v>110</v>
      </c>
      <c r="C55" s="145"/>
      <c r="D55" s="12" t="s">
        <v>45</v>
      </c>
      <c r="E55" s="17">
        <v>12</v>
      </c>
      <c r="F55" s="86" t="s">
        <v>525</v>
      </c>
      <c r="G55" s="19"/>
      <c r="H55" s="20">
        <f t="shared" si="0"/>
        <v>0</v>
      </c>
      <c r="I55" s="26"/>
      <c r="J55" s="26"/>
    </row>
    <row r="56" spans="1:10" ht="16" customHeight="1">
      <c r="A56" s="26"/>
      <c r="B56" s="14" t="s">
        <v>117</v>
      </c>
      <c r="C56" s="149" t="s">
        <v>116</v>
      </c>
      <c r="D56" s="14" t="s">
        <v>21</v>
      </c>
      <c r="E56" s="15">
        <v>12</v>
      </c>
      <c r="F56" s="123" t="s">
        <v>525</v>
      </c>
      <c r="G56" s="14">
        <v>3</v>
      </c>
      <c r="H56" s="16">
        <f t="shared" si="0"/>
        <v>36</v>
      </c>
      <c r="I56" s="26"/>
      <c r="J56" s="26"/>
    </row>
    <row r="57" spans="1:10" ht="16" customHeight="1">
      <c r="A57" s="26"/>
      <c r="B57" s="14" t="s">
        <v>118</v>
      </c>
      <c r="C57" s="149"/>
      <c r="D57" s="14" t="s">
        <v>32</v>
      </c>
      <c r="E57" s="15">
        <v>12</v>
      </c>
      <c r="F57" s="123" t="s">
        <v>525</v>
      </c>
      <c r="G57" s="14"/>
      <c r="H57" s="16">
        <f t="shared" si="0"/>
        <v>0</v>
      </c>
      <c r="I57" s="26"/>
      <c r="J57" s="26"/>
    </row>
    <row r="58" spans="1:10" ht="16" customHeight="1">
      <c r="A58" s="26"/>
      <c r="B58" s="14" t="s">
        <v>119</v>
      </c>
      <c r="C58" s="149"/>
      <c r="D58" s="14" t="s">
        <v>25</v>
      </c>
      <c r="E58" s="15">
        <v>12</v>
      </c>
      <c r="F58" s="123" t="s">
        <v>525</v>
      </c>
      <c r="G58" s="14"/>
      <c r="H58" s="16">
        <f t="shared" si="0"/>
        <v>0</v>
      </c>
      <c r="I58" s="26"/>
      <c r="J58" s="26"/>
    </row>
    <row r="59" spans="1:10" ht="16" customHeight="1">
      <c r="A59" s="26"/>
      <c r="B59" s="14" t="s">
        <v>120</v>
      </c>
      <c r="C59" s="149"/>
      <c r="D59" s="14" t="s">
        <v>39</v>
      </c>
      <c r="E59" s="15">
        <v>12</v>
      </c>
      <c r="F59" s="123" t="s">
        <v>525</v>
      </c>
      <c r="G59" s="14">
        <v>3</v>
      </c>
      <c r="H59" s="16">
        <f t="shared" si="0"/>
        <v>36</v>
      </c>
      <c r="I59" s="26"/>
      <c r="J59" s="26"/>
    </row>
    <row r="60" spans="1:10" ht="16" customHeight="1">
      <c r="A60" s="26"/>
      <c r="B60" s="12" t="s">
        <v>122</v>
      </c>
      <c r="C60" s="144" t="s">
        <v>121</v>
      </c>
      <c r="D60" s="12" t="s">
        <v>125</v>
      </c>
      <c r="E60" s="17">
        <v>12</v>
      </c>
      <c r="F60" s="86" t="s">
        <v>525</v>
      </c>
      <c r="G60" s="19"/>
      <c r="H60" s="20">
        <f t="shared" si="0"/>
        <v>0</v>
      </c>
      <c r="I60" s="26"/>
      <c r="J60" s="26"/>
    </row>
    <row r="61" spans="1:10" ht="16" customHeight="1">
      <c r="A61" s="26"/>
      <c r="B61" s="12" t="s">
        <v>123</v>
      </c>
      <c r="C61" s="145"/>
      <c r="D61" s="12" t="s">
        <v>126</v>
      </c>
      <c r="E61" s="17">
        <v>12</v>
      </c>
      <c r="F61" s="86" t="s">
        <v>525</v>
      </c>
      <c r="G61" s="19"/>
      <c r="H61" s="20">
        <f t="shared" si="0"/>
        <v>0</v>
      </c>
      <c r="I61" s="26"/>
      <c r="J61" s="26"/>
    </row>
    <row r="62" spans="1:10" ht="16" customHeight="1">
      <c r="A62" s="26"/>
      <c r="B62" s="12" t="s">
        <v>124</v>
      </c>
      <c r="C62" s="145"/>
      <c r="D62" s="12" t="s">
        <v>31</v>
      </c>
      <c r="E62" s="17">
        <v>12</v>
      </c>
      <c r="F62" s="86" t="s">
        <v>525</v>
      </c>
      <c r="G62" s="19"/>
      <c r="H62" s="20">
        <f t="shared" si="0"/>
        <v>0</v>
      </c>
      <c r="I62" s="26"/>
      <c r="J62" s="26"/>
    </row>
    <row r="63" spans="1:10" ht="16" customHeight="1">
      <c r="A63" s="26"/>
      <c r="B63" s="14" t="s">
        <v>127</v>
      </c>
      <c r="C63" s="149" t="s">
        <v>130</v>
      </c>
      <c r="D63" s="14" t="s">
        <v>21</v>
      </c>
      <c r="E63" s="15">
        <v>12</v>
      </c>
      <c r="F63" s="123" t="s">
        <v>525</v>
      </c>
      <c r="G63" s="14"/>
      <c r="H63" s="16">
        <f t="shared" si="0"/>
        <v>0</v>
      </c>
      <c r="I63" s="26"/>
      <c r="J63" s="26"/>
    </row>
    <row r="64" spans="1:10" ht="16" customHeight="1">
      <c r="A64" s="26"/>
      <c r="B64" s="14" t="s">
        <v>128</v>
      </c>
      <c r="C64" s="149"/>
      <c r="D64" s="14" t="s">
        <v>131</v>
      </c>
      <c r="E64" s="15">
        <v>12</v>
      </c>
      <c r="F64" s="123" t="s">
        <v>525</v>
      </c>
      <c r="G64" s="14"/>
      <c r="H64" s="16">
        <f t="shared" si="0"/>
        <v>0</v>
      </c>
      <c r="I64" s="26"/>
      <c r="J64" s="26"/>
    </row>
    <row r="65" spans="1:10" ht="16" customHeight="1">
      <c r="A65" s="26"/>
      <c r="B65" s="14" t="s">
        <v>129</v>
      </c>
      <c r="C65" s="149"/>
      <c r="D65" s="14" t="s">
        <v>42</v>
      </c>
      <c r="E65" s="15">
        <v>12</v>
      </c>
      <c r="F65" s="123" t="s">
        <v>525</v>
      </c>
      <c r="G65" s="14"/>
      <c r="H65" s="16">
        <f t="shared" si="0"/>
        <v>0</v>
      </c>
      <c r="I65" s="26"/>
      <c r="J65" s="26"/>
    </row>
    <row r="66" spans="1:10" ht="16" customHeight="1">
      <c r="A66" s="26"/>
      <c r="B66" s="12" t="s">
        <v>133</v>
      </c>
      <c r="C66" s="144" t="s">
        <v>132</v>
      </c>
      <c r="D66" s="12" t="s">
        <v>21</v>
      </c>
      <c r="E66" s="17">
        <v>12</v>
      </c>
      <c r="F66" s="86" t="s">
        <v>525</v>
      </c>
      <c r="G66" s="19"/>
      <c r="H66" s="20">
        <f t="shared" si="0"/>
        <v>0</v>
      </c>
      <c r="I66" s="26"/>
      <c r="J66" s="26"/>
    </row>
    <row r="67" spans="1:10" ht="16" customHeight="1">
      <c r="A67" s="26"/>
      <c r="B67" s="12" t="s">
        <v>134</v>
      </c>
      <c r="C67" s="145"/>
      <c r="D67" s="12" t="s">
        <v>32</v>
      </c>
      <c r="E67" s="17">
        <v>12</v>
      </c>
      <c r="F67" s="86" t="s">
        <v>525</v>
      </c>
      <c r="G67" s="19"/>
      <c r="H67" s="20">
        <f t="shared" si="0"/>
        <v>0</v>
      </c>
      <c r="I67" s="26"/>
      <c r="J67" s="26"/>
    </row>
    <row r="68" spans="1:10" ht="16" customHeight="1">
      <c r="A68" s="26"/>
      <c r="B68" s="12" t="s">
        <v>135</v>
      </c>
      <c r="C68" s="145"/>
      <c r="D68" s="12" t="s">
        <v>136</v>
      </c>
      <c r="E68" s="17">
        <v>12</v>
      </c>
      <c r="F68" s="86" t="s">
        <v>525</v>
      </c>
      <c r="G68" s="19"/>
      <c r="H68" s="20">
        <f t="shared" si="0"/>
        <v>0</v>
      </c>
      <c r="I68" s="26"/>
      <c r="J68" s="26"/>
    </row>
    <row r="69" spans="1:10" ht="16" customHeight="1">
      <c r="A69" s="26"/>
      <c r="B69" s="14" t="s">
        <v>138</v>
      </c>
      <c r="C69" s="149" t="s">
        <v>137</v>
      </c>
      <c r="D69" s="14" t="s">
        <v>21</v>
      </c>
      <c r="E69" s="15">
        <v>12</v>
      </c>
      <c r="F69" s="123" t="s">
        <v>525</v>
      </c>
      <c r="G69" s="14"/>
      <c r="H69" s="16">
        <f t="shared" si="0"/>
        <v>0</v>
      </c>
      <c r="I69" s="26"/>
      <c r="J69" s="26"/>
    </row>
    <row r="70" spans="1:10" ht="16" customHeight="1">
      <c r="A70" s="26"/>
      <c r="B70" s="14" t="s">
        <v>139</v>
      </c>
      <c r="C70" s="149"/>
      <c r="D70" s="14" t="s">
        <v>125</v>
      </c>
      <c r="E70" s="15">
        <v>12</v>
      </c>
      <c r="F70" s="123" t="s">
        <v>525</v>
      </c>
      <c r="G70" s="14"/>
      <c r="H70" s="16">
        <f t="shared" si="0"/>
        <v>0</v>
      </c>
      <c r="I70" s="26"/>
      <c r="J70" s="26"/>
    </row>
    <row r="71" spans="1:10" ht="16" customHeight="1">
      <c r="A71" s="26"/>
      <c r="B71" s="14" t="s">
        <v>140</v>
      </c>
      <c r="C71" s="149"/>
      <c r="D71" s="14" t="s">
        <v>32</v>
      </c>
      <c r="E71" s="15">
        <v>12</v>
      </c>
      <c r="F71" s="123" t="s">
        <v>525</v>
      </c>
      <c r="G71" s="14"/>
      <c r="H71" s="16">
        <f t="shared" si="0"/>
        <v>0</v>
      </c>
      <c r="I71" s="26"/>
      <c r="J71" s="26"/>
    </row>
    <row r="72" spans="1:10" ht="16" customHeight="1">
      <c r="A72" s="26"/>
      <c r="B72" s="14" t="s">
        <v>141</v>
      </c>
      <c r="C72" s="149"/>
      <c r="D72" s="14" t="s">
        <v>31</v>
      </c>
      <c r="E72" s="15">
        <v>12</v>
      </c>
      <c r="F72" s="123" t="s">
        <v>525</v>
      </c>
      <c r="G72" s="14"/>
      <c r="H72" s="16">
        <f t="shared" si="0"/>
        <v>0</v>
      </c>
      <c r="I72" s="26"/>
      <c r="J72" s="26"/>
    </row>
    <row r="73" spans="1:10" ht="16" customHeight="1">
      <c r="A73" s="26"/>
      <c r="B73" s="14" t="s">
        <v>142</v>
      </c>
      <c r="C73" s="149"/>
      <c r="D73" s="14" t="s">
        <v>143</v>
      </c>
      <c r="E73" s="15">
        <v>12</v>
      </c>
      <c r="F73" s="123" t="s">
        <v>525</v>
      </c>
      <c r="G73" s="14"/>
      <c r="H73" s="16">
        <f t="shared" ref="H73:H111" si="1">SUM(E73*G73)</f>
        <v>0</v>
      </c>
      <c r="I73" s="26"/>
      <c r="J73" s="26"/>
    </row>
    <row r="74" spans="1:10" ht="16" customHeight="1">
      <c r="A74" s="26"/>
      <c r="B74" s="137" t="s">
        <v>486</v>
      </c>
      <c r="C74" s="138"/>
      <c r="D74" s="138"/>
      <c r="E74" s="138"/>
      <c r="F74" s="138"/>
      <c r="G74" s="138"/>
      <c r="H74" s="139"/>
      <c r="I74" s="26"/>
      <c r="J74" s="26"/>
    </row>
    <row r="75" spans="1:10" ht="16" customHeight="1">
      <c r="A75" s="26"/>
      <c r="B75" s="12" t="s">
        <v>144</v>
      </c>
      <c r="C75" s="144" t="s">
        <v>27</v>
      </c>
      <c r="D75" s="12" t="s">
        <v>21</v>
      </c>
      <c r="E75" s="17">
        <v>11</v>
      </c>
      <c r="F75" s="56" t="s">
        <v>525</v>
      </c>
      <c r="G75" s="19">
        <v>3</v>
      </c>
      <c r="H75" s="20">
        <f t="shared" si="1"/>
        <v>33</v>
      </c>
      <c r="I75" s="26"/>
      <c r="J75" s="26"/>
    </row>
    <row r="76" spans="1:10" ht="16" customHeight="1">
      <c r="A76" s="26"/>
      <c r="B76" s="12" t="s">
        <v>145</v>
      </c>
      <c r="C76" s="144"/>
      <c r="D76" s="12" t="s">
        <v>156</v>
      </c>
      <c r="E76" s="17">
        <v>11</v>
      </c>
      <c r="F76" s="56" t="s">
        <v>525</v>
      </c>
      <c r="G76" s="19">
        <v>3</v>
      </c>
      <c r="H76" s="20">
        <f t="shared" si="1"/>
        <v>33</v>
      </c>
      <c r="I76" s="26"/>
      <c r="J76" s="26"/>
    </row>
    <row r="77" spans="1:10" ht="16" customHeight="1">
      <c r="A77" s="26"/>
      <c r="B77" s="12" t="s">
        <v>146</v>
      </c>
      <c r="C77" s="144"/>
      <c r="D77" s="12" t="s">
        <v>125</v>
      </c>
      <c r="E77" s="17">
        <v>11</v>
      </c>
      <c r="F77" s="56" t="s">
        <v>525</v>
      </c>
      <c r="G77" s="19"/>
      <c r="H77" s="20">
        <f t="shared" si="1"/>
        <v>0</v>
      </c>
      <c r="I77" s="26"/>
      <c r="J77" s="26"/>
    </row>
    <row r="78" spans="1:10" ht="16" customHeight="1">
      <c r="A78" s="26"/>
      <c r="B78" s="12" t="s">
        <v>147</v>
      </c>
      <c r="C78" s="144"/>
      <c r="D78" s="12" t="s">
        <v>28</v>
      </c>
      <c r="E78" s="17">
        <v>11</v>
      </c>
      <c r="F78" s="56" t="s">
        <v>525</v>
      </c>
      <c r="G78" s="19"/>
      <c r="H78" s="20">
        <f t="shared" si="1"/>
        <v>0</v>
      </c>
      <c r="I78" s="26"/>
      <c r="J78" s="26"/>
    </row>
    <row r="79" spans="1:10" ht="16" customHeight="1">
      <c r="A79" s="26"/>
      <c r="B79" s="12" t="s">
        <v>148</v>
      </c>
      <c r="C79" s="144"/>
      <c r="D79" s="12" t="s">
        <v>157</v>
      </c>
      <c r="E79" s="17">
        <v>11</v>
      </c>
      <c r="F79" s="56" t="s">
        <v>525</v>
      </c>
      <c r="G79" s="19">
        <v>3</v>
      </c>
      <c r="H79" s="20">
        <f t="shared" si="1"/>
        <v>33</v>
      </c>
      <c r="I79" s="26"/>
      <c r="J79" s="26"/>
    </row>
    <row r="80" spans="1:10" ht="16" customHeight="1">
      <c r="A80" s="26"/>
      <c r="B80" s="12" t="s">
        <v>149</v>
      </c>
      <c r="C80" s="144"/>
      <c r="D80" s="12" t="s">
        <v>143</v>
      </c>
      <c r="E80" s="17">
        <v>11</v>
      </c>
      <c r="F80" s="56" t="s">
        <v>525</v>
      </c>
      <c r="G80" s="19">
        <v>3</v>
      </c>
      <c r="H80" s="20">
        <f t="shared" si="1"/>
        <v>33</v>
      </c>
      <c r="I80" s="26"/>
      <c r="J80" s="26"/>
    </row>
    <row r="81" spans="1:10" ht="16" customHeight="1">
      <c r="A81" s="26"/>
      <c r="B81" s="12" t="s">
        <v>150</v>
      </c>
      <c r="C81" s="144"/>
      <c r="D81" s="12" t="s">
        <v>111</v>
      </c>
      <c r="E81" s="17">
        <v>11</v>
      </c>
      <c r="F81" s="56" t="s">
        <v>525</v>
      </c>
      <c r="G81" s="19"/>
      <c r="H81" s="20">
        <f t="shared" si="1"/>
        <v>0</v>
      </c>
      <c r="I81" s="26"/>
      <c r="J81" s="26"/>
    </row>
    <row r="82" spans="1:10" ht="16" customHeight="1">
      <c r="A82" s="26"/>
      <c r="B82" s="12" t="s">
        <v>151</v>
      </c>
      <c r="C82" s="144"/>
      <c r="D82" s="12" t="s">
        <v>22</v>
      </c>
      <c r="E82" s="17">
        <v>11</v>
      </c>
      <c r="F82" s="56" t="s">
        <v>525</v>
      </c>
      <c r="G82" s="19"/>
      <c r="H82" s="20">
        <f t="shared" si="1"/>
        <v>0</v>
      </c>
      <c r="I82" s="26"/>
      <c r="J82" s="26"/>
    </row>
    <row r="83" spans="1:10" ht="16" customHeight="1">
      <c r="A83" s="26"/>
      <c r="B83" s="12" t="s">
        <v>152</v>
      </c>
      <c r="C83" s="144"/>
      <c r="D83" s="12" t="s">
        <v>31</v>
      </c>
      <c r="E83" s="17">
        <v>11</v>
      </c>
      <c r="F83" s="56" t="s">
        <v>525</v>
      </c>
      <c r="G83" s="19">
        <v>3</v>
      </c>
      <c r="H83" s="20">
        <f t="shared" si="1"/>
        <v>33</v>
      </c>
      <c r="I83" s="26"/>
      <c r="J83" s="26"/>
    </row>
    <row r="84" spans="1:10" ht="16" customHeight="1">
      <c r="A84" s="26"/>
      <c r="B84" s="12" t="s">
        <v>153</v>
      </c>
      <c r="C84" s="144"/>
      <c r="D84" s="12" t="s">
        <v>55</v>
      </c>
      <c r="E84" s="17">
        <v>11</v>
      </c>
      <c r="F84" s="56" t="s">
        <v>525</v>
      </c>
      <c r="G84" s="19">
        <v>3</v>
      </c>
      <c r="H84" s="20">
        <f t="shared" si="1"/>
        <v>33</v>
      </c>
      <c r="I84" s="26"/>
      <c r="J84" s="26"/>
    </row>
    <row r="85" spans="1:10" ht="16" customHeight="1">
      <c r="A85" s="26"/>
      <c r="B85" s="12" t="s">
        <v>154</v>
      </c>
      <c r="C85" s="145"/>
      <c r="D85" s="12" t="s">
        <v>43</v>
      </c>
      <c r="E85" s="17">
        <v>11</v>
      </c>
      <c r="F85" s="56" t="s">
        <v>525</v>
      </c>
      <c r="G85" s="19"/>
      <c r="H85" s="20">
        <f t="shared" si="1"/>
        <v>0</v>
      </c>
      <c r="I85" s="26"/>
      <c r="J85" s="26"/>
    </row>
    <row r="86" spans="1:10" ht="16" customHeight="1">
      <c r="A86" s="26"/>
      <c r="B86" s="12" t="s">
        <v>155</v>
      </c>
      <c r="C86" s="145"/>
      <c r="D86" s="12" t="s">
        <v>39</v>
      </c>
      <c r="E86" s="17">
        <v>11</v>
      </c>
      <c r="F86" s="56" t="s">
        <v>525</v>
      </c>
      <c r="G86" s="19"/>
      <c r="H86" s="20">
        <f t="shared" si="1"/>
        <v>0</v>
      </c>
      <c r="I86" s="26"/>
      <c r="J86" s="26"/>
    </row>
    <row r="87" spans="1:10" ht="16" customHeight="1">
      <c r="A87" s="26"/>
      <c r="B87" s="14" t="s">
        <v>159</v>
      </c>
      <c r="C87" s="149" t="s">
        <v>158</v>
      </c>
      <c r="D87" s="14" t="s">
        <v>32</v>
      </c>
      <c r="E87" s="15">
        <v>11</v>
      </c>
      <c r="F87" s="55" t="s">
        <v>525</v>
      </c>
      <c r="G87" s="14">
        <v>3</v>
      </c>
      <c r="H87" s="16">
        <f t="shared" si="1"/>
        <v>33</v>
      </c>
      <c r="I87" s="26"/>
      <c r="J87" s="26"/>
    </row>
    <row r="88" spans="1:10" ht="16" customHeight="1">
      <c r="A88" s="26"/>
      <c r="B88" s="14" t="s">
        <v>160</v>
      </c>
      <c r="C88" s="149"/>
      <c r="D88" s="14" t="s">
        <v>163</v>
      </c>
      <c r="E88" s="15">
        <v>11</v>
      </c>
      <c r="F88" s="55" t="s">
        <v>525</v>
      </c>
      <c r="G88" s="14">
        <v>3</v>
      </c>
      <c r="H88" s="16">
        <f t="shared" si="1"/>
        <v>33</v>
      </c>
      <c r="I88" s="26"/>
      <c r="J88" s="26"/>
    </row>
    <row r="89" spans="1:10" ht="16" customHeight="1">
      <c r="A89" s="26"/>
      <c r="B89" s="14" t="s">
        <v>161</v>
      </c>
      <c r="C89" s="149"/>
      <c r="D89" s="14" t="s">
        <v>29</v>
      </c>
      <c r="E89" s="15">
        <v>11</v>
      </c>
      <c r="F89" s="55" t="s">
        <v>525</v>
      </c>
      <c r="G89" s="14"/>
      <c r="H89" s="16">
        <f t="shared" si="1"/>
        <v>0</v>
      </c>
      <c r="I89" s="26"/>
      <c r="J89" s="26"/>
    </row>
    <row r="90" spans="1:10" ht="16" customHeight="1">
      <c r="A90" s="26"/>
      <c r="B90" s="14" t="s">
        <v>162</v>
      </c>
      <c r="C90" s="149"/>
      <c r="D90" s="14" t="s">
        <v>45</v>
      </c>
      <c r="E90" s="15">
        <v>11</v>
      </c>
      <c r="F90" s="55" t="s">
        <v>525</v>
      </c>
      <c r="G90" s="14">
        <v>3</v>
      </c>
      <c r="H90" s="16">
        <f t="shared" si="1"/>
        <v>33</v>
      </c>
      <c r="I90" s="26"/>
      <c r="J90" s="26"/>
    </row>
    <row r="91" spans="1:10" ht="16" customHeight="1">
      <c r="A91" s="26"/>
      <c r="B91" s="12" t="s">
        <v>165</v>
      </c>
      <c r="C91" s="144" t="s">
        <v>164</v>
      </c>
      <c r="D91" s="12" t="s">
        <v>41</v>
      </c>
      <c r="E91" s="17">
        <v>12</v>
      </c>
      <c r="F91" s="56" t="s">
        <v>525</v>
      </c>
      <c r="G91" s="19">
        <v>3</v>
      </c>
      <c r="H91" s="20">
        <f t="shared" si="1"/>
        <v>36</v>
      </c>
      <c r="I91" s="26"/>
      <c r="J91" s="26"/>
    </row>
    <row r="92" spans="1:10" ht="16" customHeight="1">
      <c r="A92" s="26"/>
      <c r="B92" s="12" t="s">
        <v>166</v>
      </c>
      <c r="C92" s="145"/>
      <c r="D92" s="12" t="s">
        <v>42</v>
      </c>
      <c r="E92" s="17">
        <v>12</v>
      </c>
      <c r="F92" s="56" t="s">
        <v>525</v>
      </c>
      <c r="G92" s="19">
        <v>3</v>
      </c>
      <c r="H92" s="20">
        <f t="shared" si="1"/>
        <v>36</v>
      </c>
      <c r="I92" s="26"/>
      <c r="J92" s="26"/>
    </row>
    <row r="93" spans="1:10" ht="16" customHeight="1">
      <c r="A93" s="26"/>
      <c r="B93" s="12" t="s">
        <v>167</v>
      </c>
      <c r="C93" s="145"/>
      <c r="D93" s="12" t="s">
        <v>35</v>
      </c>
      <c r="E93" s="17">
        <v>12</v>
      </c>
      <c r="F93" s="56" t="s">
        <v>525</v>
      </c>
      <c r="G93" s="19">
        <v>3</v>
      </c>
      <c r="H93" s="20">
        <f t="shared" si="1"/>
        <v>36</v>
      </c>
      <c r="I93" s="26"/>
      <c r="J93" s="26"/>
    </row>
    <row r="94" spans="1:10" ht="16" customHeight="1">
      <c r="A94" s="26"/>
      <c r="B94" s="14" t="s">
        <v>168</v>
      </c>
      <c r="C94" s="149" t="s">
        <v>172</v>
      </c>
      <c r="D94" s="14" t="s">
        <v>91</v>
      </c>
      <c r="E94" s="15">
        <v>11</v>
      </c>
      <c r="F94" s="55" t="s">
        <v>525</v>
      </c>
      <c r="G94" s="14">
        <v>3</v>
      </c>
      <c r="H94" s="16">
        <f t="shared" si="1"/>
        <v>33</v>
      </c>
      <c r="I94" s="26"/>
      <c r="J94" s="26"/>
    </row>
    <row r="95" spans="1:10" ht="16" customHeight="1">
      <c r="A95" s="26"/>
      <c r="B95" s="14" t="s">
        <v>169</v>
      </c>
      <c r="C95" s="149"/>
      <c r="D95" s="14" t="s">
        <v>21</v>
      </c>
      <c r="E95" s="15">
        <v>11</v>
      </c>
      <c r="F95" s="55" t="s">
        <v>525</v>
      </c>
      <c r="G95" s="14">
        <v>3</v>
      </c>
      <c r="H95" s="16">
        <f t="shared" si="1"/>
        <v>33</v>
      </c>
      <c r="I95" s="26"/>
      <c r="J95" s="26"/>
    </row>
    <row r="96" spans="1:10" ht="16" customHeight="1">
      <c r="A96" s="26"/>
      <c r="B96" s="14" t="s">
        <v>170</v>
      </c>
      <c r="C96" s="149"/>
      <c r="D96" s="14" t="s">
        <v>42</v>
      </c>
      <c r="E96" s="15">
        <v>11</v>
      </c>
      <c r="F96" s="55" t="s">
        <v>525</v>
      </c>
      <c r="G96" s="14">
        <v>3</v>
      </c>
      <c r="H96" s="16">
        <f t="shared" si="1"/>
        <v>33</v>
      </c>
      <c r="I96" s="26"/>
      <c r="J96" s="26"/>
    </row>
    <row r="97" spans="1:10" ht="16" customHeight="1">
      <c r="A97" s="26"/>
      <c r="B97" s="14" t="s">
        <v>171</v>
      </c>
      <c r="C97" s="149"/>
      <c r="D97" s="14" t="s">
        <v>173</v>
      </c>
      <c r="E97" s="15">
        <v>11</v>
      </c>
      <c r="F97" s="55" t="s">
        <v>525</v>
      </c>
      <c r="G97" s="14">
        <v>3</v>
      </c>
      <c r="H97" s="16">
        <f t="shared" si="1"/>
        <v>33</v>
      </c>
      <c r="I97" s="26"/>
      <c r="J97" s="26"/>
    </row>
    <row r="98" spans="1:10" ht="16" customHeight="1">
      <c r="A98" s="26"/>
      <c r="B98" s="12" t="s">
        <v>175</v>
      </c>
      <c r="C98" s="144" t="s">
        <v>174</v>
      </c>
      <c r="D98" s="12" t="s">
        <v>181</v>
      </c>
      <c r="E98" s="17">
        <v>11</v>
      </c>
      <c r="F98" s="56" t="s">
        <v>525</v>
      </c>
      <c r="G98" s="19">
        <v>3</v>
      </c>
      <c r="H98" s="20">
        <f t="shared" si="1"/>
        <v>33</v>
      </c>
      <c r="I98" s="26"/>
      <c r="J98" s="26"/>
    </row>
    <row r="99" spans="1:10" ht="16" customHeight="1">
      <c r="A99" s="26"/>
      <c r="B99" s="12" t="s">
        <v>176</v>
      </c>
      <c r="C99" s="144"/>
      <c r="D99" s="12" t="s">
        <v>182</v>
      </c>
      <c r="E99" s="17">
        <v>11</v>
      </c>
      <c r="F99" s="56" t="s">
        <v>525</v>
      </c>
      <c r="G99" s="19">
        <v>3</v>
      </c>
      <c r="H99" s="20">
        <f t="shared" si="1"/>
        <v>33</v>
      </c>
      <c r="I99" s="26"/>
      <c r="J99" s="26"/>
    </row>
    <row r="100" spans="1:10" ht="16" customHeight="1">
      <c r="A100" s="26"/>
      <c r="B100" s="12" t="s">
        <v>177</v>
      </c>
      <c r="C100" s="144"/>
      <c r="D100" s="12" t="s">
        <v>183</v>
      </c>
      <c r="E100" s="17">
        <v>11</v>
      </c>
      <c r="F100" s="56" t="s">
        <v>525</v>
      </c>
      <c r="G100" s="19">
        <v>3</v>
      </c>
      <c r="H100" s="20">
        <f t="shared" si="1"/>
        <v>33</v>
      </c>
      <c r="I100" s="26"/>
      <c r="J100" s="26"/>
    </row>
    <row r="101" spans="1:10" ht="16" customHeight="1">
      <c r="A101" s="26"/>
      <c r="B101" s="12" t="s">
        <v>178</v>
      </c>
      <c r="C101" s="144"/>
      <c r="D101" s="12" t="s">
        <v>184</v>
      </c>
      <c r="E101" s="17">
        <v>11</v>
      </c>
      <c r="F101" s="56" t="s">
        <v>525</v>
      </c>
      <c r="G101" s="19"/>
      <c r="H101" s="20">
        <f t="shared" si="1"/>
        <v>0</v>
      </c>
      <c r="I101" s="26"/>
      <c r="J101" s="26"/>
    </row>
    <row r="102" spans="1:10" ht="16" customHeight="1">
      <c r="A102" s="26"/>
      <c r="B102" s="12" t="s">
        <v>179</v>
      </c>
      <c r="C102" s="145"/>
      <c r="D102" s="12" t="s">
        <v>185</v>
      </c>
      <c r="E102" s="17">
        <v>11</v>
      </c>
      <c r="F102" s="56" t="s">
        <v>525</v>
      </c>
      <c r="G102" s="19"/>
      <c r="H102" s="20">
        <f t="shared" si="1"/>
        <v>0</v>
      </c>
      <c r="I102" s="26"/>
      <c r="J102" s="26"/>
    </row>
    <row r="103" spans="1:10" ht="16" customHeight="1">
      <c r="A103" s="26"/>
      <c r="B103" s="12" t="s">
        <v>180</v>
      </c>
      <c r="C103" s="145"/>
      <c r="D103" s="12" t="s">
        <v>186</v>
      </c>
      <c r="E103" s="17">
        <v>11</v>
      </c>
      <c r="F103" s="56" t="s">
        <v>525</v>
      </c>
      <c r="G103" s="19"/>
      <c r="H103" s="20">
        <f t="shared" si="1"/>
        <v>0</v>
      </c>
      <c r="I103" s="26"/>
      <c r="J103" s="26"/>
    </row>
    <row r="104" spans="1:10" ht="16" customHeight="1">
      <c r="A104" s="26"/>
      <c r="B104" s="14" t="s">
        <v>188</v>
      </c>
      <c r="C104" s="149" t="s">
        <v>187</v>
      </c>
      <c r="D104" s="14" t="s">
        <v>21</v>
      </c>
      <c r="E104" s="15">
        <v>12</v>
      </c>
      <c r="F104" s="55" t="s">
        <v>525</v>
      </c>
      <c r="G104" s="14"/>
      <c r="H104" s="16">
        <f t="shared" si="1"/>
        <v>0</v>
      </c>
      <c r="I104" s="26"/>
      <c r="J104" s="26"/>
    </row>
    <row r="105" spans="1:10" ht="16" customHeight="1">
      <c r="A105" s="26"/>
      <c r="B105" s="14" t="s">
        <v>189</v>
      </c>
      <c r="C105" s="149"/>
      <c r="D105" s="14" t="s">
        <v>32</v>
      </c>
      <c r="E105" s="15">
        <v>12</v>
      </c>
      <c r="F105" s="55" t="s">
        <v>525</v>
      </c>
      <c r="G105" s="14"/>
      <c r="H105" s="16">
        <f t="shared" si="1"/>
        <v>0</v>
      </c>
      <c r="I105" s="26"/>
      <c r="J105" s="26"/>
    </row>
    <row r="106" spans="1:10" ht="16" customHeight="1">
      <c r="A106" s="26"/>
      <c r="B106" s="14" t="s">
        <v>190</v>
      </c>
      <c r="C106" s="149"/>
      <c r="D106" s="14" t="s">
        <v>193</v>
      </c>
      <c r="E106" s="15">
        <v>12</v>
      </c>
      <c r="F106" s="55" t="s">
        <v>525</v>
      </c>
      <c r="G106" s="14"/>
      <c r="H106" s="16">
        <f t="shared" si="1"/>
        <v>0</v>
      </c>
      <c r="I106" s="26"/>
      <c r="J106" s="26"/>
    </row>
    <row r="107" spans="1:10" ht="16" customHeight="1">
      <c r="A107" s="26"/>
      <c r="B107" s="14" t="s">
        <v>191</v>
      </c>
      <c r="C107" s="149"/>
      <c r="D107" s="14" t="s">
        <v>39</v>
      </c>
      <c r="E107" s="15">
        <v>12</v>
      </c>
      <c r="F107" s="55" t="s">
        <v>525</v>
      </c>
      <c r="G107" s="14"/>
      <c r="H107" s="16">
        <f t="shared" si="1"/>
        <v>0</v>
      </c>
      <c r="I107" s="26"/>
      <c r="J107" s="26"/>
    </row>
    <row r="108" spans="1:10" ht="16" customHeight="1">
      <c r="A108" s="26"/>
      <c r="B108" s="14" t="s">
        <v>192</v>
      </c>
      <c r="C108" s="149"/>
      <c r="D108" s="14" t="s">
        <v>45</v>
      </c>
      <c r="E108" s="15">
        <v>12</v>
      </c>
      <c r="F108" s="55" t="s">
        <v>525</v>
      </c>
      <c r="G108" s="14"/>
      <c r="H108" s="16">
        <f t="shared" si="1"/>
        <v>0</v>
      </c>
      <c r="I108" s="26"/>
      <c r="J108" s="26"/>
    </row>
    <row r="109" spans="1:10" ht="16" customHeight="1">
      <c r="A109" s="26"/>
      <c r="B109" s="12" t="s">
        <v>194</v>
      </c>
      <c r="C109" s="144" t="s">
        <v>57</v>
      </c>
      <c r="D109" s="12" t="s">
        <v>51</v>
      </c>
      <c r="E109" s="17">
        <v>15</v>
      </c>
      <c r="F109" s="56" t="s">
        <v>525</v>
      </c>
      <c r="G109" s="19"/>
      <c r="H109" s="20">
        <f t="shared" si="1"/>
        <v>0</v>
      </c>
      <c r="I109" s="26"/>
      <c r="J109" s="26"/>
    </row>
    <row r="110" spans="1:10" ht="16" customHeight="1">
      <c r="A110" s="26"/>
      <c r="B110" s="12" t="s">
        <v>195</v>
      </c>
      <c r="C110" s="145"/>
      <c r="D110" s="12" t="s">
        <v>197</v>
      </c>
      <c r="E110" s="17">
        <v>15</v>
      </c>
      <c r="F110" s="56" t="s">
        <v>525</v>
      </c>
      <c r="G110" s="19"/>
      <c r="H110" s="20">
        <f t="shared" si="1"/>
        <v>0</v>
      </c>
      <c r="I110" s="26"/>
      <c r="J110" s="26"/>
    </row>
    <row r="111" spans="1:10" ht="16" customHeight="1">
      <c r="A111" s="26"/>
      <c r="B111" s="12" t="s">
        <v>196</v>
      </c>
      <c r="C111" s="145"/>
      <c r="D111" s="12" t="s">
        <v>59</v>
      </c>
      <c r="E111" s="17">
        <v>15</v>
      </c>
      <c r="F111" s="56" t="s">
        <v>525</v>
      </c>
      <c r="G111" s="19">
        <v>3</v>
      </c>
      <c r="H111" s="20">
        <f t="shared" si="1"/>
        <v>45</v>
      </c>
      <c r="I111" s="26"/>
      <c r="J111" s="26"/>
    </row>
    <row r="112" spans="1:10" ht="16" customHeight="1">
      <c r="A112" s="26"/>
      <c r="B112" s="14" t="s">
        <v>199</v>
      </c>
      <c r="C112" s="149" t="s">
        <v>198</v>
      </c>
      <c r="D112" s="14" t="s">
        <v>21</v>
      </c>
      <c r="E112" s="15">
        <v>12</v>
      </c>
      <c r="F112" s="55" t="s">
        <v>525</v>
      </c>
      <c r="G112" s="14"/>
      <c r="H112" s="16">
        <f t="shared" ref="H112:H134" si="2">SUM(E112*G112)</f>
        <v>0</v>
      </c>
      <c r="I112" s="26"/>
      <c r="J112" s="26"/>
    </row>
    <row r="113" spans="1:10" ht="16" customHeight="1">
      <c r="A113" s="26"/>
      <c r="B113" s="14" t="s">
        <v>200</v>
      </c>
      <c r="C113" s="149"/>
      <c r="D113" s="14" t="s">
        <v>42</v>
      </c>
      <c r="E113" s="15">
        <v>12</v>
      </c>
      <c r="F113" s="55" t="s">
        <v>525</v>
      </c>
      <c r="G113" s="14"/>
      <c r="H113" s="16">
        <f t="shared" si="2"/>
        <v>0</v>
      </c>
      <c r="I113" s="26"/>
      <c r="J113" s="26"/>
    </row>
    <row r="114" spans="1:10" ht="16" customHeight="1">
      <c r="A114" s="26"/>
      <c r="B114" s="14" t="s">
        <v>201</v>
      </c>
      <c r="C114" s="149"/>
      <c r="D114" s="14" t="s">
        <v>173</v>
      </c>
      <c r="E114" s="15">
        <v>12</v>
      </c>
      <c r="F114" s="55" t="s">
        <v>525</v>
      </c>
      <c r="G114" s="14"/>
      <c r="H114" s="16">
        <f t="shared" si="2"/>
        <v>0</v>
      </c>
      <c r="I114" s="26"/>
      <c r="J114" s="26"/>
    </row>
    <row r="115" spans="1:10" ht="16" customHeight="1">
      <c r="A115" s="26"/>
      <c r="B115" s="14" t="s">
        <v>202</v>
      </c>
      <c r="C115" s="149"/>
      <c r="D115" s="14" t="s">
        <v>203</v>
      </c>
      <c r="E115" s="15">
        <v>12</v>
      </c>
      <c r="F115" s="55" t="s">
        <v>525</v>
      </c>
      <c r="G115" s="14"/>
      <c r="H115" s="16">
        <f t="shared" si="2"/>
        <v>0</v>
      </c>
      <c r="I115" s="26"/>
      <c r="J115" s="26"/>
    </row>
    <row r="116" spans="1:10" ht="16" customHeight="1">
      <c r="A116" s="26"/>
      <c r="B116" s="12" t="s">
        <v>205</v>
      </c>
      <c r="C116" s="144" t="s">
        <v>204</v>
      </c>
      <c r="D116" s="12" t="s">
        <v>21</v>
      </c>
      <c r="E116" s="17">
        <v>12</v>
      </c>
      <c r="F116" s="56" t="s">
        <v>525</v>
      </c>
      <c r="G116" s="19">
        <v>3</v>
      </c>
      <c r="H116" s="20">
        <f t="shared" si="2"/>
        <v>36</v>
      </c>
      <c r="I116" s="26"/>
      <c r="J116" s="26"/>
    </row>
    <row r="117" spans="1:10" ht="16" customHeight="1">
      <c r="A117" s="26"/>
      <c r="B117" s="12" t="s">
        <v>206</v>
      </c>
      <c r="C117" s="144"/>
      <c r="D117" s="12" t="s">
        <v>23</v>
      </c>
      <c r="E117" s="17">
        <v>12</v>
      </c>
      <c r="F117" s="56" t="s">
        <v>525</v>
      </c>
      <c r="G117" s="19">
        <v>3</v>
      </c>
      <c r="H117" s="20">
        <f t="shared" si="2"/>
        <v>36</v>
      </c>
      <c r="I117" s="26"/>
      <c r="J117" s="26"/>
    </row>
    <row r="118" spans="1:10" ht="16" customHeight="1">
      <c r="A118" s="26"/>
      <c r="B118" s="12" t="s">
        <v>207</v>
      </c>
      <c r="C118" s="144"/>
      <c r="D118" s="12" t="s">
        <v>125</v>
      </c>
      <c r="E118" s="17">
        <v>12</v>
      </c>
      <c r="F118" s="56" t="s">
        <v>525</v>
      </c>
      <c r="G118" s="19"/>
      <c r="H118" s="20">
        <f t="shared" si="2"/>
        <v>0</v>
      </c>
      <c r="I118" s="26"/>
      <c r="J118" s="26"/>
    </row>
    <row r="119" spans="1:10" ht="16" customHeight="1">
      <c r="A119" s="26"/>
      <c r="B119" s="12" t="s">
        <v>208</v>
      </c>
      <c r="C119" s="144"/>
      <c r="D119" s="12" t="s">
        <v>32</v>
      </c>
      <c r="E119" s="17">
        <v>12</v>
      </c>
      <c r="F119" s="56" t="s">
        <v>525</v>
      </c>
      <c r="G119" s="19"/>
      <c r="H119" s="20">
        <f t="shared" si="2"/>
        <v>0</v>
      </c>
      <c r="I119" s="26"/>
      <c r="J119" s="26"/>
    </row>
    <row r="120" spans="1:10" ht="16" customHeight="1">
      <c r="A120" s="26"/>
      <c r="B120" s="12" t="s">
        <v>209</v>
      </c>
      <c r="C120" s="145"/>
      <c r="D120" s="12" t="s">
        <v>39</v>
      </c>
      <c r="E120" s="17">
        <v>12</v>
      </c>
      <c r="F120" s="56" t="s">
        <v>525</v>
      </c>
      <c r="G120" s="19"/>
      <c r="H120" s="20">
        <f t="shared" si="2"/>
        <v>0</v>
      </c>
      <c r="I120" s="26"/>
      <c r="J120" s="26"/>
    </row>
    <row r="121" spans="1:10" ht="16" customHeight="1">
      <c r="A121" s="26"/>
      <c r="B121" s="12" t="s">
        <v>210</v>
      </c>
      <c r="C121" s="145"/>
      <c r="D121" s="12" t="s">
        <v>45</v>
      </c>
      <c r="E121" s="17">
        <v>12</v>
      </c>
      <c r="F121" s="56" t="s">
        <v>525</v>
      </c>
      <c r="G121" s="19"/>
      <c r="H121" s="20">
        <f t="shared" si="2"/>
        <v>0</v>
      </c>
      <c r="I121" s="26"/>
      <c r="J121" s="26"/>
    </row>
    <row r="122" spans="1:10" ht="16" customHeight="1">
      <c r="A122" s="26"/>
      <c r="B122" s="14" t="s">
        <v>212</v>
      </c>
      <c r="C122" s="149" t="s">
        <v>211</v>
      </c>
      <c r="D122" s="14" t="s">
        <v>46</v>
      </c>
      <c r="E122" s="15">
        <v>13</v>
      </c>
      <c r="F122" s="55" t="s">
        <v>525</v>
      </c>
      <c r="G122" s="14">
        <v>3</v>
      </c>
      <c r="H122" s="16">
        <f t="shared" si="2"/>
        <v>39</v>
      </c>
      <c r="I122" s="26"/>
      <c r="J122" s="26"/>
    </row>
    <row r="123" spans="1:10" ht="16" customHeight="1">
      <c r="A123" s="26"/>
      <c r="B123" s="14" t="s">
        <v>213</v>
      </c>
      <c r="C123" s="149"/>
      <c r="D123" s="14" t="s">
        <v>42</v>
      </c>
      <c r="E123" s="15">
        <v>13</v>
      </c>
      <c r="F123" s="55" t="s">
        <v>525</v>
      </c>
      <c r="G123" s="14">
        <v>3</v>
      </c>
      <c r="H123" s="16">
        <f t="shared" si="2"/>
        <v>39</v>
      </c>
      <c r="I123" s="26"/>
      <c r="J123" s="26"/>
    </row>
    <row r="124" spans="1:10" ht="16" customHeight="1">
      <c r="A124" s="26"/>
      <c r="B124" s="14" t="s">
        <v>214</v>
      </c>
      <c r="C124" s="149"/>
      <c r="D124" s="14" t="s">
        <v>30</v>
      </c>
      <c r="E124" s="15">
        <v>13</v>
      </c>
      <c r="F124" s="55" t="s">
        <v>525</v>
      </c>
      <c r="G124" s="14"/>
      <c r="H124" s="16">
        <f t="shared" si="2"/>
        <v>0</v>
      </c>
      <c r="I124" s="26"/>
      <c r="J124" s="26"/>
    </row>
    <row r="125" spans="1:10" ht="16" customHeight="1">
      <c r="A125" s="26"/>
      <c r="B125" s="12" t="s">
        <v>216</v>
      </c>
      <c r="C125" s="144" t="s">
        <v>215</v>
      </c>
      <c r="D125" s="12" t="s">
        <v>91</v>
      </c>
      <c r="E125" s="17">
        <v>12</v>
      </c>
      <c r="F125" s="56" t="s">
        <v>525</v>
      </c>
      <c r="G125" s="19"/>
      <c r="H125" s="20">
        <f t="shared" si="2"/>
        <v>0</v>
      </c>
      <c r="I125" s="26"/>
      <c r="J125" s="26"/>
    </row>
    <row r="126" spans="1:10" ht="16" customHeight="1">
      <c r="A126" s="26"/>
      <c r="B126" s="12" t="s">
        <v>217</v>
      </c>
      <c r="C126" s="144"/>
      <c r="D126" s="12" t="s">
        <v>32</v>
      </c>
      <c r="E126" s="17">
        <v>12</v>
      </c>
      <c r="F126" s="56" t="s">
        <v>525</v>
      </c>
      <c r="G126" s="19"/>
      <c r="H126" s="20">
        <f t="shared" si="2"/>
        <v>0</v>
      </c>
      <c r="I126" s="26"/>
      <c r="J126" s="26"/>
    </row>
    <row r="127" spans="1:10" ht="16" customHeight="1">
      <c r="A127" s="26"/>
      <c r="B127" s="12" t="s">
        <v>218</v>
      </c>
      <c r="C127" s="145"/>
      <c r="D127" s="12" t="s">
        <v>40</v>
      </c>
      <c r="E127" s="17">
        <v>12</v>
      </c>
      <c r="F127" s="56" t="s">
        <v>525</v>
      </c>
      <c r="G127" s="19"/>
      <c r="H127" s="20">
        <f t="shared" si="2"/>
        <v>0</v>
      </c>
      <c r="I127" s="26"/>
      <c r="J127" s="26"/>
    </row>
    <row r="128" spans="1:10" ht="16" customHeight="1">
      <c r="A128" s="26"/>
      <c r="B128" s="14" t="s">
        <v>219</v>
      </c>
      <c r="C128" s="149" t="s">
        <v>222</v>
      </c>
      <c r="D128" s="122" t="s">
        <v>21</v>
      </c>
      <c r="E128" s="15">
        <v>12</v>
      </c>
      <c r="F128" s="55" t="s">
        <v>525</v>
      </c>
      <c r="G128" s="14">
        <v>3</v>
      </c>
      <c r="H128" s="16">
        <f t="shared" si="2"/>
        <v>36</v>
      </c>
      <c r="I128" s="26"/>
      <c r="J128" s="26"/>
    </row>
    <row r="129" spans="1:10" ht="16" customHeight="1">
      <c r="A129" s="26"/>
      <c r="B129" s="14" t="s">
        <v>220</v>
      </c>
      <c r="C129" s="145"/>
      <c r="D129" s="122" t="s">
        <v>42</v>
      </c>
      <c r="E129" s="15">
        <v>12</v>
      </c>
      <c r="F129" s="55" t="s">
        <v>525</v>
      </c>
      <c r="G129" s="14">
        <v>3</v>
      </c>
      <c r="H129" s="16">
        <f t="shared" si="2"/>
        <v>36</v>
      </c>
      <c r="I129" s="26"/>
      <c r="J129" s="26"/>
    </row>
    <row r="130" spans="1:10" ht="16" customHeight="1">
      <c r="A130" s="26"/>
      <c r="B130" s="14" t="s">
        <v>221</v>
      </c>
      <c r="C130" s="145"/>
      <c r="D130" s="122" t="s">
        <v>45</v>
      </c>
      <c r="E130" s="15">
        <v>12</v>
      </c>
      <c r="F130" s="55" t="s">
        <v>525</v>
      </c>
      <c r="G130" s="14"/>
      <c r="H130" s="16">
        <f t="shared" si="2"/>
        <v>0</v>
      </c>
      <c r="I130" s="26"/>
      <c r="J130" s="26"/>
    </row>
    <row r="131" spans="1:10" ht="16" customHeight="1">
      <c r="A131" s="26"/>
      <c r="B131" s="12" t="s">
        <v>224</v>
      </c>
      <c r="C131" s="144" t="s">
        <v>223</v>
      </c>
      <c r="D131" s="12" t="s">
        <v>228</v>
      </c>
      <c r="E131" s="17">
        <v>15</v>
      </c>
      <c r="F131" s="56" t="s">
        <v>525</v>
      </c>
      <c r="G131" s="19"/>
      <c r="H131" s="20">
        <f t="shared" si="2"/>
        <v>0</v>
      </c>
      <c r="I131" s="26"/>
      <c r="J131" s="26"/>
    </row>
    <row r="132" spans="1:10" ht="16" customHeight="1">
      <c r="A132" s="26"/>
      <c r="B132" s="12" t="s">
        <v>225</v>
      </c>
      <c r="C132" s="144"/>
      <c r="D132" s="12" t="s">
        <v>229</v>
      </c>
      <c r="E132" s="17">
        <v>15</v>
      </c>
      <c r="F132" s="56" t="s">
        <v>525</v>
      </c>
      <c r="G132" s="19"/>
      <c r="H132" s="20">
        <f t="shared" si="2"/>
        <v>0</v>
      </c>
      <c r="I132" s="26"/>
      <c r="J132" s="26"/>
    </row>
    <row r="133" spans="1:10" ht="16" customHeight="1">
      <c r="A133" s="26"/>
      <c r="B133" s="12" t="s">
        <v>226</v>
      </c>
      <c r="C133" s="144"/>
      <c r="D133" s="12" t="s">
        <v>230</v>
      </c>
      <c r="E133" s="17">
        <v>15</v>
      </c>
      <c r="F133" s="56" t="s">
        <v>525</v>
      </c>
      <c r="G133" s="19"/>
      <c r="H133" s="20">
        <f t="shared" si="2"/>
        <v>0</v>
      </c>
      <c r="I133" s="26"/>
      <c r="J133" s="26"/>
    </row>
    <row r="134" spans="1:10" ht="16" customHeight="1">
      <c r="A134" s="26"/>
      <c r="B134" s="12" t="s">
        <v>227</v>
      </c>
      <c r="C134" s="145"/>
      <c r="D134" s="12" t="s">
        <v>231</v>
      </c>
      <c r="E134" s="17">
        <v>15</v>
      </c>
      <c r="F134" s="56" t="s">
        <v>525</v>
      </c>
      <c r="G134" s="19"/>
      <c r="H134" s="20">
        <f t="shared" si="2"/>
        <v>0</v>
      </c>
      <c r="I134" s="26"/>
      <c r="J134" s="26"/>
    </row>
    <row r="135" spans="1:10" ht="16" customHeight="1">
      <c r="A135" s="26"/>
      <c r="B135" s="140" t="s">
        <v>487</v>
      </c>
      <c r="C135" s="141"/>
      <c r="D135" s="141"/>
      <c r="E135" s="141"/>
      <c r="F135" s="141"/>
      <c r="G135" s="141"/>
      <c r="H135" s="141"/>
      <c r="I135" s="26"/>
      <c r="J135" s="26"/>
    </row>
    <row r="136" spans="1:10" ht="16" customHeight="1">
      <c r="A136" s="26"/>
      <c r="B136" s="14" t="s">
        <v>233</v>
      </c>
      <c r="C136" s="149" t="s">
        <v>232</v>
      </c>
      <c r="D136" s="14" t="s">
        <v>21</v>
      </c>
      <c r="E136" s="15">
        <v>11</v>
      </c>
      <c r="F136" s="55" t="s">
        <v>525</v>
      </c>
      <c r="G136" s="14"/>
      <c r="H136" s="16">
        <f t="shared" ref="H136:H143" si="3">SUM(E136*G136)</f>
        <v>0</v>
      </c>
      <c r="I136" s="26"/>
      <c r="J136" s="26"/>
    </row>
    <row r="137" spans="1:10" ht="16" customHeight="1">
      <c r="A137" s="26"/>
      <c r="B137" s="14" t="s">
        <v>234</v>
      </c>
      <c r="C137" s="149"/>
      <c r="D137" s="14" t="s">
        <v>239</v>
      </c>
      <c r="E137" s="15">
        <v>11</v>
      </c>
      <c r="F137" s="55" t="s">
        <v>525</v>
      </c>
      <c r="G137" s="14"/>
      <c r="H137" s="16">
        <f t="shared" si="3"/>
        <v>0</v>
      </c>
      <c r="I137" s="26"/>
      <c r="J137" s="26"/>
    </row>
    <row r="138" spans="1:10" ht="16" customHeight="1">
      <c r="A138" s="26"/>
      <c r="B138" s="14" t="s">
        <v>235</v>
      </c>
      <c r="C138" s="149"/>
      <c r="D138" s="14" t="s">
        <v>42</v>
      </c>
      <c r="E138" s="15">
        <v>11</v>
      </c>
      <c r="F138" s="55" t="s">
        <v>525</v>
      </c>
      <c r="G138" s="14"/>
      <c r="H138" s="16">
        <f t="shared" si="3"/>
        <v>0</v>
      </c>
      <c r="I138" s="26"/>
      <c r="J138" s="26"/>
    </row>
    <row r="139" spans="1:10" ht="16" customHeight="1">
      <c r="A139" s="26"/>
      <c r="B139" s="14" t="s">
        <v>236</v>
      </c>
      <c r="C139" s="149"/>
      <c r="D139" s="14" t="s">
        <v>112</v>
      </c>
      <c r="E139" s="15">
        <v>11</v>
      </c>
      <c r="F139" s="55" t="s">
        <v>525</v>
      </c>
      <c r="G139" s="14"/>
      <c r="H139" s="16">
        <f t="shared" si="3"/>
        <v>0</v>
      </c>
      <c r="I139" s="26"/>
      <c r="J139" s="26"/>
    </row>
    <row r="140" spans="1:10" ht="16" customHeight="1">
      <c r="A140" s="26"/>
      <c r="B140" s="14" t="s">
        <v>237</v>
      </c>
      <c r="C140" s="149"/>
      <c r="D140" s="14" t="s">
        <v>45</v>
      </c>
      <c r="E140" s="15">
        <v>11</v>
      </c>
      <c r="F140" s="55" t="s">
        <v>525</v>
      </c>
      <c r="G140" s="14"/>
      <c r="H140" s="16">
        <f t="shared" si="3"/>
        <v>0</v>
      </c>
      <c r="I140" s="26"/>
      <c r="J140" s="26"/>
    </row>
    <row r="141" spans="1:10" ht="16" customHeight="1">
      <c r="A141" s="26"/>
      <c r="B141" s="14" t="s">
        <v>238</v>
      </c>
      <c r="C141" s="149"/>
      <c r="D141" s="14" t="s">
        <v>48</v>
      </c>
      <c r="E141" s="15">
        <v>11</v>
      </c>
      <c r="F141" s="55" t="s">
        <v>525</v>
      </c>
      <c r="G141" s="14"/>
      <c r="H141" s="16">
        <f t="shared" si="3"/>
        <v>0</v>
      </c>
      <c r="I141" s="26"/>
      <c r="J141" s="26"/>
    </row>
    <row r="142" spans="1:10" ht="16" customHeight="1">
      <c r="A142" s="26"/>
      <c r="B142" s="12" t="s">
        <v>248</v>
      </c>
      <c r="C142" s="144" t="s">
        <v>240</v>
      </c>
      <c r="D142" s="12" t="s">
        <v>21</v>
      </c>
      <c r="E142" s="17">
        <v>11</v>
      </c>
      <c r="F142" s="56" t="s">
        <v>525</v>
      </c>
      <c r="G142" s="19"/>
      <c r="H142" s="20">
        <f t="shared" si="3"/>
        <v>0</v>
      </c>
      <c r="I142" s="26"/>
      <c r="J142" s="26"/>
    </row>
    <row r="143" spans="1:10" ht="16" customHeight="1">
      <c r="A143" s="26"/>
      <c r="B143" s="12" t="s">
        <v>249</v>
      </c>
      <c r="C143" s="144"/>
      <c r="D143" s="12" t="s">
        <v>32</v>
      </c>
      <c r="E143" s="17">
        <v>11</v>
      </c>
      <c r="F143" s="56" t="s">
        <v>525</v>
      </c>
      <c r="G143" s="19"/>
      <c r="H143" s="20">
        <f t="shared" si="3"/>
        <v>0</v>
      </c>
      <c r="I143" s="26"/>
      <c r="J143" s="26"/>
    </row>
    <row r="144" spans="1:10" ht="16" customHeight="1">
      <c r="A144" s="26"/>
      <c r="B144" s="12" t="s">
        <v>250</v>
      </c>
      <c r="C144" s="145"/>
      <c r="D144" s="12" t="s">
        <v>39</v>
      </c>
      <c r="E144" s="17">
        <v>11</v>
      </c>
      <c r="F144" s="56" t="s">
        <v>525</v>
      </c>
      <c r="G144" s="19"/>
      <c r="H144" s="20">
        <f t="shared" ref="H144:H149" si="4">SUM(E144*G144)</f>
        <v>0</v>
      </c>
      <c r="I144" s="26"/>
      <c r="J144" s="26"/>
    </row>
    <row r="145" spans="1:10" ht="16" customHeight="1">
      <c r="A145" s="26"/>
      <c r="B145" s="14" t="s">
        <v>245</v>
      </c>
      <c r="C145" s="149" t="s">
        <v>36</v>
      </c>
      <c r="D145" s="14" t="s">
        <v>131</v>
      </c>
      <c r="E145" s="15">
        <v>14</v>
      </c>
      <c r="F145" s="55" t="s">
        <v>525</v>
      </c>
      <c r="G145" s="14"/>
      <c r="H145" s="16">
        <f t="shared" si="4"/>
        <v>0</v>
      </c>
      <c r="I145" s="26"/>
      <c r="J145" s="26"/>
    </row>
    <row r="146" spans="1:10" ht="16" customHeight="1">
      <c r="A146" s="26"/>
      <c r="B146" s="14" t="s">
        <v>246</v>
      </c>
      <c r="C146" s="149"/>
      <c r="D146" s="14" t="s">
        <v>29</v>
      </c>
      <c r="E146" s="15">
        <v>14</v>
      </c>
      <c r="F146" s="55" t="s">
        <v>525</v>
      </c>
      <c r="G146" s="14"/>
      <c r="H146" s="16">
        <f t="shared" si="4"/>
        <v>0</v>
      </c>
      <c r="I146" s="26"/>
      <c r="J146" s="26"/>
    </row>
    <row r="147" spans="1:10" ht="16" customHeight="1">
      <c r="A147" s="26"/>
      <c r="B147" s="14" t="s">
        <v>247</v>
      </c>
      <c r="C147" s="149"/>
      <c r="D147" s="14" t="s">
        <v>39</v>
      </c>
      <c r="E147" s="15">
        <v>14</v>
      </c>
      <c r="F147" s="55" t="s">
        <v>525</v>
      </c>
      <c r="G147" s="14"/>
      <c r="H147" s="16">
        <f t="shared" si="4"/>
        <v>0</v>
      </c>
      <c r="I147" s="26"/>
      <c r="J147" s="26"/>
    </row>
    <row r="148" spans="1:10" ht="16" customHeight="1">
      <c r="A148" s="26"/>
      <c r="B148" s="12" t="s">
        <v>251</v>
      </c>
      <c r="C148" s="144" t="s">
        <v>58</v>
      </c>
      <c r="D148" s="19" t="s">
        <v>50</v>
      </c>
      <c r="E148" s="17">
        <v>14</v>
      </c>
      <c r="F148" s="56" t="s">
        <v>525</v>
      </c>
      <c r="G148" s="19"/>
      <c r="H148" s="20">
        <f t="shared" si="4"/>
        <v>0</v>
      </c>
      <c r="I148" s="26"/>
      <c r="J148" s="26"/>
    </row>
    <row r="149" spans="1:10" ht="16" customHeight="1">
      <c r="A149" s="26"/>
      <c r="B149" s="12" t="s">
        <v>252</v>
      </c>
      <c r="C149" s="144"/>
      <c r="D149" s="19" t="s">
        <v>32</v>
      </c>
      <c r="E149" s="17">
        <v>14</v>
      </c>
      <c r="F149" s="56" t="s">
        <v>525</v>
      </c>
      <c r="G149" s="19">
        <v>3</v>
      </c>
      <c r="H149" s="20">
        <f t="shared" si="4"/>
        <v>42</v>
      </c>
      <c r="I149" s="26"/>
      <c r="J149" s="26"/>
    </row>
    <row r="150" spans="1:10" ht="16" customHeight="1">
      <c r="A150" s="26"/>
      <c r="B150" s="12" t="s">
        <v>253</v>
      </c>
      <c r="C150" s="145"/>
      <c r="D150" s="19" t="s">
        <v>49</v>
      </c>
      <c r="E150" s="17">
        <v>14</v>
      </c>
      <c r="F150" s="56" t="s">
        <v>525</v>
      </c>
      <c r="G150" s="19">
        <v>3</v>
      </c>
      <c r="H150" s="20">
        <f t="shared" ref="H150:H155" si="5">SUM(E150*G150)</f>
        <v>42</v>
      </c>
      <c r="I150" s="26"/>
      <c r="J150" s="26"/>
    </row>
    <row r="151" spans="1:10" ht="16" customHeight="1">
      <c r="A151" s="26"/>
      <c r="B151" s="14" t="s">
        <v>254</v>
      </c>
      <c r="C151" s="149" t="s">
        <v>241</v>
      </c>
      <c r="D151" s="14" t="s">
        <v>21</v>
      </c>
      <c r="E151" s="15">
        <v>12</v>
      </c>
      <c r="F151" s="55" t="s">
        <v>525</v>
      </c>
      <c r="G151" s="14"/>
      <c r="H151" s="16">
        <f t="shared" si="5"/>
        <v>0</v>
      </c>
      <c r="I151" s="26"/>
      <c r="J151" s="26"/>
    </row>
    <row r="152" spans="1:10" ht="16" customHeight="1">
      <c r="A152" s="26"/>
      <c r="B152" s="14" t="s">
        <v>255</v>
      </c>
      <c r="C152" s="149"/>
      <c r="D152" s="14" t="s">
        <v>31</v>
      </c>
      <c r="E152" s="15">
        <v>12</v>
      </c>
      <c r="F152" s="55" t="s">
        <v>525</v>
      </c>
      <c r="G152" s="14"/>
      <c r="H152" s="16">
        <f t="shared" si="5"/>
        <v>0</v>
      </c>
      <c r="I152" s="26"/>
      <c r="J152" s="26"/>
    </row>
    <row r="153" spans="1:10" ht="16" customHeight="1">
      <c r="A153" s="26"/>
      <c r="B153" s="14" t="s">
        <v>256</v>
      </c>
      <c r="C153" s="149"/>
      <c r="D153" s="14" t="s">
        <v>39</v>
      </c>
      <c r="E153" s="15">
        <v>12</v>
      </c>
      <c r="F153" s="55" t="s">
        <v>525</v>
      </c>
      <c r="G153" s="14"/>
      <c r="H153" s="16">
        <f t="shared" si="5"/>
        <v>0</v>
      </c>
      <c r="I153" s="26"/>
      <c r="J153" s="26"/>
    </row>
    <row r="154" spans="1:10" ht="16" customHeight="1">
      <c r="A154" s="26"/>
      <c r="B154" s="12" t="s">
        <v>257</v>
      </c>
      <c r="C154" s="144" t="s">
        <v>242</v>
      </c>
      <c r="D154" s="12" t="s">
        <v>21</v>
      </c>
      <c r="E154" s="17">
        <v>13</v>
      </c>
      <c r="F154" s="56" t="s">
        <v>525</v>
      </c>
      <c r="G154" s="19"/>
      <c r="H154" s="20">
        <f t="shared" si="5"/>
        <v>0</v>
      </c>
      <c r="I154" s="26"/>
      <c r="J154" s="26"/>
    </row>
    <row r="155" spans="1:10" ht="16" customHeight="1">
      <c r="A155" s="26"/>
      <c r="B155" s="12" t="s">
        <v>258</v>
      </c>
      <c r="C155" s="144"/>
      <c r="D155" s="12" t="s">
        <v>25</v>
      </c>
      <c r="E155" s="17">
        <v>13</v>
      </c>
      <c r="F155" s="56" t="s">
        <v>525</v>
      </c>
      <c r="G155" s="19"/>
      <c r="H155" s="20">
        <f t="shared" si="5"/>
        <v>0</v>
      </c>
      <c r="I155" s="26"/>
      <c r="J155" s="26"/>
    </row>
    <row r="156" spans="1:10" ht="16" customHeight="1">
      <c r="A156" s="26"/>
      <c r="B156" s="12" t="s">
        <v>259</v>
      </c>
      <c r="C156" s="145"/>
      <c r="D156" s="12" t="s">
        <v>39</v>
      </c>
      <c r="E156" s="17">
        <v>13</v>
      </c>
      <c r="F156" s="56" t="s">
        <v>525</v>
      </c>
      <c r="G156" s="19"/>
      <c r="H156" s="20">
        <f t="shared" ref="H156:H161" si="6">SUM(E156*G156)</f>
        <v>0</v>
      </c>
      <c r="I156" s="26"/>
      <c r="J156" s="26"/>
    </row>
    <row r="157" spans="1:10" ht="16" customHeight="1">
      <c r="A157" s="26"/>
      <c r="B157" s="14" t="s">
        <v>260</v>
      </c>
      <c r="C157" s="149" t="s">
        <v>243</v>
      </c>
      <c r="D157" s="14" t="s">
        <v>44</v>
      </c>
      <c r="E157" s="15">
        <v>13</v>
      </c>
      <c r="F157" s="55" t="s">
        <v>525</v>
      </c>
      <c r="G157" s="14">
        <v>3</v>
      </c>
      <c r="H157" s="16">
        <f t="shared" si="6"/>
        <v>39</v>
      </c>
      <c r="I157" s="26"/>
      <c r="J157" s="26"/>
    </row>
    <row r="158" spans="1:10" ht="16" customHeight="1">
      <c r="A158" s="26"/>
      <c r="B158" s="14" t="s">
        <v>261</v>
      </c>
      <c r="C158" s="149"/>
      <c r="D158" s="14" t="s">
        <v>41</v>
      </c>
      <c r="E158" s="15">
        <v>13</v>
      </c>
      <c r="F158" s="55" t="s">
        <v>525</v>
      </c>
      <c r="G158" s="14">
        <v>3</v>
      </c>
      <c r="H158" s="16">
        <f t="shared" si="6"/>
        <v>39</v>
      </c>
      <c r="I158" s="26"/>
      <c r="J158" s="26"/>
    </row>
    <row r="159" spans="1:10" ht="16" customHeight="1">
      <c r="A159" s="26"/>
      <c r="B159" s="14" t="s">
        <v>262</v>
      </c>
      <c r="C159" s="149"/>
      <c r="D159" s="14" t="s">
        <v>42</v>
      </c>
      <c r="E159" s="15">
        <v>13</v>
      </c>
      <c r="F159" s="55" t="s">
        <v>525</v>
      </c>
      <c r="G159" s="14"/>
      <c r="H159" s="16">
        <f t="shared" si="6"/>
        <v>0</v>
      </c>
      <c r="I159" s="26"/>
      <c r="J159" s="26"/>
    </row>
    <row r="160" spans="1:10" ht="16" customHeight="1">
      <c r="A160" s="26"/>
      <c r="B160" s="12" t="s">
        <v>263</v>
      </c>
      <c r="C160" s="144" t="s">
        <v>244</v>
      </c>
      <c r="D160" s="12" t="s">
        <v>21</v>
      </c>
      <c r="E160" s="17">
        <v>13</v>
      </c>
      <c r="F160" s="56" t="s">
        <v>525</v>
      </c>
      <c r="G160" s="19"/>
      <c r="H160" s="20">
        <f t="shared" si="6"/>
        <v>0</v>
      </c>
      <c r="I160" s="26"/>
      <c r="J160" s="26"/>
    </row>
    <row r="161" spans="1:10" ht="16" customHeight="1">
      <c r="A161" s="26"/>
      <c r="B161" s="12" t="s">
        <v>264</v>
      </c>
      <c r="C161" s="144"/>
      <c r="D161" s="12" t="s">
        <v>32</v>
      </c>
      <c r="E161" s="17">
        <v>13</v>
      </c>
      <c r="F161" s="56" t="s">
        <v>525</v>
      </c>
      <c r="G161" s="19"/>
      <c r="H161" s="20">
        <f t="shared" si="6"/>
        <v>0</v>
      </c>
      <c r="I161" s="26"/>
      <c r="J161" s="26"/>
    </row>
    <row r="162" spans="1:10" ht="16" customHeight="1">
      <c r="A162" s="26"/>
      <c r="B162" s="12" t="s">
        <v>265</v>
      </c>
      <c r="C162" s="145"/>
      <c r="D162" s="12" t="s">
        <v>31</v>
      </c>
      <c r="E162" s="17">
        <v>13</v>
      </c>
      <c r="F162" s="56" t="s">
        <v>525</v>
      </c>
      <c r="G162" s="19"/>
      <c r="H162" s="20">
        <f t="shared" ref="H162" si="7">SUM(E162*G162)</f>
        <v>0</v>
      </c>
      <c r="I162" s="26"/>
      <c r="J162" s="26"/>
    </row>
    <row r="163" spans="1:10" ht="19">
      <c r="A163" s="26"/>
      <c r="B163" s="165" t="s">
        <v>53</v>
      </c>
      <c r="C163" s="166"/>
      <c r="D163" s="166"/>
      <c r="E163" s="166"/>
      <c r="F163" s="166"/>
      <c r="G163" s="166"/>
      <c r="H163" s="166"/>
      <c r="I163" s="26"/>
      <c r="J163" s="26"/>
    </row>
    <row r="164" spans="1:10">
      <c r="A164" s="26"/>
      <c r="B164" s="9" t="s">
        <v>13</v>
      </c>
      <c r="C164" s="9" t="s">
        <v>14</v>
      </c>
      <c r="D164" s="9" t="s">
        <v>15</v>
      </c>
      <c r="E164" s="10" t="s">
        <v>16</v>
      </c>
      <c r="F164" s="10" t="s">
        <v>17</v>
      </c>
      <c r="G164" s="10" t="s">
        <v>62</v>
      </c>
      <c r="H164" s="11" t="s">
        <v>19</v>
      </c>
      <c r="I164" s="26"/>
      <c r="J164" s="26"/>
    </row>
    <row r="165" spans="1:10" ht="16" customHeight="1">
      <c r="A165" s="26"/>
      <c r="B165" s="14" t="s">
        <v>267</v>
      </c>
      <c r="C165" s="149" t="s">
        <v>266</v>
      </c>
      <c r="D165" s="14" t="s">
        <v>269</v>
      </c>
      <c r="E165" s="15">
        <v>16</v>
      </c>
      <c r="F165" s="55" t="s">
        <v>525</v>
      </c>
      <c r="G165" s="14"/>
      <c r="H165" s="16">
        <f t="shared" ref="H165:H172" si="8">SUM(E165*G165)</f>
        <v>0</v>
      </c>
      <c r="I165" s="26"/>
      <c r="J165" s="26"/>
    </row>
    <row r="166" spans="1:10" ht="16" customHeight="1">
      <c r="A166" s="26"/>
      <c r="B166" s="14" t="s">
        <v>268</v>
      </c>
      <c r="C166" s="149"/>
      <c r="D166" s="14" t="s">
        <v>270</v>
      </c>
      <c r="E166" s="15">
        <v>16</v>
      </c>
      <c r="F166" s="55" t="s">
        <v>525</v>
      </c>
      <c r="G166" s="14"/>
      <c r="H166" s="16">
        <f t="shared" si="8"/>
        <v>0</v>
      </c>
      <c r="I166" s="26"/>
      <c r="J166" s="26"/>
    </row>
    <row r="167" spans="1:10" ht="16" customHeight="1">
      <c r="A167" s="26"/>
      <c r="B167" s="12" t="s">
        <v>272</v>
      </c>
      <c r="C167" s="144" t="s">
        <v>271</v>
      </c>
      <c r="D167" s="12" t="s">
        <v>21</v>
      </c>
      <c r="E167" s="17">
        <v>17</v>
      </c>
      <c r="F167" s="56" t="s">
        <v>525</v>
      </c>
      <c r="G167" s="19"/>
      <c r="H167" s="20">
        <f t="shared" si="8"/>
        <v>0</v>
      </c>
      <c r="I167" s="26"/>
      <c r="J167" s="26"/>
    </row>
    <row r="168" spans="1:10" ht="16" customHeight="1">
      <c r="A168" s="26"/>
      <c r="B168" s="12" t="s">
        <v>273</v>
      </c>
      <c r="C168" s="144"/>
      <c r="D168" s="12" t="s">
        <v>45</v>
      </c>
      <c r="E168" s="17">
        <v>17</v>
      </c>
      <c r="F168" s="56" t="s">
        <v>525</v>
      </c>
      <c r="G168" s="19"/>
      <c r="H168" s="20">
        <f t="shared" si="8"/>
        <v>0</v>
      </c>
      <c r="I168" s="26"/>
      <c r="J168" s="26"/>
    </row>
    <row r="169" spans="1:10" ht="16" customHeight="1">
      <c r="A169" s="26"/>
      <c r="B169" s="12" t="s">
        <v>274</v>
      </c>
      <c r="C169" s="145"/>
      <c r="D169" s="12" t="s">
        <v>275</v>
      </c>
      <c r="E169" s="17">
        <v>17</v>
      </c>
      <c r="F169" s="56" t="s">
        <v>525</v>
      </c>
      <c r="G169" s="19"/>
      <c r="H169" s="20">
        <f t="shared" si="8"/>
        <v>0</v>
      </c>
      <c r="I169" s="26"/>
      <c r="J169" s="26"/>
    </row>
    <row r="170" spans="1:10" ht="16" customHeight="1">
      <c r="A170" s="26"/>
      <c r="B170" s="14" t="s">
        <v>277</v>
      </c>
      <c r="C170" s="149" t="s">
        <v>276</v>
      </c>
      <c r="D170" s="14" t="s">
        <v>21</v>
      </c>
      <c r="E170" s="15">
        <v>16</v>
      </c>
      <c r="F170" s="55" t="s">
        <v>525</v>
      </c>
      <c r="G170" s="14"/>
      <c r="H170" s="16">
        <f t="shared" si="8"/>
        <v>0</v>
      </c>
      <c r="I170" s="26"/>
      <c r="J170" s="26"/>
    </row>
    <row r="171" spans="1:10" ht="16" customHeight="1">
      <c r="A171" s="26"/>
      <c r="B171" s="14" t="s">
        <v>278</v>
      </c>
      <c r="C171" s="149"/>
      <c r="D171" s="14" t="s">
        <v>41</v>
      </c>
      <c r="E171" s="15">
        <v>16</v>
      </c>
      <c r="F171" s="55" t="s">
        <v>525</v>
      </c>
      <c r="G171" s="14"/>
      <c r="H171" s="16">
        <f t="shared" si="8"/>
        <v>0</v>
      </c>
      <c r="I171" s="26"/>
      <c r="J171" s="26"/>
    </row>
    <row r="172" spans="1:10" ht="16" customHeight="1">
      <c r="A172" s="26"/>
      <c r="B172" s="12" t="s">
        <v>280</v>
      </c>
      <c r="C172" s="145" t="s">
        <v>279</v>
      </c>
      <c r="D172" s="90" t="s">
        <v>282</v>
      </c>
      <c r="E172" s="91">
        <v>16</v>
      </c>
      <c r="F172" s="56" t="s">
        <v>525</v>
      </c>
      <c r="G172" s="19"/>
      <c r="H172" s="20">
        <f t="shared" si="8"/>
        <v>0</v>
      </c>
      <c r="I172" s="26"/>
      <c r="J172" s="26"/>
    </row>
    <row r="173" spans="1:10" ht="16" customHeight="1">
      <c r="A173" s="26"/>
      <c r="B173" s="12" t="s">
        <v>281</v>
      </c>
      <c r="C173" s="146"/>
      <c r="D173" s="90" t="s">
        <v>283</v>
      </c>
      <c r="E173" s="91">
        <v>16</v>
      </c>
      <c r="F173" s="56" t="s">
        <v>525</v>
      </c>
      <c r="G173" s="19"/>
      <c r="H173" s="20">
        <f t="shared" ref="H173:H176" si="9">SUM(E173*G173)</f>
        <v>0</v>
      </c>
      <c r="I173" s="26"/>
      <c r="J173" s="26"/>
    </row>
    <row r="174" spans="1:10" ht="16" customHeight="1">
      <c r="A174" s="26"/>
      <c r="B174" s="14" t="s">
        <v>285</v>
      </c>
      <c r="C174" s="149" t="s">
        <v>284</v>
      </c>
      <c r="D174" s="14" t="s">
        <v>31</v>
      </c>
      <c r="E174" s="15">
        <v>20</v>
      </c>
      <c r="F174" s="55" t="s">
        <v>525</v>
      </c>
      <c r="G174" s="14"/>
      <c r="H174" s="16">
        <f t="shared" si="9"/>
        <v>0</v>
      </c>
      <c r="I174" s="26"/>
      <c r="J174" s="26"/>
    </row>
    <row r="175" spans="1:10" ht="16" customHeight="1">
      <c r="A175" s="26"/>
      <c r="B175" s="14" t="s">
        <v>286</v>
      </c>
      <c r="C175" s="149"/>
      <c r="D175" s="14" t="s">
        <v>32</v>
      </c>
      <c r="E175" s="15">
        <v>20</v>
      </c>
      <c r="F175" s="55" t="s">
        <v>525</v>
      </c>
      <c r="G175" s="14"/>
      <c r="H175" s="16">
        <f t="shared" si="9"/>
        <v>0</v>
      </c>
      <c r="I175" s="26"/>
      <c r="J175" s="26"/>
    </row>
    <row r="176" spans="1:10" ht="16" customHeight="1">
      <c r="A176" s="26"/>
      <c r="B176" s="14" t="s">
        <v>287</v>
      </c>
      <c r="C176" s="149"/>
      <c r="D176" s="14" t="s">
        <v>25</v>
      </c>
      <c r="E176" s="15">
        <v>20</v>
      </c>
      <c r="F176" s="55" t="s">
        <v>525</v>
      </c>
      <c r="G176" s="14"/>
      <c r="H176" s="16">
        <f t="shared" si="9"/>
        <v>0</v>
      </c>
      <c r="I176" s="26"/>
      <c r="J176" s="26"/>
    </row>
    <row r="177" spans="1:10" ht="19">
      <c r="A177" s="26"/>
      <c r="B177" s="147" t="s">
        <v>288</v>
      </c>
      <c r="C177" s="148"/>
      <c r="D177" s="148"/>
      <c r="E177" s="148"/>
      <c r="F177" s="148"/>
      <c r="G177" s="148"/>
      <c r="H177" s="148"/>
      <c r="I177" s="26"/>
      <c r="J177" s="26"/>
    </row>
    <row r="178" spans="1:10">
      <c r="A178" s="26"/>
      <c r="B178" s="114" t="s">
        <v>13</v>
      </c>
      <c r="C178" s="114" t="s">
        <v>14</v>
      </c>
      <c r="D178" s="114" t="s">
        <v>15</v>
      </c>
      <c r="E178" s="115" t="s">
        <v>16</v>
      </c>
      <c r="F178" s="115" t="s">
        <v>17</v>
      </c>
      <c r="G178" s="115" t="s">
        <v>62</v>
      </c>
      <c r="H178" s="116" t="s">
        <v>19</v>
      </c>
      <c r="I178" s="26"/>
      <c r="J178" s="26"/>
    </row>
    <row r="179" spans="1:10" ht="16" customHeight="1">
      <c r="A179" s="26"/>
      <c r="B179" s="14" t="s">
        <v>292</v>
      </c>
      <c r="C179" s="149" t="s">
        <v>289</v>
      </c>
      <c r="D179" s="14" t="s">
        <v>41</v>
      </c>
      <c r="E179" s="15">
        <v>10</v>
      </c>
      <c r="F179" s="55" t="s">
        <v>525</v>
      </c>
      <c r="G179" s="14"/>
      <c r="H179" s="16">
        <f t="shared" ref="H179:H185" si="10">SUM(E179*G179)</f>
        <v>0</v>
      </c>
      <c r="I179" s="26"/>
      <c r="J179" s="26"/>
    </row>
    <row r="180" spans="1:10" ht="16" customHeight="1">
      <c r="A180" s="26"/>
      <c r="B180" s="14" t="s">
        <v>293</v>
      </c>
      <c r="C180" s="149"/>
      <c r="D180" s="14" t="s">
        <v>143</v>
      </c>
      <c r="E180" s="15">
        <v>10</v>
      </c>
      <c r="F180" s="55" t="s">
        <v>525</v>
      </c>
      <c r="G180" s="14"/>
      <c r="H180" s="16">
        <f t="shared" si="10"/>
        <v>0</v>
      </c>
      <c r="I180" s="26"/>
      <c r="J180" s="26"/>
    </row>
    <row r="181" spans="1:10" ht="16" customHeight="1">
      <c r="A181" s="26"/>
      <c r="B181" s="14" t="s">
        <v>294</v>
      </c>
      <c r="C181" s="149"/>
      <c r="D181" s="14" t="s">
        <v>112</v>
      </c>
      <c r="E181" s="15">
        <v>10</v>
      </c>
      <c r="F181" s="55" t="s">
        <v>525</v>
      </c>
      <c r="G181" s="14"/>
      <c r="H181" s="16">
        <f t="shared" si="10"/>
        <v>0</v>
      </c>
      <c r="I181" s="26"/>
      <c r="J181" s="26"/>
    </row>
    <row r="182" spans="1:10" ht="16" customHeight="1">
      <c r="A182" s="26"/>
      <c r="B182" s="14" t="s">
        <v>295</v>
      </c>
      <c r="C182" s="149"/>
      <c r="D182" s="14" t="s">
        <v>45</v>
      </c>
      <c r="E182" s="15">
        <v>10</v>
      </c>
      <c r="F182" s="55" t="s">
        <v>525</v>
      </c>
      <c r="G182" s="14"/>
      <c r="H182" s="16">
        <f t="shared" si="10"/>
        <v>0</v>
      </c>
      <c r="I182" s="26"/>
      <c r="J182" s="26"/>
    </row>
    <row r="183" spans="1:10" ht="16" customHeight="1">
      <c r="A183" s="26"/>
      <c r="B183" s="12" t="s">
        <v>296</v>
      </c>
      <c r="C183" s="144" t="s">
        <v>290</v>
      </c>
      <c r="D183" s="90" t="s">
        <v>193</v>
      </c>
      <c r="E183" s="91">
        <v>10</v>
      </c>
      <c r="F183" s="56" t="s">
        <v>525</v>
      </c>
      <c r="G183" s="19"/>
      <c r="H183" s="20">
        <f t="shared" si="10"/>
        <v>0</v>
      </c>
      <c r="I183" s="26"/>
      <c r="J183" s="26"/>
    </row>
    <row r="184" spans="1:10" ht="16" customHeight="1">
      <c r="A184" s="26"/>
      <c r="B184" s="12" t="s">
        <v>297</v>
      </c>
      <c r="C184" s="144"/>
      <c r="D184" s="90" t="s">
        <v>32</v>
      </c>
      <c r="E184" s="91">
        <v>10</v>
      </c>
      <c r="F184" s="56" t="s">
        <v>525</v>
      </c>
      <c r="G184" s="19"/>
      <c r="H184" s="20">
        <f t="shared" si="10"/>
        <v>0</v>
      </c>
      <c r="I184" s="26"/>
      <c r="J184" s="26"/>
    </row>
    <row r="185" spans="1:10" ht="16" customHeight="1">
      <c r="A185" s="26"/>
      <c r="B185" s="12" t="s">
        <v>298</v>
      </c>
      <c r="C185" s="144"/>
      <c r="D185" s="90" t="s">
        <v>21</v>
      </c>
      <c r="E185" s="91">
        <v>10</v>
      </c>
      <c r="F185" s="56" t="s">
        <v>525</v>
      </c>
      <c r="G185" s="19"/>
      <c r="H185" s="20">
        <f t="shared" si="10"/>
        <v>0</v>
      </c>
      <c r="I185" s="26"/>
      <c r="J185" s="26"/>
    </row>
    <row r="186" spans="1:10" ht="16" customHeight="1">
      <c r="A186" s="26"/>
      <c r="B186" s="12" t="s">
        <v>299</v>
      </c>
      <c r="C186" s="145"/>
      <c r="D186" s="90" t="s">
        <v>50</v>
      </c>
      <c r="E186" s="91">
        <v>10</v>
      </c>
      <c r="F186" s="56" t="s">
        <v>525</v>
      </c>
      <c r="G186" s="19"/>
      <c r="H186" s="20">
        <f t="shared" ref="H186:H190" si="11">SUM(E186*G186)</f>
        <v>0</v>
      </c>
      <c r="I186" s="26"/>
      <c r="J186" s="26"/>
    </row>
    <row r="187" spans="1:10" ht="16" customHeight="1">
      <c r="A187" s="26"/>
      <c r="B187" s="92" t="s">
        <v>300</v>
      </c>
      <c r="C187" s="149" t="s">
        <v>291</v>
      </c>
      <c r="D187" s="14" t="s">
        <v>21</v>
      </c>
      <c r="E187" s="15">
        <v>10</v>
      </c>
      <c r="F187" s="55" t="s">
        <v>525</v>
      </c>
      <c r="G187" s="14"/>
      <c r="H187" s="16">
        <f t="shared" si="11"/>
        <v>0</v>
      </c>
      <c r="I187" s="26"/>
      <c r="J187" s="26"/>
    </row>
    <row r="188" spans="1:10" ht="16" customHeight="1">
      <c r="A188" s="26"/>
      <c r="B188" s="92" t="s">
        <v>301</v>
      </c>
      <c r="C188" s="149"/>
      <c r="D188" s="14" t="s">
        <v>50</v>
      </c>
      <c r="E188" s="15">
        <v>10</v>
      </c>
      <c r="F188" s="55" t="s">
        <v>525</v>
      </c>
      <c r="G188" s="14"/>
      <c r="H188" s="16">
        <f t="shared" si="11"/>
        <v>0</v>
      </c>
      <c r="I188" s="26"/>
      <c r="J188" s="26"/>
    </row>
    <row r="189" spans="1:10" ht="16" customHeight="1">
      <c r="A189" s="26"/>
      <c r="B189" s="92" t="s">
        <v>302</v>
      </c>
      <c r="C189" s="149"/>
      <c r="D189" s="14" t="s">
        <v>32</v>
      </c>
      <c r="E189" s="15">
        <v>10</v>
      </c>
      <c r="F189" s="55" t="s">
        <v>525</v>
      </c>
      <c r="G189" s="14"/>
      <c r="H189" s="16">
        <f t="shared" si="11"/>
        <v>0</v>
      </c>
      <c r="I189" s="26"/>
      <c r="J189" s="26"/>
    </row>
    <row r="190" spans="1:10" ht="16" customHeight="1">
      <c r="A190" s="26"/>
      <c r="B190" s="92" t="s">
        <v>303</v>
      </c>
      <c r="C190" s="149"/>
      <c r="D190" s="14" t="s">
        <v>26</v>
      </c>
      <c r="E190" s="15">
        <v>10</v>
      </c>
      <c r="F190" s="55" t="s">
        <v>525</v>
      </c>
      <c r="G190" s="14"/>
      <c r="H190" s="16">
        <f t="shared" si="11"/>
        <v>0</v>
      </c>
      <c r="I190" s="26"/>
      <c r="J190" s="26"/>
    </row>
    <row r="191" spans="1:10" ht="19">
      <c r="A191" s="26"/>
      <c r="B191" s="163" t="s">
        <v>69</v>
      </c>
      <c r="C191" s="164"/>
      <c r="D191" s="164"/>
      <c r="E191" s="164"/>
      <c r="F191" s="164"/>
      <c r="G191" s="164"/>
      <c r="H191" s="164"/>
      <c r="I191" s="26"/>
      <c r="J191" s="26"/>
    </row>
    <row r="192" spans="1:10">
      <c r="A192" s="26"/>
      <c r="B192" s="114" t="s">
        <v>13</v>
      </c>
      <c r="C192" s="114" t="s">
        <v>14</v>
      </c>
      <c r="D192" s="114" t="s">
        <v>15</v>
      </c>
      <c r="E192" s="115" t="s">
        <v>16</v>
      </c>
      <c r="F192" s="115" t="s">
        <v>17</v>
      </c>
      <c r="G192" s="115" t="s">
        <v>62</v>
      </c>
      <c r="H192" s="116" t="s">
        <v>19</v>
      </c>
      <c r="I192" s="26"/>
      <c r="J192" s="26"/>
    </row>
    <row r="193" spans="1:10" ht="16" customHeight="1">
      <c r="A193" s="26"/>
      <c r="B193" s="12" t="s">
        <v>305</v>
      </c>
      <c r="C193" s="144" t="s">
        <v>304</v>
      </c>
      <c r="D193" s="12" t="s">
        <v>21</v>
      </c>
      <c r="E193" s="17">
        <v>15</v>
      </c>
      <c r="F193" s="74" t="s">
        <v>525</v>
      </c>
      <c r="G193" s="19">
        <v>2</v>
      </c>
      <c r="H193" s="20">
        <f t="shared" ref="H193:H209" si="12">SUM(E193*G193)</f>
        <v>30</v>
      </c>
      <c r="I193" s="26"/>
      <c r="J193" s="26"/>
    </row>
    <row r="194" spans="1:10" ht="16" customHeight="1">
      <c r="A194" s="26"/>
      <c r="B194" s="12" t="s">
        <v>306</v>
      </c>
      <c r="C194" s="145"/>
      <c r="D194" s="12" t="s">
        <v>91</v>
      </c>
      <c r="E194" s="17">
        <v>15</v>
      </c>
      <c r="F194" s="74" t="s">
        <v>525</v>
      </c>
      <c r="G194" s="19">
        <v>2</v>
      </c>
      <c r="H194" s="20">
        <f t="shared" si="12"/>
        <v>30</v>
      </c>
      <c r="I194" s="26"/>
      <c r="J194" s="26"/>
    </row>
    <row r="195" spans="1:10" ht="16" customHeight="1">
      <c r="A195" s="26"/>
      <c r="B195" s="14" t="s">
        <v>307</v>
      </c>
      <c r="C195" s="149" t="s">
        <v>54</v>
      </c>
      <c r="D195" s="14" t="s">
        <v>43</v>
      </c>
      <c r="E195" s="15">
        <v>15</v>
      </c>
      <c r="F195" s="75" t="s">
        <v>525</v>
      </c>
      <c r="G195" s="14">
        <v>3</v>
      </c>
      <c r="H195" s="16">
        <f t="shared" si="12"/>
        <v>45</v>
      </c>
      <c r="I195" s="26"/>
      <c r="J195" s="26"/>
    </row>
    <row r="196" spans="1:10" ht="16" customHeight="1">
      <c r="A196" s="26"/>
      <c r="B196" s="14" t="s">
        <v>308</v>
      </c>
      <c r="C196" s="149"/>
      <c r="D196" s="14" t="s">
        <v>25</v>
      </c>
      <c r="E196" s="15">
        <v>15</v>
      </c>
      <c r="F196" s="75" t="s">
        <v>525</v>
      </c>
      <c r="G196" s="14"/>
      <c r="H196" s="16">
        <f t="shared" si="12"/>
        <v>0</v>
      </c>
      <c r="I196" s="26"/>
      <c r="J196" s="26"/>
    </row>
    <row r="197" spans="1:10" ht="16" customHeight="1">
      <c r="A197" s="26"/>
      <c r="B197" s="14" t="s">
        <v>309</v>
      </c>
      <c r="C197" s="149"/>
      <c r="D197" s="14" t="s">
        <v>58</v>
      </c>
      <c r="E197" s="15">
        <v>15</v>
      </c>
      <c r="F197" s="75" t="s">
        <v>525</v>
      </c>
      <c r="G197" s="14">
        <v>3</v>
      </c>
      <c r="H197" s="16">
        <f t="shared" si="12"/>
        <v>45</v>
      </c>
      <c r="I197" s="26"/>
      <c r="J197" s="26"/>
    </row>
    <row r="198" spans="1:10" ht="16" customHeight="1">
      <c r="A198" s="26"/>
      <c r="B198" s="14" t="s">
        <v>310</v>
      </c>
      <c r="C198" s="149"/>
      <c r="D198" s="14" t="s">
        <v>311</v>
      </c>
      <c r="E198" s="15">
        <v>15</v>
      </c>
      <c r="F198" s="75" t="s">
        <v>525</v>
      </c>
      <c r="G198" s="14">
        <v>3</v>
      </c>
      <c r="H198" s="16">
        <f t="shared" si="12"/>
        <v>45</v>
      </c>
      <c r="I198" s="26"/>
      <c r="J198" s="26"/>
    </row>
    <row r="199" spans="1:10" ht="16" customHeight="1">
      <c r="A199" s="26"/>
      <c r="B199" s="12" t="s">
        <v>313</v>
      </c>
      <c r="C199" s="144" t="s">
        <v>312</v>
      </c>
      <c r="D199" s="12" t="s">
        <v>21</v>
      </c>
      <c r="E199" s="17">
        <v>17</v>
      </c>
      <c r="F199" s="74" t="s">
        <v>525</v>
      </c>
      <c r="G199" s="19"/>
      <c r="H199" s="20">
        <f t="shared" si="12"/>
        <v>0</v>
      </c>
      <c r="I199" s="26"/>
      <c r="J199" s="26"/>
    </row>
    <row r="200" spans="1:10" ht="16" customHeight="1">
      <c r="A200" s="26"/>
      <c r="B200" s="12" t="s">
        <v>314</v>
      </c>
      <c r="C200" s="145"/>
      <c r="D200" s="12" t="s">
        <v>42</v>
      </c>
      <c r="E200" s="17">
        <v>17</v>
      </c>
      <c r="F200" s="74" t="s">
        <v>525</v>
      </c>
      <c r="G200" s="19">
        <v>1</v>
      </c>
      <c r="H200" s="20">
        <f t="shared" si="12"/>
        <v>17</v>
      </c>
      <c r="I200" s="26"/>
      <c r="J200" s="26"/>
    </row>
    <row r="201" spans="1:10" ht="16" customHeight="1">
      <c r="A201" s="26"/>
      <c r="B201" s="14" t="s">
        <v>315</v>
      </c>
      <c r="C201" s="149" t="s">
        <v>34</v>
      </c>
      <c r="D201" s="14" t="s">
        <v>21</v>
      </c>
      <c r="E201" s="15">
        <v>15</v>
      </c>
      <c r="F201" s="75" t="s">
        <v>525</v>
      </c>
      <c r="G201" s="14"/>
      <c r="H201" s="16">
        <f t="shared" si="12"/>
        <v>0</v>
      </c>
      <c r="I201" s="26"/>
      <c r="J201" s="26"/>
    </row>
    <row r="202" spans="1:10" ht="16" customHeight="1">
      <c r="A202" s="26"/>
      <c r="B202" s="14" t="s">
        <v>316</v>
      </c>
      <c r="C202" s="149"/>
      <c r="D202" s="14" t="s">
        <v>32</v>
      </c>
      <c r="E202" s="15">
        <v>15</v>
      </c>
      <c r="F202" s="75" t="s">
        <v>525</v>
      </c>
      <c r="G202" s="14"/>
      <c r="H202" s="16">
        <f t="shared" si="12"/>
        <v>0</v>
      </c>
      <c r="I202" s="26"/>
      <c r="J202" s="26"/>
    </row>
    <row r="203" spans="1:10" ht="16" customHeight="1">
      <c r="A203" s="26"/>
      <c r="B203" s="14" t="s">
        <v>317</v>
      </c>
      <c r="C203" s="149"/>
      <c r="D203" s="14" t="s">
        <v>31</v>
      </c>
      <c r="E203" s="15">
        <v>15</v>
      </c>
      <c r="F203" s="75" t="s">
        <v>525</v>
      </c>
      <c r="G203" s="14"/>
      <c r="H203" s="16">
        <f t="shared" si="12"/>
        <v>0</v>
      </c>
      <c r="I203" s="26"/>
      <c r="J203" s="26"/>
    </row>
    <row r="204" spans="1:10" ht="16" customHeight="1">
      <c r="A204" s="26"/>
      <c r="B204" s="12" t="s">
        <v>319</v>
      </c>
      <c r="C204" s="144" t="s">
        <v>318</v>
      </c>
      <c r="D204" s="12" t="s">
        <v>21</v>
      </c>
      <c r="E204" s="17">
        <v>15</v>
      </c>
      <c r="F204" s="74" t="s">
        <v>525</v>
      </c>
      <c r="G204" s="19"/>
      <c r="H204" s="20">
        <f t="shared" si="12"/>
        <v>0</v>
      </c>
      <c r="I204" s="26"/>
      <c r="J204" s="26"/>
    </row>
    <row r="205" spans="1:10" ht="16" customHeight="1">
      <c r="A205" s="26"/>
      <c r="B205" s="12" t="s">
        <v>320</v>
      </c>
      <c r="C205" s="145"/>
      <c r="D205" s="12" t="s">
        <v>23</v>
      </c>
      <c r="E205" s="17">
        <v>15</v>
      </c>
      <c r="F205" s="74" t="s">
        <v>525</v>
      </c>
      <c r="G205" s="19"/>
      <c r="H205" s="20">
        <f t="shared" si="12"/>
        <v>0</v>
      </c>
      <c r="I205" s="26"/>
      <c r="J205" s="26"/>
    </row>
    <row r="206" spans="1:10" ht="16" customHeight="1">
      <c r="A206" s="26"/>
      <c r="B206" s="12" t="s">
        <v>321</v>
      </c>
      <c r="C206" s="145"/>
      <c r="D206" s="12" t="s">
        <v>143</v>
      </c>
      <c r="E206" s="17">
        <v>15</v>
      </c>
      <c r="F206" s="74" t="s">
        <v>525</v>
      </c>
      <c r="G206" s="19"/>
      <c r="H206" s="20">
        <f t="shared" si="12"/>
        <v>0</v>
      </c>
      <c r="I206" s="26"/>
      <c r="J206" s="26"/>
    </row>
    <row r="207" spans="1:10" ht="16" customHeight="1">
      <c r="A207" s="26"/>
      <c r="B207" s="14" t="s">
        <v>322</v>
      </c>
      <c r="C207" s="149" t="s">
        <v>33</v>
      </c>
      <c r="D207" s="14" t="s">
        <v>21</v>
      </c>
      <c r="E207" s="15">
        <v>17</v>
      </c>
      <c r="F207" s="75" t="s">
        <v>525</v>
      </c>
      <c r="G207" s="14"/>
      <c r="H207" s="16">
        <f t="shared" si="12"/>
        <v>0</v>
      </c>
      <c r="I207" s="26"/>
      <c r="J207" s="26"/>
    </row>
    <row r="208" spans="1:10" ht="16" customHeight="1">
      <c r="A208" s="26"/>
      <c r="B208" s="14" t="s">
        <v>323</v>
      </c>
      <c r="C208" s="149"/>
      <c r="D208" s="14" t="s">
        <v>32</v>
      </c>
      <c r="E208" s="15">
        <v>17</v>
      </c>
      <c r="F208" s="75" t="s">
        <v>525</v>
      </c>
      <c r="G208" s="14"/>
      <c r="H208" s="16">
        <f t="shared" si="12"/>
        <v>0</v>
      </c>
      <c r="I208" s="26"/>
      <c r="J208" s="26"/>
    </row>
    <row r="209" spans="1:10" ht="16" customHeight="1">
      <c r="A209" s="26"/>
      <c r="B209" s="14" t="s">
        <v>324</v>
      </c>
      <c r="C209" s="149"/>
      <c r="D209" s="14" t="s">
        <v>48</v>
      </c>
      <c r="E209" s="15">
        <v>17</v>
      </c>
      <c r="F209" s="75" t="s">
        <v>525</v>
      </c>
      <c r="G209" s="14"/>
      <c r="H209" s="16">
        <f t="shared" si="12"/>
        <v>0</v>
      </c>
      <c r="I209" s="26"/>
      <c r="J209" s="26"/>
    </row>
    <row r="210" spans="1:10" ht="16" customHeight="1">
      <c r="A210" s="26"/>
      <c r="B210" s="12" t="s">
        <v>325</v>
      </c>
      <c r="C210" s="144" t="s">
        <v>37</v>
      </c>
      <c r="D210" s="12" t="s">
        <v>21</v>
      </c>
      <c r="E210" s="17">
        <v>20</v>
      </c>
      <c r="F210" s="74" t="s">
        <v>525</v>
      </c>
      <c r="G210" s="19"/>
      <c r="H210" s="20">
        <f t="shared" ref="H210:H214" si="13">SUM(E210*G210)</f>
        <v>0</v>
      </c>
      <c r="I210" s="26"/>
      <c r="J210" s="26"/>
    </row>
    <row r="211" spans="1:10" ht="16" customHeight="1">
      <c r="A211" s="26"/>
      <c r="B211" s="12" t="s">
        <v>326</v>
      </c>
      <c r="C211" s="145"/>
      <c r="D211" s="12" t="s">
        <v>91</v>
      </c>
      <c r="E211" s="17">
        <v>20</v>
      </c>
      <c r="F211" s="74" t="s">
        <v>525</v>
      </c>
      <c r="G211" s="19"/>
      <c r="H211" s="20">
        <f t="shared" si="13"/>
        <v>0</v>
      </c>
      <c r="I211" s="26"/>
      <c r="J211" s="26"/>
    </row>
    <row r="212" spans="1:10" ht="16" customHeight="1">
      <c r="A212" s="26"/>
      <c r="B212" s="12" t="s">
        <v>327</v>
      </c>
      <c r="C212" s="145"/>
      <c r="D212" s="12" t="s">
        <v>42</v>
      </c>
      <c r="E212" s="17">
        <v>20</v>
      </c>
      <c r="F212" s="74" t="s">
        <v>525</v>
      </c>
      <c r="G212" s="19"/>
      <c r="H212" s="20">
        <f t="shared" si="13"/>
        <v>0</v>
      </c>
      <c r="I212" s="26"/>
      <c r="J212" s="26"/>
    </row>
    <row r="213" spans="1:10" ht="16" customHeight="1">
      <c r="A213" s="26"/>
      <c r="B213" s="12" t="s">
        <v>328</v>
      </c>
      <c r="C213" s="145"/>
      <c r="D213" s="12" t="s">
        <v>30</v>
      </c>
      <c r="E213" s="17">
        <v>20</v>
      </c>
      <c r="F213" s="74" t="s">
        <v>525</v>
      </c>
      <c r="G213" s="19"/>
      <c r="H213" s="20">
        <f t="shared" si="13"/>
        <v>0</v>
      </c>
      <c r="I213" s="26"/>
      <c r="J213" s="26"/>
    </row>
    <row r="214" spans="1:10" ht="16" customHeight="1">
      <c r="A214" s="26"/>
      <c r="B214" s="12" t="s">
        <v>329</v>
      </c>
      <c r="C214" s="145"/>
      <c r="D214" s="12" t="s">
        <v>173</v>
      </c>
      <c r="E214" s="17">
        <v>20</v>
      </c>
      <c r="F214" s="74" t="s">
        <v>525</v>
      </c>
      <c r="G214" s="19"/>
      <c r="H214" s="20">
        <f t="shared" si="13"/>
        <v>0</v>
      </c>
      <c r="I214" s="26"/>
      <c r="J214" s="26"/>
    </row>
    <row r="215" spans="1:10" ht="17" thickBot="1">
      <c r="A215" s="38"/>
      <c r="B215" s="46"/>
      <c r="C215" s="93"/>
      <c r="D215" s="167" t="s">
        <v>70</v>
      </c>
      <c r="E215" s="167"/>
      <c r="F215" s="168"/>
      <c r="G215" s="112">
        <f>SUM(G28:G162,G165:G176,G179:G190,G193:G214)</f>
        <v>128</v>
      </c>
      <c r="H215" s="113">
        <f>SUM(H28:H209)</f>
        <v>1565</v>
      </c>
      <c r="I215" s="26"/>
      <c r="J215" s="26"/>
    </row>
    <row r="216" spans="1:10" ht="30" customHeight="1">
      <c r="A216" s="26"/>
      <c r="B216" s="160" t="s">
        <v>330</v>
      </c>
      <c r="C216" s="161"/>
      <c r="D216" s="161"/>
      <c r="E216" s="161"/>
      <c r="F216" s="161"/>
      <c r="G216" s="161"/>
      <c r="H216" s="162"/>
      <c r="I216" s="26"/>
      <c r="J216" s="26"/>
    </row>
    <row r="217" spans="1:10" ht="17" thickBot="1">
      <c r="A217" s="26"/>
      <c r="B217" s="103" t="s">
        <v>13</v>
      </c>
      <c r="C217" s="104" t="s">
        <v>14</v>
      </c>
      <c r="D217" s="104" t="s">
        <v>15</v>
      </c>
      <c r="E217" s="94" t="s">
        <v>16</v>
      </c>
      <c r="F217" s="94" t="s">
        <v>63</v>
      </c>
      <c r="G217" s="94" t="s">
        <v>62</v>
      </c>
      <c r="H217" s="95" t="s">
        <v>19</v>
      </c>
      <c r="I217" s="26"/>
      <c r="J217" s="26"/>
    </row>
    <row r="218" spans="1:10" ht="18" customHeight="1">
      <c r="A218" s="26"/>
      <c r="B218" s="12" t="s">
        <v>334</v>
      </c>
      <c r="C218" s="145" t="s">
        <v>331</v>
      </c>
      <c r="D218" s="90" t="s">
        <v>332</v>
      </c>
      <c r="E218" s="96">
        <v>60</v>
      </c>
      <c r="F218" s="97" t="s">
        <v>64</v>
      </c>
      <c r="G218" s="98"/>
      <c r="H218" s="99">
        <f t="shared" ref="H218:H254" si="14">SUM(E218*G218)</f>
        <v>0</v>
      </c>
      <c r="I218" s="26"/>
      <c r="J218" s="26"/>
    </row>
    <row r="219" spans="1:10" ht="18" customHeight="1">
      <c r="A219" s="26"/>
      <c r="B219" s="12" t="s">
        <v>335</v>
      </c>
      <c r="C219" s="145"/>
      <c r="D219" s="90" t="s">
        <v>332</v>
      </c>
      <c r="E219" s="100">
        <v>60</v>
      </c>
      <c r="F219" s="101" t="s">
        <v>65</v>
      </c>
      <c r="G219" s="90"/>
      <c r="H219" s="102">
        <f t="shared" si="14"/>
        <v>0</v>
      </c>
      <c r="I219" s="26"/>
      <c r="J219" s="26"/>
    </row>
    <row r="220" spans="1:10" ht="18" customHeight="1">
      <c r="A220" s="26"/>
      <c r="B220" s="12" t="s">
        <v>336</v>
      </c>
      <c r="C220" s="145"/>
      <c r="D220" s="90" t="s">
        <v>332</v>
      </c>
      <c r="E220" s="100">
        <v>60</v>
      </c>
      <c r="F220" s="101" t="s">
        <v>66</v>
      </c>
      <c r="G220" s="90"/>
      <c r="H220" s="102">
        <f t="shared" si="14"/>
        <v>0</v>
      </c>
      <c r="I220" s="26"/>
      <c r="J220" s="26"/>
    </row>
    <row r="221" spans="1:10" ht="18" customHeight="1">
      <c r="A221" s="26"/>
      <c r="B221" s="12" t="s">
        <v>337</v>
      </c>
      <c r="C221" s="145"/>
      <c r="D221" s="90" t="s">
        <v>332</v>
      </c>
      <c r="E221" s="100">
        <v>60</v>
      </c>
      <c r="F221" s="101" t="s">
        <v>67</v>
      </c>
      <c r="G221" s="90"/>
      <c r="H221" s="102">
        <f t="shared" si="14"/>
        <v>0</v>
      </c>
      <c r="I221" s="26"/>
      <c r="J221" s="26"/>
    </row>
    <row r="222" spans="1:10" ht="18" customHeight="1">
      <c r="A222" s="26"/>
      <c r="B222" s="12" t="s">
        <v>338</v>
      </c>
      <c r="C222" s="145"/>
      <c r="D222" s="90" t="s">
        <v>332</v>
      </c>
      <c r="E222" s="100">
        <v>60</v>
      </c>
      <c r="F222" s="101" t="s">
        <v>18</v>
      </c>
      <c r="G222" s="90"/>
      <c r="H222" s="102">
        <f t="shared" si="14"/>
        <v>0</v>
      </c>
      <c r="I222" s="26"/>
      <c r="J222" s="26"/>
    </row>
    <row r="223" spans="1:10" ht="18" customHeight="1">
      <c r="A223" s="26"/>
      <c r="B223" s="12" t="s">
        <v>339</v>
      </c>
      <c r="C223" s="145"/>
      <c r="D223" s="90" t="s">
        <v>333</v>
      </c>
      <c r="E223" s="100">
        <v>60</v>
      </c>
      <c r="F223" s="101" t="s">
        <v>64</v>
      </c>
      <c r="G223" s="90"/>
      <c r="H223" s="102">
        <f t="shared" si="14"/>
        <v>0</v>
      </c>
      <c r="I223" s="26"/>
      <c r="J223" s="26"/>
    </row>
    <row r="224" spans="1:10" ht="18" customHeight="1">
      <c r="A224" s="26"/>
      <c r="B224" s="12" t="s">
        <v>340</v>
      </c>
      <c r="C224" s="145"/>
      <c r="D224" s="90" t="s">
        <v>333</v>
      </c>
      <c r="E224" s="100">
        <v>60</v>
      </c>
      <c r="F224" s="101" t="s">
        <v>65</v>
      </c>
      <c r="G224" s="90"/>
      <c r="H224" s="102">
        <f t="shared" si="14"/>
        <v>0</v>
      </c>
      <c r="I224" s="26"/>
      <c r="J224" s="26"/>
    </row>
    <row r="225" spans="1:10" ht="18" customHeight="1">
      <c r="A225" s="26"/>
      <c r="B225" s="12" t="s">
        <v>341</v>
      </c>
      <c r="C225" s="145"/>
      <c r="D225" s="90" t="s">
        <v>333</v>
      </c>
      <c r="E225" s="100">
        <v>60</v>
      </c>
      <c r="F225" s="101" t="s">
        <v>66</v>
      </c>
      <c r="G225" s="90"/>
      <c r="H225" s="102">
        <f t="shared" si="14"/>
        <v>0</v>
      </c>
      <c r="I225" s="26"/>
      <c r="J225" s="26"/>
    </row>
    <row r="226" spans="1:10" ht="18" customHeight="1">
      <c r="A226" s="26"/>
      <c r="B226" s="12" t="s">
        <v>342</v>
      </c>
      <c r="C226" s="145"/>
      <c r="D226" s="90" t="s">
        <v>333</v>
      </c>
      <c r="E226" s="100">
        <v>60</v>
      </c>
      <c r="F226" s="101" t="s">
        <v>67</v>
      </c>
      <c r="G226" s="90"/>
      <c r="H226" s="102">
        <f t="shared" si="14"/>
        <v>0</v>
      </c>
      <c r="I226" s="26"/>
      <c r="J226" s="26"/>
    </row>
    <row r="227" spans="1:10" ht="18" customHeight="1">
      <c r="A227" s="26"/>
      <c r="B227" s="12" t="s">
        <v>343</v>
      </c>
      <c r="C227" s="145"/>
      <c r="D227" s="90" t="s">
        <v>333</v>
      </c>
      <c r="E227" s="100">
        <v>60</v>
      </c>
      <c r="F227" s="101" t="s">
        <v>18</v>
      </c>
      <c r="G227" s="90"/>
      <c r="H227" s="102">
        <f t="shared" si="14"/>
        <v>0</v>
      </c>
      <c r="I227" s="26"/>
      <c r="J227" s="26"/>
    </row>
    <row r="228" spans="1:10" ht="18" customHeight="1">
      <c r="A228" s="26"/>
      <c r="B228" s="12" t="s">
        <v>344</v>
      </c>
      <c r="C228" s="146"/>
      <c r="D228" s="90" t="s">
        <v>21</v>
      </c>
      <c r="E228" s="100">
        <v>60</v>
      </c>
      <c r="F228" s="101" t="s">
        <v>64</v>
      </c>
      <c r="G228" s="90"/>
      <c r="H228" s="102">
        <f t="shared" ref="H228:H232" si="15">SUM(E228*G228)</f>
        <v>0</v>
      </c>
      <c r="I228" s="26"/>
      <c r="J228" s="26"/>
    </row>
    <row r="229" spans="1:10" ht="18" customHeight="1">
      <c r="A229" s="26"/>
      <c r="B229" s="12" t="s">
        <v>345</v>
      </c>
      <c r="C229" s="146"/>
      <c r="D229" s="90" t="s">
        <v>21</v>
      </c>
      <c r="E229" s="100">
        <v>60</v>
      </c>
      <c r="F229" s="101" t="s">
        <v>65</v>
      </c>
      <c r="G229" s="90"/>
      <c r="H229" s="102">
        <f t="shared" si="15"/>
        <v>0</v>
      </c>
      <c r="I229" s="26"/>
      <c r="J229" s="26"/>
    </row>
    <row r="230" spans="1:10" ht="18" customHeight="1">
      <c r="A230" s="26"/>
      <c r="B230" s="12" t="s">
        <v>346</v>
      </c>
      <c r="C230" s="146"/>
      <c r="D230" s="90" t="s">
        <v>21</v>
      </c>
      <c r="E230" s="100">
        <v>60</v>
      </c>
      <c r="F230" s="101" t="s">
        <v>66</v>
      </c>
      <c r="G230" s="90"/>
      <c r="H230" s="102">
        <f t="shared" si="15"/>
        <v>0</v>
      </c>
      <c r="I230" s="26"/>
      <c r="J230" s="26"/>
    </row>
    <row r="231" spans="1:10" ht="18" customHeight="1">
      <c r="A231" s="26"/>
      <c r="B231" s="12" t="s">
        <v>347</v>
      </c>
      <c r="C231" s="146"/>
      <c r="D231" s="90" t="s">
        <v>21</v>
      </c>
      <c r="E231" s="100">
        <v>60</v>
      </c>
      <c r="F231" s="101" t="s">
        <v>67</v>
      </c>
      <c r="G231" s="90"/>
      <c r="H231" s="102">
        <f t="shared" si="15"/>
        <v>0</v>
      </c>
      <c r="I231" s="26"/>
      <c r="J231" s="26"/>
    </row>
    <row r="232" spans="1:10" ht="18" customHeight="1">
      <c r="A232" s="26"/>
      <c r="B232" s="12" t="s">
        <v>348</v>
      </c>
      <c r="C232" s="146"/>
      <c r="D232" s="90" t="s">
        <v>21</v>
      </c>
      <c r="E232" s="100">
        <v>60</v>
      </c>
      <c r="F232" s="101" t="s">
        <v>18</v>
      </c>
      <c r="G232" s="90"/>
      <c r="H232" s="102">
        <f t="shared" si="15"/>
        <v>0</v>
      </c>
      <c r="I232" s="26"/>
      <c r="J232" s="26"/>
    </row>
    <row r="233" spans="1:10" ht="18" customHeight="1">
      <c r="A233" s="26"/>
      <c r="B233" s="14" t="s">
        <v>350</v>
      </c>
      <c r="C233" s="149" t="s">
        <v>349</v>
      </c>
      <c r="D233" s="14" t="s">
        <v>21</v>
      </c>
      <c r="E233" s="18">
        <v>55</v>
      </c>
      <c r="F233" s="76" t="s">
        <v>64</v>
      </c>
      <c r="G233" s="14"/>
      <c r="H233" s="16">
        <f t="shared" si="14"/>
        <v>0</v>
      </c>
      <c r="I233" s="26"/>
      <c r="J233" s="26"/>
    </row>
    <row r="234" spans="1:10" ht="18" customHeight="1">
      <c r="A234" s="26"/>
      <c r="B234" s="14" t="s">
        <v>351</v>
      </c>
      <c r="C234" s="159"/>
      <c r="D234" s="14" t="s">
        <v>21</v>
      </c>
      <c r="E234" s="18">
        <v>55</v>
      </c>
      <c r="F234" s="76" t="s">
        <v>65</v>
      </c>
      <c r="G234" s="14"/>
      <c r="H234" s="16">
        <f t="shared" si="14"/>
        <v>0</v>
      </c>
      <c r="I234" s="26"/>
      <c r="J234" s="26"/>
    </row>
    <row r="235" spans="1:10" ht="18" customHeight="1">
      <c r="A235" s="26"/>
      <c r="B235" s="14" t="s">
        <v>352</v>
      </c>
      <c r="C235" s="159"/>
      <c r="D235" s="14" t="s">
        <v>21</v>
      </c>
      <c r="E235" s="18">
        <v>55</v>
      </c>
      <c r="F235" s="76" t="s">
        <v>66</v>
      </c>
      <c r="G235" s="14"/>
      <c r="H235" s="16">
        <f t="shared" si="14"/>
        <v>0</v>
      </c>
      <c r="I235" s="26"/>
      <c r="J235" s="26"/>
    </row>
    <row r="236" spans="1:10" ht="18" customHeight="1">
      <c r="A236" s="26"/>
      <c r="B236" s="14" t="s">
        <v>353</v>
      </c>
      <c r="C236" s="159"/>
      <c r="D236" s="14" t="s">
        <v>21</v>
      </c>
      <c r="E236" s="18">
        <v>55</v>
      </c>
      <c r="F236" s="76" t="s">
        <v>67</v>
      </c>
      <c r="G236" s="14"/>
      <c r="H236" s="16">
        <f t="shared" si="14"/>
        <v>0</v>
      </c>
      <c r="I236" s="26"/>
      <c r="J236" s="26"/>
    </row>
    <row r="237" spans="1:10" ht="18" customHeight="1">
      <c r="A237" s="26"/>
      <c r="B237" s="14" t="s">
        <v>354</v>
      </c>
      <c r="C237" s="159"/>
      <c r="D237" s="14" t="s">
        <v>21</v>
      </c>
      <c r="E237" s="18">
        <v>55</v>
      </c>
      <c r="F237" s="76" t="s">
        <v>18</v>
      </c>
      <c r="G237" s="14"/>
      <c r="H237" s="16">
        <f t="shared" si="14"/>
        <v>0</v>
      </c>
      <c r="I237" s="26"/>
      <c r="J237" s="26"/>
    </row>
    <row r="238" spans="1:10" ht="18" customHeight="1">
      <c r="A238" s="26"/>
      <c r="B238" s="14" t="s">
        <v>355</v>
      </c>
      <c r="C238" s="159"/>
      <c r="D238" s="14" t="s">
        <v>243</v>
      </c>
      <c r="E238" s="18">
        <v>55</v>
      </c>
      <c r="F238" s="76" t="s">
        <v>64</v>
      </c>
      <c r="G238" s="14"/>
      <c r="H238" s="16">
        <f t="shared" si="14"/>
        <v>0</v>
      </c>
      <c r="I238" s="26"/>
      <c r="J238" s="26"/>
    </row>
    <row r="239" spans="1:10" ht="18" customHeight="1">
      <c r="A239" s="26"/>
      <c r="B239" s="14" t="s">
        <v>356</v>
      </c>
      <c r="C239" s="159"/>
      <c r="D239" s="14" t="s">
        <v>243</v>
      </c>
      <c r="E239" s="18">
        <v>55</v>
      </c>
      <c r="F239" s="76" t="s">
        <v>65</v>
      </c>
      <c r="G239" s="14"/>
      <c r="H239" s="16">
        <f t="shared" si="14"/>
        <v>0</v>
      </c>
      <c r="I239" s="26"/>
      <c r="J239" s="26"/>
    </row>
    <row r="240" spans="1:10" ht="18" customHeight="1">
      <c r="A240" s="26"/>
      <c r="B240" s="14" t="s">
        <v>357</v>
      </c>
      <c r="C240" s="159"/>
      <c r="D240" s="14" t="s">
        <v>243</v>
      </c>
      <c r="E240" s="18">
        <v>55</v>
      </c>
      <c r="F240" s="76" t="s">
        <v>66</v>
      </c>
      <c r="G240" s="14"/>
      <c r="H240" s="16">
        <f t="shared" si="14"/>
        <v>0</v>
      </c>
      <c r="I240" s="26"/>
      <c r="J240" s="26"/>
    </row>
    <row r="241" spans="1:10" ht="18" customHeight="1">
      <c r="A241" s="26"/>
      <c r="B241" s="14" t="s">
        <v>358</v>
      </c>
      <c r="C241" s="159"/>
      <c r="D241" s="14" t="s">
        <v>243</v>
      </c>
      <c r="E241" s="18">
        <v>55</v>
      </c>
      <c r="F241" s="76" t="s">
        <v>67</v>
      </c>
      <c r="G241" s="14"/>
      <c r="H241" s="16">
        <f t="shared" si="14"/>
        <v>0</v>
      </c>
      <c r="I241" s="26"/>
      <c r="J241" s="26"/>
    </row>
    <row r="242" spans="1:10" ht="18" customHeight="1">
      <c r="A242" s="26"/>
      <c r="B242" s="14" t="s">
        <v>359</v>
      </c>
      <c r="C242" s="159"/>
      <c r="D242" s="14" t="s">
        <v>243</v>
      </c>
      <c r="E242" s="18">
        <v>55</v>
      </c>
      <c r="F242" s="76" t="s">
        <v>18</v>
      </c>
      <c r="G242" s="14"/>
      <c r="H242" s="16">
        <f t="shared" si="14"/>
        <v>0</v>
      </c>
      <c r="I242" s="26"/>
      <c r="J242" s="26"/>
    </row>
    <row r="243" spans="1:10" ht="18" customHeight="1">
      <c r="A243" s="26"/>
      <c r="B243" s="90" t="s">
        <v>361</v>
      </c>
      <c r="C243" s="169" t="s">
        <v>56</v>
      </c>
      <c r="D243" s="90" t="s">
        <v>32</v>
      </c>
      <c r="E243" s="100">
        <v>55</v>
      </c>
      <c r="F243" s="101" t="s">
        <v>64</v>
      </c>
      <c r="G243" s="90"/>
      <c r="H243" s="20">
        <f t="shared" si="14"/>
        <v>0</v>
      </c>
      <c r="I243" s="26"/>
      <c r="J243" s="26"/>
    </row>
    <row r="244" spans="1:10" ht="18" customHeight="1">
      <c r="A244" s="26"/>
      <c r="B244" s="90" t="s">
        <v>362</v>
      </c>
      <c r="C244" s="170"/>
      <c r="D244" s="90" t="s">
        <v>32</v>
      </c>
      <c r="E244" s="100">
        <v>55</v>
      </c>
      <c r="F244" s="101" t="s">
        <v>65</v>
      </c>
      <c r="G244" s="90">
        <v>1</v>
      </c>
      <c r="H244" s="20">
        <f t="shared" si="14"/>
        <v>55</v>
      </c>
      <c r="I244" s="26"/>
      <c r="J244" s="26"/>
    </row>
    <row r="245" spans="1:10" ht="18" customHeight="1">
      <c r="A245" s="26"/>
      <c r="B245" s="90" t="s">
        <v>363</v>
      </c>
      <c r="C245" s="170"/>
      <c r="D245" s="90" t="s">
        <v>32</v>
      </c>
      <c r="E245" s="100">
        <v>55</v>
      </c>
      <c r="F245" s="101" t="s">
        <v>66</v>
      </c>
      <c r="G245" s="90">
        <v>1</v>
      </c>
      <c r="H245" s="20">
        <f t="shared" si="14"/>
        <v>55</v>
      </c>
      <c r="I245" s="26"/>
      <c r="J245" s="26"/>
    </row>
    <row r="246" spans="1:10" ht="18" customHeight="1">
      <c r="A246" s="26"/>
      <c r="B246" s="90" t="s">
        <v>364</v>
      </c>
      <c r="C246" s="170"/>
      <c r="D246" s="90" t="s">
        <v>32</v>
      </c>
      <c r="E246" s="100">
        <v>55</v>
      </c>
      <c r="F246" s="101" t="s">
        <v>67</v>
      </c>
      <c r="G246" s="90">
        <v>1</v>
      </c>
      <c r="H246" s="20">
        <f t="shared" si="14"/>
        <v>55</v>
      </c>
      <c r="I246" s="26"/>
      <c r="J246" s="26"/>
    </row>
    <row r="247" spans="1:10" ht="18" customHeight="1">
      <c r="A247" s="26"/>
      <c r="B247" s="90" t="s">
        <v>365</v>
      </c>
      <c r="C247" s="170"/>
      <c r="D247" s="90" t="s">
        <v>32</v>
      </c>
      <c r="E247" s="100">
        <v>55</v>
      </c>
      <c r="F247" s="101" t="s">
        <v>18</v>
      </c>
      <c r="G247" s="90"/>
      <c r="H247" s="20">
        <f t="shared" si="14"/>
        <v>0</v>
      </c>
      <c r="I247" s="26"/>
      <c r="J247" s="26"/>
    </row>
    <row r="248" spans="1:10" ht="18" customHeight="1">
      <c r="A248" s="26"/>
      <c r="B248" s="90" t="s">
        <v>366</v>
      </c>
      <c r="C248" s="170"/>
      <c r="D248" s="90" t="s">
        <v>360</v>
      </c>
      <c r="E248" s="100">
        <v>55</v>
      </c>
      <c r="F248" s="101" t="s">
        <v>64</v>
      </c>
      <c r="G248" s="90"/>
      <c r="H248" s="20">
        <f t="shared" si="14"/>
        <v>0</v>
      </c>
      <c r="I248" s="26"/>
      <c r="J248" s="26"/>
    </row>
    <row r="249" spans="1:10" ht="18" customHeight="1">
      <c r="A249" s="26"/>
      <c r="B249" s="90" t="s">
        <v>367</v>
      </c>
      <c r="C249" s="170"/>
      <c r="D249" s="90" t="s">
        <v>360</v>
      </c>
      <c r="E249" s="100">
        <v>55</v>
      </c>
      <c r="F249" s="101" t="s">
        <v>65</v>
      </c>
      <c r="G249" s="90"/>
      <c r="H249" s="20">
        <f t="shared" si="14"/>
        <v>0</v>
      </c>
      <c r="I249" s="26"/>
      <c r="J249" s="26"/>
    </row>
    <row r="250" spans="1:10" ht="18" customHeight="1">
      <c r="A250" s="26"/>
      <c r="B250" s="90" t="s">
        <v>368</v>
      </c>
      <c r="C250" s="170"/>
      <c r="D250" s="90" t="s">
        <v>360</v>
      </c>
      <c r="E250" s="100">
        <v>55</v>
      </c>
      <c r="F250" s="101" t="s">
        <v>66</v>
      </c>
      <c r="G250" s="90"/>
      <c r="H250" s="20">
        <f t="shared" si="14"/>
        <v>0</v>
      </c>
      <c r="I250" s="26"/>
      <c r="J250" s="26"/>
    </row>
    <row r="251" spans="1:10" ht="18" customHeight="1">
      <c r="A251" s="26"/>
      <c r="B251" s="90" t="s">
        <v>369</v>
      </c>
      <c r="C251" s="170"/>
      <c r="D251" s="90" t="s">
        <v>360</v>
      </c>
      <c r="E251" s="100">
        <v>55</v>
      </c>
      <c r="F251" s="101" t="s">
        <v>67</v>
      </c>
      <c r="G251" s="90"/>
      <c r="H251" s="20">
        <f t="shared" si="14"/>
        <v>0</v>
      </c>
      <c r="I251" s="26"/>
      <c r="J251" s="26"/>
    </row>
    <row r="252" spans="1:10" ht="18" customHeight="1">
      <c r="A252" s="26"/>
      <c r="B252" s="90" t="s">
        <v>370</v>
      </c>
      <c r="C252" s="170"/>
      <c r="D252" s="90" t="s">
        <v>360</v>
      </c>
      <c r="E252" s="100">
        <v>55</v>
      </c>
      <c r="F252" s="101" t="s">
        <v>18</v>
      </c>
      <c r="G252" s="90"/>
      <c r="H252" s="20">
        <f t="shared" si="14"/>
        <v>0</v>
      </c>
      <c r="I252" s="26"/>
      <c r="J252" s="26"/>
    </row>
    <row r="253" spans="1:10" ht="18" customHeight="1">
      <c r="A253" s="26"/>
      <c r="B253" s="14" t="s">
        <v>374</v>
      </c>
      <c r="C253" s="149" t="s">
        <v>371</v>
      </c>
      <c r="D253" s="14" t="s">
        <v>372</v>
      </c>
      <c r="E253" s="18">
        <v>50</v>
      </c>
      <c r="F253" s="76" t="s">
        <v>64</v>
      </c>
      <c r="G253" s="14"/>
      <c r="H253" s="16">
        <f t="shared" si="14"/>
        <v>0</v>
      </c>
      <c r="I253" s="26"/>
      <c r="J253" s="26"/>
    </row>
    <row r="254" spans="1:10" ht="18" customHeight="1">
      <c r="A254" s="26"/>
      <c r="B254" s="14" t="s">
        <v>375</v>
      </c>
      <c r="C254" s="159"/>
      <c r="D254" s="14" t="s">
        <v>372</v>
      </c>
      <c r="E254" s="18">
        <v>50</v>
      </c>
      <c r="F254" s="76" t="s">
        <v>65</v>
      </c>
      <c r="G254" s="14"/>
      <c r="H254" s="16">
        <f t="shared" si="14"/>
        <v>0</v>
      </c>
      <c r="I254" s="26"/>
      <c r="J254" s="26"/>
    </row>
    <row r="255" spans="1:10" ht="18" customHeight="1">
      <c r="A255" s="26"/>
      <c r="B255" s="14" t="s">
        <v>376</v>
      </c>
      <c r="C255" s="159"/>
      <c r="D255" s="14" t="s">
        <v>372</v>
      </c>
      <c r="E255" s="18">
        <v>50</v>
      </c>
      <c r="F255" s="76" t="s">
        <v>66</v>
      </c>
      <c r="G255" s="14"/>
      <c r="H255" s="16">
        <f t="shared" ref="H255:H297" si="16">SUM(E255*G255)</f>
        <v>0</v>
      </c>
      <c r="I255" s="26"/>
      <c r="J255" s="26"/>
    </row>
    <row r="256" spans="1:10" ht="18" customHeight="1">
      <c r="A256" s="26"/>
      <c r="B256" s="14" t="s">
        <v>377</v>
      </c>
      <c r="C256" s="159"/>
      <c r="D256" s="14" t="s">
        <v>372</v>
      </c>
      <c r="E256" s="18">
        <v>50</v>
      </c>
      <c r="F256" s="76" t="s">
        <v>67</v>
      </c>
      <c r="G256" s="14"/>
      <c r="H256" s="16">
        <f t="shared" si="16"/>
        <v>0</v>
      </c>
      <c r="I256" s="26"/>
      <c r="J256" s="26"/>
    </row>
    <row r="257" spans="1:10" ht="18" customHeight="1">
      <c r="A257" s="26"/>
      <c r="B257" s="14" t="s">
        <v>378</v>
      </c>
      <c r="C257" s="159"/>
      <c r="D257" s="14" t="s">
        <v>372</v>
      </c>
      <c r="E257" s="18">
        <v>50</v>
      </c>
      <c r="F257" s="76" t="s">
        <v>18</v>
      </c>
      <c r="G257" s="14"/>
      <c r="H257" s="16">
        <f t="shared" si="16"/>
        <v>0</v>
      </c>
      <c r="I257" s="26"/>
      <c r="J257" s="26"/>
    </row>
    <row r="258" spans="1:10" ht="18" customHeight="1">
      <c r="A258" s="26"/>
      <c r="B258" s="14" t="s">
        <v>379</v>
      </c>
      <c r="C258" s="159"/>
      <c r="D258" s="14" t="s">
        <v>373</v>
      </c>
      <c r="E258" s="18">
        <v>50</v>
      </c>
      <c r="F258" s="76" t="s">
        <v>64</v>
      </c>
      <c r="G258" s="14"/>
      <c r="H258" s="16">
        <f t="shared" si="16"/>
        <v>0</v>
      </c>
      <c r="I258" s="26"/>
      <c r="J258" s="26"/>
    </row>
    <row r="259" spans="1:10" ht="18" customHeight="1">
      <c r="A259" s="26"/>
      <c r="B259" s="14" t="s">
        <v>380</v>
      </c>
      <c r="C259" s="159"/>
      <c r="D259" s="14" t="s">
        <v>373</v>
      </c>
      <c r="E259" s="18">
        <v>50</v>
      </c>
      <c r="F259" s="76" t="s">
        <v>65</v>
      </c>
      <c r="G259" s="14"/>
      <c r="H259" s="16">
        <f t="shared" si="16"/>
        <v>0</v>
      </c>
      <c r="I259" s="26"/>
      <c r="J259" s="26"/>
    </row>
    <row r="260" spans="1:10" ht="18" customHeight="1">
      <c r="A260" s="26"/>
      <c r="B260" s="14" t="s">
        <v>381</v>
      </c>
      <c r="C260" s="159"/>
      <c r="D260" s="14" t="s">
        <v>373</v>
      </c>
      <c r="E260" s="18">
        <v>50</v>
      </c>
      <c r="F260" s="76" t="s">
        <v>66</v>
      </c>
      <c r="G260" s="14"/>
      <c r="H260" s="16">
        <f t="shared" si="16"/>
        <v>0</v>
      </c>
      <c r="I260" s="26"/>
      <c r="J260" s="26"/>
    </row>
    <row r="261" spans="1:10" ht="18" customHeight="1">
      <c r="A261" s="26"/>
      <c r="B261" s="14" t="s">
        <v>382</v>
      </c>
      <c r="C261" s="159"/>
      <c r="D261" s="14" t="s">
        <v>373</v>
      </c>
      <c r="E261" s="18">
        <v>50</v>
      </c>
      <c r="F261" s="76" t="s">
        <v>67</v>
      </c>
      <c r="G261" s="14"/>
      <c r="H261" s="16">
        <f t="shared" si="16"/>
        <v>0</v>
      </c>
      <c r="I261" s="26"/>
      <c r="J261" s="26"/>
    </row>
    <row r="262" spans="1:10" ht="18" customHeight="1">
      <c r="A262" s="26"/>
      <c r="B262" s="14" t="s">
        <v>383</v>
      </c>
      <c r="C262" s="159"/>
      <c r="D262" s="14" t="s">
        <v>373</v>
      </c>
      <c r="E262" s="18">
        <v>50</v>
      </c>
      <c r="F262" s="76" t="s">
        <v>18</v>
      </c>
      <c r="G262" s="14"/>
      <c r="H262" s="16">
        <f t="shared" si="16"/>
        <v>0</v>
      </c>
      <c r="I262" s="26"/>
      <c r="J262" s="26"/>
    </row>
    <row r="263" spans="1:10" ht="18" customHeight="1">
      <c r="A263" s="26"/>
      <c r="B263" s="12" t="s">
        <v>386</v>
      </c>
      <c r="C263" s="145" t="s">
        <v>384</v>
      </c>
      <c r="D263" s="90" t="s">
        <v>21</v>
      </c>
      <c r="E263" s="100">
        <v>45</v>
      </c>
      <c r="F263" s="101" t="s">
        <v>64</v>
      </c>
      <c r="G263" s="90"/>
      <c r="H263" s="20">
        <f t="shared" si="16"/>
        <v>0</v>
      </c>
      <c r="I263" s="26"/>
      <c r="J263" s="26"/>
    </row>
    <row r="264" spans="1:10" ht="18" customHeight="1">
      <c r="A264" s="26"/>
      <c r="B264" s="12" t="s">
        <v>387</v>
      </c>
      <c r="C264" s="146"/>
      <c r="D264" s="90" t="s">
        <v>21</v>
      </c>
      <c r="E264" s="100">
        <v>45</v>
      </c>
      <c r="F264" s="101" t="s">
        <v>65</v>
      </c>
      <c r="G264" s="90"/>
      <c r="H264" s="20">
        <f t="shared" si="16"/>
        <v>0</v>
      </c>
      <c r="I264" s="26"/>
      <c r="J264" s="26"/>
    </row>
    <row r="265" spans="1:10" ht="18" customHeight="1">
      <c r="A265" s="26"/>
      <c r="B265" s="12" t="s">
        <v>388</v>
      </c>
      <c r="C265" s="146"/>
      <c r="D265" s="90" t="s">
        <v>21</v>
      </c>
      <c r="E265" s="100">
        <v>45</v>
      </c>
      <c r="F265" s="101" t="s">
        <v>66</v>
      </c>
      <c r="G265" s="90"/>
      <c r="H265" s="20">
        <f t="shared" si="16"/>
        <v>0</v>
      </c>
      <c r="I265" s="26"/>
      <c r="J265" s="26"/>
    </row>
    <row r="266" spans="1:10" ht="18" customHeight="1">
      <c r="A266" s="26"/>
      <c r="B266" s="12" t="s">
        <v>389</v>
      </c>
      <c r="C266" s="146"/>
      <c r="D266" s="90" t="s">
        <v>21</v>
      </c>
      <c r="E266" s="100">
        <v>45</v>
      </c>
      <c r="F266" s="101" t="s">
        <v>67</v>
      </c>
      <c r="G266" s="90"/>
      <c r="H266" s="20">
        <f t="shared" si="16"/>
        <v>0</v>
      </c>
      <c r="I266" s="26"/>
      <c r="J266" s="26"/>
    </row>
    <row r="267" spans="1:10" ht="18" customHeight="1">
      <c r="A267" s="26"/>
      <c r="B267" s="12" t="s">
        <v>390</v>
      </c>
      <c r="C267" s="146"/>
      <c r="D267" s="90" t="s">
        <v>21</v>
      </c>
      <c r="E267" s="100">
        <v>45</v>
      </c>
      <c r="F267" s="101" t="s">
        <v>18</v>
      </c>
      <c r="G267" s="90"/>
      <c r="H267" s="20">
        <f t="shared" si="16"/>
        <v>0</v>
      </c>
      <c r="I267" s="26"/>
      <c r="J267" s="26"/>
    </row>
    <row r="268" spans="1:10" ht="18" customHeight="1">
      <c r="A268" s="26"/>
      <c r="B268" s="12" t="s">
        <v>391</v>
      </c>
      <c r="C268" s="146"/>
      <c r="D268" s="90" t="s">
        <v>32</v>
      </c>
      <c r="E268" s="100">
        <v>45</v>
      </c>
      <c r="F268" s="101" t="s">
        <v>64</v>
      </c>
      <c r="G268" s="90"/>
      <c r="H268" s="20">
        <f t="shared" si="16"/>
        <v>0</v>
      </c>
      <c r="I268" s="26"/>
      <c r="J268" s="26"/>
    </row>
    <row r="269" spans="1:10" ht="18" customHeight="1">
      <c r="A269" s="26"/>
      <c r="B269" s="12" t="s">
        <v>392</v>
      </c>
      <c r="C269" s="146"/>
      <c r="D269" s="90" t="s">
        <v>32</v>
      </c>
      <c r="E269" s="100">
        <v>45</v>
      </c>
      <c r="F269" s="101" t="s">
        <v>65</v>
      </c>
      <c r="G269" s="90"/>
      <c r="H269" s="20">
        <f t="shared" si="16"/>
        <v>0</v>
      </c>
      <c r="I269" s="26"/>
      <c r="J269" s="26"/>
    </row>
    <row r="270" spans="1:10" ht="18" customHeight="1">
      <c r="A270" s="26"/>
      <c r="B270" s="12" t="s">
        <v>393</v>
      </c>
      <c r="C270" s="146"/>
      <c r="D270" s="90" t="s">
        <v>32</v>
      </c>
      <c r="E270" s="100">
        <v>45</v>
      </c>
      <c r="F270" s="101" t="s">
        <v>66</v>
      </c>
      <c r="G270" s="90"/>
      <c r="H270" s="20">
        <f t="shared" si="16"/>
        <v>0</v>
      </c>
      <c r="I270" s="26"/>
      <c r="J270" s="26"/>
    </row>
    <row r="271" spans="1:10" ht="18" customHeight="1">
      <c r="A271" s="26"/>
      <c r="B271" s="12" t="s">
        <v>394</v>
      </c>
      <c r="C271" s="146"/>
      <c r="D271" s="90" t="s">
        <v>32</v>
      </c>
      <c r="E271" s="100">
        <v>45</v>
      </c>
      <c r="F271" s="101" t="s">
        <v>67</v>
      </c>
      <c r="G271" s="90"/>
      <c r="H271" s="20">
        <f t="shared" si="16"/>
        <v>0</v>
      </c>
      <c r="I271" s="26"/>
      <c r="J271" s="26"/>
    </row>
    <row r="272" spans="1:10" ht="18" customHeight="1">
      <c r="A272" s="26"/>
      <c r="B272" s="12" t="s">
        <v>395</v>
      </c>
      <c r="C272" s="146"/>
      <c r="D272" s="90" t="s">
        <v>32</v>
      </c>
      <c r="E272" s="100">
        <v>45</v>
      </c>
      <c r="F272" s="101" t="s">
        <v>18</v>
      </c>
      <c r="G272" s="90"/>
      <c r="H272" s="20">
        <f t="shared" si="16"/>
        <v>0</v>
      </c>
      <c r="I272" s="26"/>
      <c r="J272" s="26"/>
    </row>
    <row r="273" spans="1:10" ht="18" customHeight="1">
      <c r="A273" s="26"/>
      <c r="B273" s="12" t="s">
        <v>396</v>
      </c>
      <c r="C273" s="146"/>
      <c r="D273" s="90" t="s">
        <v>243</v>
      </c>
      <c r="E273" s="100">
        <v>45</v>
      </c>
      <c r="F273" s="101" t="s">
        <v>64</v>
      </c>
      <c r="G273" s="90"/>
      <c r="H273" s="20">
        <f t="shared" ref="H273:H277" si="17">SUM(E273*G273)</f>
        <v>0</v>
      </c>
      <c r="I273" s="26"/>
      <c r="J273" s="26"/>
    </row>
    <row r="274" spans="1:10" ht="18" customHeight="1">
      <c r="A274" s="26"/>
      <c r="B274" s="12" t="s">
        <v>397</v>
      </c>
      <c r="C274" s="146"/>
      <c r="D274" s="90" t="s">
        <v>243</v>
      </c>
      <c r="E274" s="100">
        <v>45</v>
      </c>
      <c r="F274" s="101" t="s">
        <v>65</v>
      </c>
      <c r="G274" s="90"/>
      <c r="H274" s="20">
        <f t="shared" si="17"/>
        <v>0</v>
      </c>
      <c r="I274" s="26"/>
      <c r="J274" s="26"/>
    </row>
    <row r="275" spans="1:10" ht="18" customHeight="1">
      <c r="A275" s="26"/>
      <c r="B275" s="12" t="s">
        <v>398</v>
      </c>
      <c r="C275" s="146"/>
      <c r="D275" s="90" t="s">
        <v>243</v>
      </c>
      <c r="E275" s="100">
        <v>45</v>
      </c>
      <c r="F275" s="101" t="s">
        <v>66</v>
      </c>
      <c r="G275" s="90"/>
      <c r="H275" s="20">
        <f t="shared" si="17"/>
        <v>0</v>
      </c>
      <c r="I275" s="26"/>
      <c r="J275" s="26"/>
    </row>
    <row r="276" spans="1:10" ht="18" customHeight="1">
      <c r="A276" s="26"/>
      <c r="B276" s="12" t="s">
        <v>399</v>
      </c>
      <c r="C276" s="146"/>
      <c r="D276" s="90" t="s">
        <v>243</v>
      </c>
      <c r="E276" s="100">
        <v>45</v>
      </c>
      <c r="F276" s="101" t="s">
        <v>67</v>
      </c>
      <c r="G276" s="90"/>
      <c r="H276" s="20">
        <f t="shared" si="17"/>
        <v>0</v>
      </c>
      <c r="I276" s="26"/>
      <c r="J276" s="26"/>
    </row>
    <row r="277" spans="1:10" ht="18" customHeight="1">
      <c r="A277" s="26"/>
      <c r="B277" s="12" t="s">
        <v>400</v>
      </c>
      <c r="C277" s="146"/>
      <c r="D277" s="90" t="s">
        <v>243</v>
      </c>
      <c r="E277" s="100">
        <v>45</v>
      </c>
      <c r="F277" s="101" t="s">
        <v>18</v>
      </c>
      <c r="G277" s="90"/>
      <c r="H277" s="20">
        <f t="shared" si="17"/>
        <v>0</v>
      </c>
      <c r="I277" s="26"/>
      <c r="J277" s="26"/>
    </row>
    <row r="278" spans="1:10" ht="18" customHeight="1">
      <c r="A278" s="26"/>
      <c r="B278" s="12" t="s">
        <v>401</v>
      </c>
      <c r="C278" s="146"/>
      <c r="D278" s="90" t="s">
        <v>385</v>
      </c>
      <c r="E278" s="100">
        <v>45</v>
      </c>
      <c r="F278" s="101" t="s">
        <v>64</v>
      </c>
      <c r="G278" s="90"/>
      <c r="H278" s="20">
        <f t="shared" ref="H278:H287" si="18">SUM(E278*G278)</f>
        <v>0</v>
      </c>
      <c r="I278" s="26"/>
      <c r="J278" s="26"/>
    </row>
    <row r="279" spans="1:10" ht="18" customHeight="1">
      <c r="A279" s="26"/>
      <c r="B279" s="12" t="s">
        <v>402</v>
      </c>
      <c r="C279" s="146"/>
      <c r="D279" s="90" t="s">
        <v>385</v>
      </c>
      <c r="E279" s="100">
        <v>45</v>
      </c>
      <c r="F279" s="101" t="s">
        <v>65</v>
      </c>
      <c r="G279" s="90"/>
      <c r="H279" s="20">
        <f t="shared" si="18"/>
        <v>0</v>
      </c>
      <c r="I279" s="26"/>
      <c r="J279" s="26"/>
    </row>
    <row r="280" spans="1:10" ht="18" customHeight="1">
      <c r="A280" s="26"/>
      <c r="B280" s="12" t="s">
        <v>403</v>
      </c>
      <c r="C280" s="146"/>
      <c r="D280" s="90" t="s">
        <v>385</v>
      </c>
      <c r="E280" s="100">
        <v>45</v>
      </c>
      <c r="F280" s="101" t="s">
        <v>66</v>
      </c>
      <c r="G280" s="90"/>
      <c r="H280" s="20">
        <f t="shared" si="18"/>
        <v>0</v>
      </c>
      <c r="I280" s="26"/>
      <c r="J280" s="26"/>
    </row>
    <row r="281" spans="1:10" ht="18" customHeight="1">
      <c r="A281" s="26"/>
      <c r="B281" s="12" t="s">
        <v>404</v>
      </c>
      <c r="C281" s="146"/>
      <c r="D281" s="90" t="s">
        <v>385</v>
      </c>
      <c r="E281" s="100">
        <v>45</v>
      </c>
      <c r="F281" s="101" t="s">
        <v>67</v>
      </c>
      <c r="G281" s="90"/>
      <c r="H281" s="20">
        <f t="shared" si="18"/>
        <v>0</v>
      </c>
      <c r="I281" s="26"/>
      <c r="J281" s="26"/>
    </row>
    <row r="282" spans="1:10" ht="18" customHeight="1">
      <c r="A282" s="26"/>
      <c r="B282" s="12" t="s">
        <v>405</v>
      </c>
      <c r="C282" s="146"/>
      <c r="D282" s="12" t="s">
        <v>385</v>
      </c>
      <c r="E282" s="100">
        <v>45</v>
      </c>
      <c r="F282" s="101" t="s">
        <v>18</v>
      </c>
      <c r="G282" s="90"/>
      <c r="H282" s="20">
        <f t="shared" si="18"/>
        <v>0</v>
      </c>
      <c r="I282" s="26"/>
      <c r="J282" s="26"/>
    </row>
    <row r="283" spans="1:10" ht="18" customHeight="1">
      <c r="A283" s="26"/>
      <c r="B283" s="12" t="s">
        <v>406</v>
      </c>
      <c r="C283" s="146"/>
      <c r="D283" s="12" t="s">
        <v>360</v>
      </c>
      <c r="E283" s="100">
        <v>45</v>
      </c>
      <c r="F283" s="101" t="s">
        <v>64</v>
      </c>
      <c r="G283" s="90"/>
      <c r="H283" s="20">
        <f t="shared" si="18"/>
        <v>0</v>
      </c>
      <c r="I283" s="26"/>
      <c r="J283" s="26"/>
    </row>
    <row r="284" spans="1:10" ht="18" customHeight="1">
      <c r="A284" s="26"/>
      <c r="B284" s="12" t="s">
        <v>407</v>
      </c>
      <c r="C284" s="146"/>
      <c r="D284" s="12" t="s">
        <v>360</v>
      </c>
      <c r="E284" s="100">
        <v>45</v>
      </c>
      <c r="F284" s="101" t="s">
        <v>65</v>
      </c>
      <c r="G284" s="90"/>
      <c r="H284" s="20">
        <f t="shared" si="18"/>
        <v>0</v>
      </c>
      <c r="I284" s="26"/>
      <c r="J284" s="26"/>
    </row>
    <row r="285" spans="1:10" ht="18" customHeight="1">
      <c r="A285" s="26"/>
      <c r="B285" s="12" t="s">
        <v>408</v>
      </c>
      <c r="C285" s="146"/>
      <c r="D285" s="12" t="s">
        <v>360</v>
      </c>
      <c r="E285" s="100">
        <v>45</v>
      </c>
      <c r="F285" s="101" t="s">
        <v>66</v>
      </c>
      <c r="G285" s="90"/>
      <c r="H285" s="20">
        <f t="shared" si="18"/>
        <v>0</v>
      </c>
      <c r="I285" s="26"/>
      <c r="J285" s="26"/>
    </row>
    <row r="286" spans="1:10" ht="18" customHeight="1">
      <c r="A286" s="26"/>
      <c r="B286" s="12" t="s">
        <v>409</v>
      </c>
      <c r="C286" s="146"/>
      <c r="D286" s="12" t="s">
        <v>360</v>
      </c>
      <c r="E286" s="100">
        <v>45</v>
      </c>
      <c r="F286" s="101" t="s">
        <v>67</v>
      </c>
      <c r="G286" s="90"/>
      <c r="H286" s="20">
        <f t="shared" si="18"/>
        <v>0</v>
      </c>
      <c r="I286" s="26"/>
      <c r="J286" s="26"/>
    </row>
    <row r="287" spans="1:10" ht="18" customHeight="1">
      <c r="A287" s="26"/>
      <c r="B287" s="12" t="s">
        <v>410</v>
      </c>
      <c r="C287" s="146"/>
      <c r="D287" s="12" t="s">
        <v>360</v>
      </c>
      <c r="E287" s="100">
        <v>45</v>
      </c>
      <c r="F287" s="101" t="s">
        <v>18</v>
      </c>
      <c r="G287" s="90"/>
      <c r="H287" s="20">
        <f t="shared" si="18"/>
        <v>0</v>
      </c>
      <c r="I287" s="26"/>
      <c r="J287" s="26"/>
    </row>
    <row r="288" spans="1:10" ht="18" customHeight="1">
      <c r="A288" s="26"/>
      <c r="B288" s="14" t="s">
        <v>413</v>
      </c>
      <c r="C288" s="149" t="s">
        <v>411</v>
      </c>
      <c r="D288" s="14" t="s">
        <v>412</v>
      </c>
      <c r="E288" s="18">
        <v>50</v>
      </c>
      <c r="F288" s="76" t="s">
        <v>64</v>
      </c>
      <c r="G288" s="14"/>
      <c r="H288" s="16">
        <f t="shared" si="16"/>
        <v>0</v>
      </c>
      <c r="I288" s="26"/>
      <c r="J288" s="26"/>
    </row>
    <row r="289" spans="1:10" ht="18" customHeight="1">
      <c r="A289" s="26"/>
      <c r="B289" s="14" t="s">
        <v>414</v>
      </c>
      <c r="C289" s="159"/>
      <c r="D289" s="14" t="s">
        <v>412</v>
      </c>
      <c r="E289" s="18">
        <v>50</v>
      </c>
      <c r="F289" s="76" t="s">
        <v>65</v>
      </c>
      <c r="G289" s="14"/>
      <c r="H289" s="16">
        <f t="shared" si="16"/>
        <v>0</v>
      </c>
      <c r="I289" s="26"/>
      <c r="J289" s="26"/>
    </row>
    <row r="290" spans="1:10" ht="18" customHeight="1">
      <c r="A290" s="26"/>
      <c r="B290" s="14" t="s">
        <v>415</v>
      </c>
      <c r="C290" s="159"/>
      <c r="D290" s="14" t="s">
        <v>412</v>
      </c>
      <c r="E290" s="18">
        <v>50</v>
      </c>
      <c r="F290" s="76" t="s">
        <v>66</v>
      </c>
      <c r="G290" s="14"/>
      <c r="H290" s="16">
        <f t="shared" si="16"/>
        <v>0</v>
      </c>
      <c r="I290" s="26"/>
      <c r="J290" s="26"/>
    </row>
    <row r="291" spans="1:10" ht="18" customHeight="1">
      <c r="A291" s="26"/>
      <c r="B291" s="14" t="s">
        <v>416</v>
      </c>
      <c r="C291" s="159"/>
      <c r="D291" s="14" t="s">
        <v>412</v>
      </c>
      <c r="E291" s="18">
        <v>50</v>
      </c>
      <c r="F291" s="76" t="s">
        <v>67</v>
      </c>
      <c r="G291" s="14"/>
      <c r="H291" s="16">
        <f t="shared" si="16"/>
        <v>0</v>
      </c>
      <c r="I291" s="26"/>
      <c r="J291" s="26"/>
    </row>
    <row r="292" spans="1:10" ht="18" customHeight="1">
      <c r="A292" s="26"/>
      <c r="B292" s="14" t="s">
        <v>417</v>
      </c>
      <c r="C292" s="159"/>
      <c r="D292" s="14" t="s">
        <v>412</v>
      </c>
      <c r="E292" s="18">
        <v>50</v>
      </c>
      <c r="F292" s="76" t="s">
        <v>18</v>
      </c>
      <c r="G292" s="14"/>
      <c r="H292" s="16">
        <f t="shared" si="16"/>
        <v>0</v>
      </c>
      <c r="I292" s="26"/>
      <c r="J292" s="26"/>
    </row>
    <row r="293" spans="1:10" ht="18" customHeight="1">
      <c r="A293" s="26"/>
      <c r="B293" s="14" t="s">
        <v>418</v>
      </c>
      <c r="C293" s="159"/>
      <c r="D293" s="14" t="s">
        <v>385</v>
      </c>
      <c r="E293" s="18">
        <v>50</v>
      </c>
      <c r="F293" s="76" t="s">
        <v>64</v>
      </c>
      <c r="G293" s="14"/>
      <c r="H293" s="16">
        <f t="shared" si="16"/>
        <v>0</v>
      </c>
      <c r="I293" s="26"/>
      <c r="J293" s="26"/>
    </row>
    <row r="294" spans="1:10" ht="18" customHeight="1">
      <c r="A294" s="26"/>
      <c r="B294" s="14" t="s">
        <v>419</v>
      </c>
      <c r="C294" s="159"/>
      <c r="D294" s="14" t="s">
        <v>385</v>
      </c>
      <c r="E294" s="18">
        <v>50</v>
      </c>
      <c r="F294" s="76" t="s">
        <v>65</v>
      </c>
      <c r="G294" s="14">
        <v>1</v>
      </c>
      <c r="H294" s="16">
        <f t="shared" si="16"/>
        <v>50</v>
      </c>
      <c r="I294" s="26"/>
      <c r="J294" s="26"/>
    </row>
    <row r="295" spans="1:10" ht="18" customHeight="1">
      <c r="A295" s="26"/>
      <c r="B295" s="14" t="s">
        <v>420</v>
      </c>
      <c r="C295" s="159"/>
      <c r="D295" s="14" t="s">
        <v>385</v>
      </c>
      <c r="E295" s="18">
        <v>50</v>
      </c>
      <c r="F295" s="76" t="s">
        <v>66</v>
      </c>
      <c r="G295" s="14">
        <v>1</v>
      </c>
      <c r="H295" s="16">
        <f t="shared" si="16"/>
        <v>50</v>
      </c>
      <c r="I295" s="26"/>
      <c r="J295" s="26"/>
    </row>
    <row r="296" spans="1:10" ht="18" customHeight="1">
      <c r="A296" s="26"/>
      <c r="B296" s="14" t="s">
        <v>421</v>
      </c>
      <c r="C296" s="159"/>
      <c r="D296" s="14" t="s">
        <v>385</v>
      </c>
      <c r="E296" s="18">
        <v>50</v>
      </c>
      <c r="F296" s="76" t="s">
        <v>67</v>
      </c>
      <c r="G296" s="14">
        <v>1</v>
      </c>
      <c r="H296" s="16">
        <f t="shared" si="16"/>
        <v>50</v>
      </c>
      <c r="I296" s="26"/>
      <c r="J296" s="26"/>
    </row>
    <row r="297" spans="1:10" ht="18" customHeight="1">
      <c r="A297" s="26"/>
      <c r="B297" s="14" t="s">
        <v>422</v>
      </c>
      <c r="C297" s="159"/>
      <c r="D297" s="14" t="s">
        <v>385</v>
      </c>
      <c r="E297" s="18">
        <v>50</v>
      </c>
      <c r="F297" s="76" t="s">
        <v>18</v>
      </c>
      <c r="G297" s="14"/>
      <c r="H297" s="16">
        <f t="shared" si="16"/>
        <v>0</v>
      </c>
      <c r="I297" s="26"/>
      <c r="J297" s="26"/>
    </row>
    <row r="298" spans="1:10" ht="31" customHeight="1">
      <c r="A298" s="26"/>
      <c r="B298" s="171" t="s">
        <v>38</v>
      </c>
      <c r="C298" s="172"/>
      <c r="D298" s="172"/>
      <c r="E298" s="172"/>
      <c r="F298" s="172"/>
      <c r="G298" s="172"/>
      <c r="H298" s="172"/>
      <c r="I298" s="26"/>
      <c r="J298" s="26"/>
    </row>
    <row r="299" spans="1:10">
      <c r="A299" s="26"/>
      <c r="B299" s="9" t="s">
        <v>13</v>
      </c>
      <c r="C299" s="9" t="s">
        <v>14</v>
      </c>
      <c r="D299" s="9" t="s">
        <v>15</v>
      </c>
      <c r="E299" s="10" t="s">
        <v>16</v>
      </c>
      <c r="F299" s="10" t="s">
        <v>68</v>
      </c>
      <c r="G299" s="10" t="s">
        <v>62</v>
      </c>
      <c r="H299" s="11" t="s">
        <v>19</v>
      </c>
      <c r="I299" s="26"/>
      <c r="J299" s="26"/>
    </row>
    <row r="300" spans="1:10" ht="18" customHeight="1">
      <c r="A300" s="26"/>
      <c r="B300" s="12" t="s">
        <v>434</v>
      </c>
      <c r="C300" s="145" t="s">
        <v>423</v>
      </c>
      <c r="D300" s="24" t="s">
        <v>21</v>
      </c>
      <c r="E300" s="100">
        <v>32</v>
      </c>
      <c r="F300" s="101" t="s">
        <v>64</v>
      </c>
      <c r="G300" s="90"/>
      <c r="H300" s="13">
        <f t="shared" ref="H300:H326" si="19">SUM(E300*G300)</f>
        <v>0</v>
      </c>
      <c r="I300" s="26"/>
      <c r="J300" s="26"/>
    </row>
    <row r="301" spans="1:10" ht="18" customHeight="1">
      <c r="A301" s="26"/>
      <c r="B301" s="12" t="s">
        <v>435</v>
      </c>
      <c r="C301" s="145"/>
      <c r="D301" s="24" t="s">
        <v>21</v>
      </c>
      <c r="E301" s="100">
        <v>32</v>
      </c>
      <c r="F301" s="101" t="s">
        <v>65</v>
      </c>
      <c r="G301" s="90">
        <v>1</v>
      </c>
      <c r="H301" s="13">
        <f t="shared" si="19"/>
        <v>32</v>
      </c>
      <c r="I301" s="26"/>
      <c r="J301" s="26"/>
    </row>
    <row r="302" spans="1:10" ht="18" customHeight="1">
      <c r="A302" s="26"/>
      <c r="B302" s="12" t="s">
        <v>436</v>
      </c>
      <c r="C302" s="145"/>
      <c r="D302" s="24" t="s">
        <v>21</v>
      </c>
      <c r="E302" s="100">
        <v>32</v>
      </c>
      <c r="F302" s="101" t="s">
        <v>66</v>
      </c>
      <c r="G302" s="90">
        <v>1</v>
      </c>
      <c r="H302" s="13">
        <f t="shared" si="19"/>
        <v>32</v>
      </c>
      <c r="I302" s="26"/>
      <c r="J302" s="26"/>
    </row>
    <row r="303" spans="1:10" ht="18" customHeight="1">
      <c r="A303" s="26"/>
      <c r="B303" s="12" t="s">
        <v>437</v>
      </c>
      <c r="C303" s="145"/>
      <c r="D303" s="24" t="s">
        <v>21</v>
      </c>
      <c r="E303" s="100">
        <v>32</v>
      </c>
      <c r="F303" s="101" t="s">
        <v>67</v>
      </c>
      <c r="G303" s="90">
        <v>1</v>
      </c>
      <c r="H303" s="13">
        <f t="shared" si="19"/>
        <v>32</v>
      </c>
      <c r="I303" s="26"/>
      <c r="J303" s="26"/>
    </row>
    <row r="304" spans="1:10" ht="18" customHeight="1">
      <c r="A304" s="26"/>
      <c r="B304" s="12" t="s">
        <v>438</v>
      </c>
      <c r="C304" s="145"/>
      <c r="D304" s="24" t="s">
        <v>21</v>
      </c>
      <c r="E304" s="100">
        <v>32</v>
      </c>
      <c r="F304" s="101" t="s">
        <v>18</v>
      </c>
      <c r="G304" s="90"/>
      <c r="H304" s="13">
        <f t="shared" si="19"/>
        <v>0</v>
      </c>
      <c r="I304" s="26"/>
      <c r="J304" s="26"/>
    </row>
    <row r="305" spans="1:10" ht="18" customHeight="1">
      <c r="A305" s="26"/>
      <c r="B305" s="14" t="s">
        <v>439</v>
      </c>
      <c r="C305" s="149" t="s">
        <v>424</v>
      </c>
      <c r="D305" s="25" t="s">
        <v>22</v>
      </c>
      <c r="E305" s="18">
        <v>32</v>
      </c>
      <c r="F305" s="76" t="s">
        <v>64</v>
      </c>
      <c r="G305" s="14"/>
      <c r="H305" s="16">
        <f t="shared" si="19"/>
        <v>0</v>
      </c>
      <c r="I305" s="26"/>
      <c r="J305" s="26"/>
    </row>
    <row r="306" spans="1:10" ht="18" customHeight="1">
      <c r="A306" s="26"/>
      <c r="B306" s="14" t="s">
        <v>440</v>
      </c>
      <c r="C306" s="159"/>
      <c r="D306" s="25" t="s">
        <v>22</v>
      </c>
      <c r="E306" s="18">
        <v>32</v>
      </c>
      <c r="F306" s="76" t="s">
        <v>65</v>
      </c>
      <c r="G306" s="14">
        <v>1</v>
      </c>
      <c r="H306" s="16">
        <f t="shared" si="19"/>
        <v>32</v>
      </c>
      <c r="I306" s="26"/>
      <c r="J306" s="26"/>
    </row>
    <row r="307" spans="1:10" ht="18" customHeight="1">
      <c r="A307" s="26"/>
      <c r="B307" s="14" t="s">
        <v>441</v>
      </c>
      <c r="C307" s="159"/>
      <c r="D307" s="25" t="s">
        <v>22</v>
      </c>
      <c r="E307" s="18">
        <v>32</v>
      </c>
      <c r="F307" s="76" t="s">
        <v>66</v>
      </c>
      <c r="G307" s="14">
        <v>1</v>
      </c>
      <c r="H307" s="16">
        <f t="shared" si="19"/>
        <v>32</v>
      </c>
      <c r="I307" s="26"/>
      <c r="J307" s="26"/>
    </row>
    <row r="308" spans="1:10" ht="18" customHeight="1">
      <c r="A308" s="26"/>
      <c r="B308" s="14" t="s">
        <v>442</v>
      </c>
      <c r="C308" s="159"/>
      <c r="D308" s="25" t="s">
        <v>22</v>
      </c>
      <c r="E308" s="18">
        <v>32</v>
      </c>
      <c r="F308" s="76" t="s">
        <v>67</v>
      </c>
      <c r="G308" s="14">
        <v>1</v>
      </c>
      <c r="H308" s="16">
        <f t="shared" si="19"/>
        <v>32</v>
      </c>
      <c r="I308" s="26"/>
      <c r="J308" s="26"/>
    </row>
    <row r="309" spans="1:10" ht="18" customHeight="1">
      <c r="A309" s="26"/>
      <c r="B309" s="14" t="s">
        <v>443</v>
      </c>
      <c r="C309" s="159"/>
      <c r="D309" s="25" t="s">
        <v>22</v>
      </c>
      <c r="E309" s="18">
        <v>32</v>
      </c>
      <c r="F309" s="76" t="s">
        <v>18</v>
      </c>
      <c r="G309" s="14"/>
      <c r="H309" s="16">
        <f t="shared" si="19"/>
        <v>0</v>
      </c>
      <c r="I309" s="26"/>
      <c r="J309" s="26"/>
    </row>
    <row r="310" spans="1:10" ht="18" customHeight="1">
      <c r="A310" s="26"/>
      <c r="B310" s="12" t="s">
        <v>444</v>
      </c>
      <c r="C310" s="145" t="s">
        <v>425</v>
      </c>
      <c r="D310" s="24" t="s">
        <v>42</v>
      </c>
      <c r="E310" s="100">
        <v>32</v>
      </c>
      <c r="F310" s="101" t="s">
        <v>64</v>
      </c>
      <c r="G310" s="90"/>
      <c r="H310" s="13">
        <f t="shared" si="19"/>
        <v>0</v>
      </c>
      <c r="I310" s="26"/>
      <c r="J310" s="26"/>
    </row>
    <row r="311" spans="1:10" ht="18" customHeight="1">
      <c r="A311" s="26"/>
      <c r="B311" s="12" t="s">
        <v>445</v>
      </c>
      <c r="C311" s="145"/>
      <c r="D311" s="24" t="s">
        <v>42</v>
      </c>
      <c r="E311" s="100">
        <v>32</v>
      </c>
      <c r="F311" s="101" t="s">
        <v>65</v>
      </c>
      <c r="G311" s="90"/>
      <c r="H311" s="13">
        <f t="shared" si="19"/>
        <v>0</v>
      </c>
      <c r="I311" s="26"/>
      <c r="J311" s="26"/>
    </row>
    <row r="312" spans="1:10" ht="18" customHeight="1">
      <c r="A312" s="26"/>
      <c r="B312" s="12" t="s">
        <v>446</v>
      </c>
      <c r="C312" s="145"/>
      <c r="D312" s="24" t="s">
        <v>42</v>
      </c>
      <c r="E312" s="100">
        <v>32</v>
      </c>
      <c r="F312" s="101" t="s">
        <v>66</v>
      </c>
      <c r="G312" s="90"/>
      <c r="H312" s="13">
        <f t="shared" si="19"/>
        <v>0</v>
      </c>
      <c r="I312" s="26"/>
      <c r="J312" s="26"/>
    </row>
    <row r="313" spans="1:10" ht="18" customHeight="1">
      <c r="A313" s="26"/>
      <c r="B313" s="12" t="s">
        <v>447</v>
      </c>
      <c r="C313" s="145"/>
      <c r="D313" s="24" t="s">
        <v>42</v>
      </c>
      <c r="E313" s="100">
        <v>32</v>
      </c>
      <c r="F313" s="101" t="s">
        <v>67</v>
      </c>
      <c r="G313" s="90"/>
      <c r="H313" s="13">
        <f t="shared" si="19"/>
        <v>0</v>
      </c>
      <c r="I313" s="26"/>
      <c r="J313" s="26"/>
    </row>
    <row r="314" spans="1:10" ht="18" customHeight="1">
      <c r="A314" s="26"/>
      <c r="B314" s="12" t="s">
        <v>448</v>
      </c>
      <c r="C314" s="145"/>
      <c r="D314" s="24" t="s">
        <v>42</v>
      </c>
      <c r="E314" s="100">
        <v>32</v>
      </c>
      <c r="F314" s="101" t="s">
        <v>18</v>
      </c>
      <c r="G314" s="90"/>
      <c r="H314" s="13">
        <f t="shared" si="19"/>
        <v>0</v>
      </c>
      <c r="I314" s="26"/>
      <c r="J314" s="26"/>
    </row>
    <row r="315" spans="1:10" ht="18" customHeight="1">
      <c r="A315" s="26"/>
      <c r="B315" s="14" t="s">
        <v>449</v>
      </c>
      <c r="C315" s="149" t="s">
        <v>426</v>
      </c>
      <c r="D315" s="25" t="s">
        <v>332</v>
      </c>
      <c r="E315" s="18">
        <v>32</v>
      </c>
      <c r="F315" s="76" t="s">
        <v>64</v>
      </c>
      <c r="G315" s="14"/>
      <c r="H315" s="16">
        <f t="shared" si="19"/>
        <v>0</v>
      </c>
      <c r="I315" s="26"/>
      <c r="J315" s="26"/>
    </row>
    <row r="316" spans="1:10" ht="18" customHeight="1">
      <c r="A316" s="26"/>
      <c r="B316" s="14" t="s">
        <v>450</v>
      </c>
      <c r="C316" s="159"/>
      <c r="D316" s="25" t="s">
        <v>332</v>
      </c>
      <c r="E316" s="18">
        <v>32</v>
      </c>
      <c r="F316" s="76" t="s">
        <v>65</v>
      </c>
      <c r="G316" s="14">
        <v>1</v>
      </c>
      <c r="H316" s="16">
        <f t="shared" si="19"/>
        <v>32</v>
      </c>
      <c r="I316" s="26"/>
      <c r="J316" s="26"/>
    </row>
    <row r="317" spans="1:10" ht="18" customHeight="1">
      <c r="A317" s="26"/>
      <c r="B317" s="14" t="s">
        <v>451</v>
      </c>
      <c r="C317" s="159"/>
      <c r="D317" s="25" t="s">
        <v>332</v>
      </c>
      <c r="E317" s="18">
        <v>32</v>
      </c>
      <c r="F317" s="76" t="s">
        <v>66</v>
      </c>
      <c r="G317" s="14">
        <v>1</v>
      </c>
      <c r="H317" s="16">
        <f t="shared" si="19"/>
        <v>32</v>
      </c>
      <c r="I317" s="26"/>
      <c r="J317" s="26"/>
    </row>
    <row r="318" spans="1:10" ht="18" customHeight="1">
      <c r="A318" s="26"/>
      <c r="B318" s="14" t="s">
        <v>452</v>
      </c>
      <c r="C318" s="159"/>
      <c r="D318" s="25" t="s">
        <v>332</v>
      </c>
      <c r="E318" s="18">
        <v>32</v>
      </c>
      <c r="F318" s="76" t="s">
        <v>67</v>
      </c>
      <c r="G318" s="14">
        <v>1</v>
      </c>
      <c r="H318" s="16">
        <f t="shared" si="19"/>
        <v>32</v>
      </c>
      <c r="I318" s="26"/>
      <c r="J318" s="26"/>
    </row>
    <row r="319" spans="1:10" ht="18" customHeight="1">
      <c r="A319" s="26"/>
      <c r="B319" s="14" t="s">
        <v>453</v>
      </c>
      <c r="C319" s="159"/>
      <c r="D319" s="25" t="s">
        <v>332</v>
      </c>
      <c r="E319" s="18">
        <v>32</v>
      </c>
      <c r="F319" s="76" t="s">
        <v>18</v>
      </c>
      <c r="G319" s="14"/>
      <c r="H319" s="16">
        <f t="shared" si="19"/>
        <v>0</v>
      </c>
      <c r="I319" s="26"/>
      <c r="J319" s="26"/>
    </row>
    <row r="320" spans="1:10" ht="18" customHeight="1">
      <c r="A320" s="26"/>
      <c r="B320" s="12" t="s">
        <v>454</v>
      </c>
      <c r="C320" s="145" t="s">
        <v>427</v>
      </c>
      <c r="D320" s="24" t="s">
        <v>25</v>
      </c>
      <c r="E320" s="100">
        <v>32</v>
      </c>
      <c r="F320" s="101" t="s">
        <v>64</v>
      </c>
      <c r="G320" s="90"/>
      <c r="H320" s="13">
        <f t="shared" si="19"/>
        <v>0</v>
      </c>
      <c r="I320" s="26"/>
      <c r="J320" s="26"/>
    </row>
    <row r="321" spans="1:10" ht="18" customHeight="1">
      <c r="A321" s="26"/>
      <c r="B321" s="12" t="s">
        <v>455</v>
      </c>
      <c r="C321" s="146"/>
      <c r="D321" s="24" t="s">
        <v>25</v>
      </c>
      <c r="E321" s="100">
        <v>32</v>
      </c>
      <c r="F321" s="101" t="s">
        <v>65</v>
      </c>
      <c r="G321" s="90">
        <v>1</v>
      </c>
      <c r="H321" s="13">
        <f t="shared" si="19"/>
        <v>32</v>
      </c>
      <c r="I321" s="26"/>
      <c r="J321" s="26"/>
    </row>
    <row r="322" spans="1:10" ht="18" customHeight="1">
      <c r="A322" s="26"/>
      <c r="B322" s="12" t="s">
        <v>456</v>
      </c>
      <c r="C322" s="146"/>
      <c r="D322" s="24" t="s">
        <v>25</v>
      </c>
      <c r="E322" s="100">
        <v>32</v>
      </c>
      <c r="F322" s="101" t="s">
        <v>66</v>
      </c>
      <c r="G322" s="90">
        <v>1</v>
      </c>
      <c r="H322" s="13">
        <f t="shared" si="19"/>
        <v>32</v>
      </c>
      <c r="I322" s="26"/>
      <c r="J322" s="26"/>
    </row>
    <row r="323" spans="1:10" ht="18" customHeight="1">
      <c r="A323" s="26"/>
      <c r="B323" s="12" t="s">
        <v>457</v>
      </c>
      <c r="C323" s="146"/>
      <c r="D323" s="24" t="s">
        <v>25</v>
      </c>
      <c r="E323" s="100">
        <v>32</v>
      </c>
      <c r="F323" s="101" t="s">
        <v>67</v>
      </c>
      <c r="G323" s="90">
        <v>1</v>
      </c>
      <c r="H323" s="13">
        <f t="shared" si="19"/>
        <v>32</v>
      </c>
      <c r="I323" s="26"/>
      <c r="J323" s="26"/>
    </row>
    <row r="324" spans="1:10" ht="18" customHeight="1">
      <c r="A324" s="26"/>
      <c r="B324" s="12" t="s">
        <v>458</v>
      </c>
      <c r="C324" s="146"/>
      <c r="D324" s="24" t="s">
        <v>25</v>
      </c>
      <c r="E324" s="100">
        <v>32</v>
      </c>
      <c r="F324" s="101" t="s">
        <v>18</v>
      </c>
      <c r="G324" s="90"/>
      <c r="H324" s="13">
        <f t="shared" si="19"/>
        <v>0</v>
      </c>
      <c r="I324" s="26"/>
      <c r="J324" s="26"/>
    </row>
    <row r="325" spans="1:10" ht="18" customHeight="1">
      <c r="A325" s="26"/>
      <c r="B325" s="14" t="s">
        <v>459</v>
      </c>
      <c r="C325" s="149" t="s">
        <v>428</v>
      </c>
      <c r="D325" s="25" t="s">
        <v>21</v>
      </c>
      <c r="E325" s="18">
        <v>16</v>
      </c>
      <c r="F325" s="76" t="s">
        <v>64</v>
      </c>
      <c r="G325" s="14"/>
      <c r="H325" s="16">
        <f t="shared" si="19"/>
        <v>0</v>
      </c>
      <c r="I325" s="26"/>
      <c r="J325" s="26"/>
    </row>
    <row r="326" spans="1:10" ht="18" customHeight="1">
      <c r="A326" s="26"/>
      <c r="B326" s="14" t="s">
        <v>460</v>
      </c>
      <c r="C326" s="159"/>
      <c r="D326" s="25" t="s">
        <v>21</v>
      </c>
      <c r="E326" s="18">
        <v>16</v>
      </c>
      <c r="F326" s="76" t="s">
        <v>65</v>
      </c>
      <c r="G326" s="14">
        <v>1</v>
      </c>
      <c r="H326" s="16">
        <f t="shared" si="19"/>
        <v>16</v>
      </c>
      <c r="I326" s="26"/>
      <c r="J326" s="26"/>
    </row>
    <row r="327" spans="1:10" ht="18" customHeight="1">
      <c r="A327" s="26"/>
      <c r="B327" s="14" t="s">
        <v>461</v>
      </c>
      <c r="C327" s="159"/>
      <c r="D327" s="25" t="s">
        <v>21</v>
      </c>
      <c r="E327" s="18">
        <v>16</v>
      </c>
      <c r="F327" s="76" t="s">
        <v>66</v>
      </c>
      <c r="G327" s="14">
        <v>1</v>
      </c>
      <c r="H327" s="16">
        <f t="shared" ref="H327:H349" si="20">SUM(E327*G327)</f>
        <v>16</v>
      </c>
      <c r="I327" s="26"/>
      <c r="J327" s="26"/>
    </row>
    <row r="328" spans="1:10" ht="18" customHeight="1">
      <c r="A328" s="26"/>
      <c r="B328" s="14" t="s">
        <v>462</v>
      </c>
      <c r="C328" s="159"/>
      <c r="D328" s="25" t="s">
        <v>21</v>
      </c>
      <c r="E328" s="18">
        <v>16</v>
      </c>
      <c r="F328" s="76" t="s">
        <v>67</v>
      </c>
      <c r="G328" s="14">
        <v>1</v>
      </c>
      <c r="H328" s="16">
        <f t="shared" si="20"/>
        <v>16</v>
      </c>
      <c r="I328" s="26"/>
      <c r="J328" s="26"/>
    </row>
    <row r="329" spans="1:10" ht="18" customHeight="1">
      <c r="A329" s="26"/>
      <c r="B329" s="14" t="s">
        <v>463</v>
      </c>
      <c r="C329" s="159"/>
      <c r="D329" s="25" t="s">
        <v>21</v>
      </c>
      <c r="E329" s="18">
        <v>16</v>
      </c>
      <c r="F329" s="76" t="s">
        <v>18</v>
      </c>
      <c r="G329" s="14"/>
      <c r="H329" s="16">
        <f t="shared" si="20"/>
        <v>0</v>
      </c>
      <c r="I329" s="26"/>
      <c r="J329" s="26"/>
    </row>
    <row r="330" spans="1:10" ht="18" customHeight="1">
      <c r="A330" s="26"/>
      <c r="B330" s="12" t="s">
        <v>464</v>
      </c>
      <c r="C330" s="145" t="s">
        <v>429</v>
      </c>
      <c r="D330" s="24" t="s">
        <v>39</v>
      </c>
      <c r="E330" s="100">
        <v>16</v>
      </c>
      <c r="F330" s="101" t="s">
        <v>64</v>
      </c>
      <c r="G330" s="90"/>
      <c r="H330" s="13">
        <f t="shared" si="20"/>
        <v>0</v>
      </c>
      <c r="I330" s="26"/>
      <c r="J330" s="26"/>
    </row>
    <row r="331" spans="1:10" ht="18" customHeight="1">
      <c r="A331" s="26"/>
      <c r="B331" s="12" t="s">
        <v>465</v>
      </c>
      <c r="C331" s="146"/>
      <c r="D331" s="24" t="s">
        <v>39</v>
      </c>
      <c r="E331" s="100">
        <v>16</v>
      </c>
      <c r="F331" s="101" t="s">
        <v>65</v>
      </c>
      <c r="G331" s="90"/>
      <c r="H331" s="13">
        <f t="shared" si="20"/>
        <v>0</v>
      </c>
      <c r="I331" s="26"/>
      <c r="J331" s="26"/>
    </row>
    <row r="332" spans="1:10" ht="18" customHeight="1">
      <c r="A332" s="26"/>
      <c r="B332" s="12" t="s">
        <v>466</v>
      </c>
      <c r="C332" s="146"/>
      <c r="D332" s="24" t="s">
        <v>39</v>
      </c>
      <c r="E332" s="100">
        <v>16</v>
      </c>
      <c r="F332" s="101" t="s">
        <v>66</v>
      </c>
      <c r="G332" s="90"/>
      <c r="H332" s="13">
        <f t="shared" si="20"/>
        <v>0</v>
      </c>
      <c r="I332" s="26"/>
      <c r="J332" s="26"/>
    </row>
    <row r="333" spans="1:10" ht="18" customHeight="1">
      <c r="A333" s="26"/>
      <c r="B333" s="12" t="s">
        <v>467</v>
      </c>
      <c r="C333" s="146"/>
      <c r="D333" s="24" t="s">
        <v>39</v>
      </c>
      <c r="E333" s="100">
        <v>16</v>
      </c>
      <c r="F333" s="101" t="s">
        <v>67</v>
      </c>
      <c r="G333" s="90"/>
      <c r="H333" s="13">
        <f t="shared" si="20"/>
        <v>0</v>
      </c>
      <c r="I333" s="26"/>
      <c r="J333" s="26"/>
    </row>
    <row r="334" spans="1:10" ht="18" customHeight="1">
      <c r="A334" s="26"/>
      <c r="B334" s="12" t="s">
        <v>468</v>
      </c>
      <c r="C334" s="146"/>
      <c r="D334" s="24" t="s">
        <v>39</v>
      </c>
      <c r="E334" s="100">
        <v>16</v>
      </c>
      <c r="F334" s="101" t="s">
        <v>18</v>
      </c>
      <c r="G334" s="90"/>
      <c r="H334" s="13">
        <f t="shared" si="20"/>
        <v>0</v>
      </c>
      <c r="I334" s="26"/>
      <c r="J334" s="26"/>
    </row>
    <row r="335" spans="1:10" ht="18" customHeight="1">
      <c r="A335" s="26"/>
      <c r="B335" s="14" t="s">
        <v>469</v>
      </c>
      <c r="C335" s="149" t="s">
        <v>430</v>
      </c>
      <c r="D335" s="25" t="s">
        <v>91</v>
      </c>
      <c r="E335" s="18">
        <v>16</v>
      </c>
      <c r="F335" s="76" t="s">
        <v>64</v>
      </c>
      <c r="G335" s="14"/>
      <c r="H335" s="16">
        <f t="shared" si="20"/>
        <v>0</v>
      </c>
      <c r="I335" s="26"/>
      <c r="J335" s="26"/>
    </row>
    <row r="336" spans="1:10" ht="18" customHeight="1">
      <c r="A336" s="26"/>
      <c r="B336" s="14" t="s">
        <v>470</v>
      </c>
      <c r="C336" s="159"/>
      <c r="D336" s="25" t="s">
        <v>91</v>
      </c>
      <c r="E336" s="18">
        <v>16</v>
      </c>
      <c r="F336" s="76" t="s">
        <v>65</v>
      </c>
      <c r="G336" s="14"/>
      <c r="H336" s="16">
        <f t="shared" si="20"/>
        <v>0</v>
      </c>
      <c r="I336" s="26"/>
      <c r="J336" s="26"/>
    </row>
    <row r="337" spans="1:10" ht="18" customHeight="1">
      <c r="A337" s="26"/>
      <c r="B337" s="14" t="s">
        <v>471</v>
      </c>
      <c r="C337" s="159"/>
      <c r="D337" s="25" t="s">
        <v>91</v>
      </c>
      <c r="E337" s="18">
        <v>16</v>
      </c>
      <c r="F337" s="76" t="s">
        <v>66</v>
      </c>
      <c r="G337" s="14"/>
      <c r="H337" s="16">
        <f t="shared" si="20"/>
        <v>0</v>
      </c>
      <c r="I337" s="26"/>
      <c r="J337" s="26"/>
    </row>
    <row r="338" spans="1:10" ht="18" customHeight="1">
      <c r="A338" s="26"/>
      <c r="B338" s="14" t="s">
        <v>472</v>
      </c>
      <c r="C338" s="159"/>
      <c r="D338" s="25" t="s">
        <v>91</v>
      </c>
      <c r="E338" s="18">
        <v>16</v>
      </c>
      <c r="F338" s="76" t="s">
        <v>67</v>
      </c>
      <c r="G338" s="14"/>
      <c r="H338" s="16">
        <f t="shared" si="20"/>
        <v>0</v>
      </c>
      <c r="I338" s="26"/>
      <c r="J338" s="26"/>
    </row>
    <row r="339" spans="1:10" ht="18" customHeight="1">
      <c r="A339" s="26"/>
      <c r="B339" s="14" t="s">
        <v>473</v>
      </c>
      <c r="C339" s="159"/>
      <c r="D339" s="25" t="s">
        <v>91</v>
      </c>
      <c r="E339" s="18">
        <v>16</v>
      </c>
      <c r="F339" s="76" t="s">
        <v>18</v>
      </c>
      <c r="G339" s="14"/>
      <c r="H339" s="16">
        <f t="shared" si="20"/>
        <v>0</v>
      </c>
      <c r="I339" s="26"/>
      <c r="J339" s="26"/>
    </row>
    <row r="340" spans="1:10" ht="18" customHeight="1">
      <c r="A340" s="26"/>
      <c r="B340" s="12" t="s">
        <v>474</v>
      </c>
      <c r="C340" s="145" t="s">
        <v>431</v>
      </c>
      <c r="D340" s="24" t="s">
        <v>112</v>
      </c>
      <c r="E340" s="100">
        <v>16</v>
      </c>
      <c r="F340" s="101" t="s">
        <v>64</v>
      </c>
      <c r="G340" s="90"/>
      <c r="H340" s="13">
        <f t="shared" si="20"/>
        <v>0</v>
      </c>
      <c r="I340" s="26"/>
      <c r="J340" s="26"/>
    </row>
    <row r="341" spans="1:10" ht="18" customHeight="1">
      <c r="A341" s="26"/>
      <c r="B341" s="12" t="s">
        <v>475</v>
      </c>
      <c r="C341" s="146"/>
      <c r="D341" s="24" t="s">
        <v>112</v>
      </c>
      <c r="E341" s="100">
        <v>16</v>
      </c>
      <c r="F341" s="101" t="s">
        <v>65</v>
      </c>
      <c r="G341" s="90">
        <v>1</v>
      </c>
      <c r="H341" s="13">
        <f t="shared" si="20"/>
        <v>16</v>
      </c>
      <c r="I341" s="26"/>
      <c r="J341" s="26"/>
    </row>
    <row r="342" spans="1:10" ht="18" customHeight="1">
      <c r="A342" s="26"/>
      <c r="B342" s="12" t="s">
        <v>476</v>
      </c>
      <c r="C342" s="146"/>
      <c r="D342" s="24" t="s">
        <v>112</v>
      </c>
      <c r="E342" s="100">
        <v>16</v>
      </c>
      <c r="F342" s="101" t="s">
        <v>66</v>
      </c>
      <c r="G342" s="90">
        <v>1</v>
      </c>
      <c r="H342" s="13">
        <f t="shared" si="20"/>
        <v>16</v>
      </c>
      <c r="I342" s="26"/>
      <c r="J342" s="26"/>
    </row>
    <row r="343" spans="1:10" ht="18" customHeight="1">
      <c r="A343" s="26"/>
      <c r="B343" s="12" t="s">
        <v>477</v>
      </c>
      <c r="C343" s="146"/>
      <c r="D343" s="24" t="s">
        <v>112</v>
      </c>
      <c r="E343" s="100">
        <v>16</v>
      </c>
      <c r="F343" s="101" t="s">
        <v>67</v>
      </c>
      <c r="G343" s="90">
        <v>1</v>
      </c>
      <c r="H343" s="13">
        <f t="shared" si="20"/>
        <v>16</v>
      </c>
      <c r="I343" s="26"/>
      <c r="J343" s="26"/>
    </row>
    <row r="344" spans="1:10" ht="18" customHeight="1">
      <c r="A344" s="26"/>
      <c r="B344" s="12" t="s">
        <v>478</v>
      </c>
      <c r="C344" s="146"/>
      <c r="D344" s="24" t="s">
        <v>112</v>
      </c>
      <c r="E344" s="100">
        <v>16</v>
      </c>
      <c r="F344" s="101" t="s">
        <v>18</v>
      </c>
      <c r="G344" s="90"/>
      <c r="H344" s="13">
        <f t="shared" si="20"/>
        <v>0</v>
      </c>
      <c r="I344" s="26"/>
      <c r="J344" s="26"/>
    </row>
    <row r="345" spans="1:10" ht="18" customHeight="1">
      <c r="A345" s="26"/>
      <c r="B345" s="14" t="s">
        <v>479</v>
      </c>
      <c r="C345" s="149" t="s">
        <v>432</v>
      </c>
      <c r="D345" s="31" t="s">
        <v>59</v>
      </c>
      <c r="E345" s="32">
        <v>16</v>
      </c>
      <c r="F345" s="76" t="s">
        <v>64</v>
      </c>
      <c r="G345" s="23"/>
      <c r="H345" s="33">
        <f t="shared" si="20"/>
        <v>0</v>
      </c>
      <c r="I345" s="26"/>
      <c r="J345" s="26"/>
    </row>
    <row r="346" spans="1:10" ht="18" customHeight="1">
      <c r="A346" s="26"/>
      <c r="B346" s="14" t="s">
        <v>480</v>
      </c>
      <c r="C346" s="159"/>
      <c r="D346" s="31" t="s">
        <v>59</v>
      </c>
      <c r="E346" s="32">
        <v>16</v>
      </c>
      <c r="F346" s="76" t="s">
        <v>65</v>
      </c>
      <c r="G346" s="23">
        <v>1</v>
      </c>
      <c r="H346" s="33">
        <f t="shared" si="20"/>
        <v>16</v>
      </c>
      <c r="I346" s="26"/>
      <c r="J346" s="26"/>
    </row>
    <row r="347" spans="1:10" ht="18" customHeight="1">
      <c r="A347" s="26"/>
      <c r="B347" s="14" t="s">
        <v>481</v>
      </c>
      <c r="C347" s="159"/>
      <c r="D347" s="31" t="s">
        <v>59</v>
      </c>
      <c r="E347" s="32">
        <v>16</v>
      </c>
      <c r="F347" s="76" t="s">
        <v>66</v>
      </c>
      <c r="G347" s="23">
        <v>1</v>
      </c>
      <c r="H347" s="33">
        <f t="shared" si="20"/>
        <v>16</v>
      </c>
      <c r="I347" s="26"/>
      <c r="J347" s="26"/>
    </row>
    <row r="348" spans="1:10" ht="18" customHeight="1">
      <c r="A348" s="26"/>
      <c r="B348" s="14" t="s">
        <v>482</v>
      </c>
      <c r="C348" s="159"/>
      <c r="D348" s="31" t="s">
        <v>59</v>
      </c>
      <c r="E348" s="32">
        <v>16</v>
      </c>
      <c r="F348" s="76" t="s">
        <v>67</v>
      </c>
      <c r="G348" s="23">
        <v>1</v>
      </c>
      <c r="H348" s="33">
        <f t="shared" si="20"/>
        <v>16</v>
      </c>
      <c r="I348" s="26"/>
      <c r="J348" s="26"/>
    </row>
    <row r="349" spans="1:10" ht="18" customHeight="1">
      <c r="A349" s="26"/>
      <c r="B349" s="14" t="s">
        <v>483</v>
      </c>
      <c r="C349" s="159"/>
      <c r="D349" s="25" t="s">
        <v>59</v>
      </c>
      <c r="E349" s="18">
        <v>16</v>
      </c>
      <c r="F349" s="76" t="s">
        <v>18</v>
      </c>
      <c r="G349" s="14"/>
      <c r="H349" s="16">
        <f t="shared" si="20"/>
        <v>0</v>
      </c>
      <c r="I349" s="26"/>
      <c r="J349" s="26"/>
    </row>
    <row r="350" spans="1:10" ht="13" customHeight="1">
      <c r="A350" s="26"/>
      <c r="B350" s="46"/>
      <c r="C350" s="47"/>
      <c r="D350" s="46"/>
      <c r="E350" s="48"/>
      <c r="F350" s="49"/>
      <c r="G350" s="46"/>
      <c r="H350" s="50"/>
      <c r="I350" s="121"/>
      <c r="J350" s="26"/>
    </row>
    <row r="351" spans="1:10">
      <c r="A351" s="26"/>
      <c r="B351" s="21" t="s">
        <v>529</v>
      </c>
      <c r="C351" s="21" t="s">
        <v>433</v>
      </c>
      <c r="D351" s="21" t="s">
        <v>526</v>
      </c>
      <c r="E351" s="22">
        <v>0</v>
      </c>
      <c r="F351" s="30"/>
      <c r="G351" s="79">
        <f>SUM(G23)</f>
        <v>12.8</v>
      </c>
      <c r="H351" s="77">
        <v>0</v>
      </c>
      <c r="I351" s="26"/>
      <c r="J351" s="26"/>
    </row>
    <row r="352" spans="1:10" ht="17" thickBot="1">
      <c r="A352" s="26"/>
      <c r="B352" s="45"/>
      <c r="C352" s="26"/>
      <c r="D352" s="26"/>
      <c r="E352" s="153" t="s">
        <v>75</v>
      </c>
      <c r="F352" s="154"/>
      <c r="G352" s="34">
        <f>SUM(G300:G349,G218:G297,G193:G214,G179:G190,G165:G176,G136:G162,G28:G134)</f>
        <v>155</v>
      </c>
      <c r="H352" s="35">
        <f>SUM(H304:H349,H218:H297,H193:H209,H165:H171,H28:H134)</f>
        <v>2150</v>
      </c>
      <c r="I352" s="26"/>
      <c r="J352" s="26"/>
    </row>
    <row r="353" spans="1:10">
      <c r="A353" s="26"/>
      <c r="B353" s="45"/>
      <c r="C353" s="26"/>
      <c r="D353" s="26"/>
      <c r="E353" s="51"/>
      <c r="F353" s="52"/>
      <c r="G353" s="53"/>
      <c r="H353" s="54"/>
      <c r="I353" s="26"/>
      <c r="J353" s="26"/>
    </row>
    <row r="354" spans="1:10">
      <c r="A354" s="142" t="s">
        <v>60</v>
      </c>
      <c r="B354" s="143"/>
      <c r="C354" s="143"/>
      <c r="D354" s="143"/>
      <c r="E354" s="143"/>
      <c r="F354" s="143"/>
      <c r="G354" s="143"/>
      <c r="H354" s="143"/>
      <c r="I354" s="143"/>
      <c r="J354" s="143"/>
    </row>
    <row r="355" spans="1:10">
      <c r="A355" s="130" t="s">
        <v>0</v>
      </c>
      <c r="B355" s="131"/>
      <c r="C355" s="131"/>
      <c r="D355" s="131"/>
      <c r="E355" s="131"/>
      <c r="F355" s="131"/>
      <c r="G355" s="131"/>
      <c r="H355" s="131"/>
      <c r="I355" s="131"/>
      <c r="J355" s="131"/>
    </row>
    <row r="356" spans="1:10">
      <c r="A356" s="132" t="s">
        <v>71</v>
      </c>
      <c r="B356" s="133"/>
      <c r="C356" s="133"/>
      <c r="D356" s="133"/>
      <c r="E356" s="133"/>
      <c r="F356" s="133"/>
      <c r="G356" s="133"/>
      <c r="H356" s="133"/>
      <c r="I356" s="133"/>
      <c r="J356" s="133"/>
    </row>
    <row r="357" spans="1:10">
      <c r="A357" s="132" t="s">
        <v>72</v>
      </c>
      <c r="B357" s="133"/>
      <c r="C357" s="133"/>
      <c r="D357" s="133"/>
      <c r="E357" s="133"/>
      <c r="F357" s="133"/>
      <c r="G357" s="133"/>
      <c r="H357" s="133"/>
      <c r="I357" s="133"/>
      <c r="J357" s="133"/>
    </row>
    <row r="358" spans="1:10">
      <c r="A358" s="132" t="s">
        <v>1</v>
      </c>
      <c r="B358" s="133"/>
      <c r="C358" s="133"/>
      <c r="D358" s="133"/>
      <c r="E358" s="133"/>
      <c r="F358" s="133"/>
      <c r="G358" s="133"/>
      <c r="H358" s="133"/>
      <c r="I358" s="133"/>
      <c r="J358" s="133"/>
    </row>
    <row r="359" spans="1:10" s="26" customFormat="1"/>
    <row r="360" spans="1:10" s="26" customFormat="1"/>
    <row r="361" spans="1:10" s="26" customFormat="1"/>
    <row r="362" spans="1:10" s="26" customFormat="1"/>
    <row r="363" spans="1:10" s="26" customFormat="1"/>
    <row r="364" spans="1:10" s="26" customFormat="1"/>
    <row r="365" spans="1:10" s="26" customFormat="1"/>
    <row r="366" spans="1:10" s="26" customFormat="1"/>
    <row r="367" spans="1:10" s="26" customFormat="1"/>
    <row r="368" spans="1:10" s="26" customFormat="1"/>
    <row r="369" s="26" customFormat="1"/>
    <row r="370" s="26" customFormat="1"/>
    <row r="371" s="26" customFormat="1"/>
    <row r="372" s="26" customFormat="1"/>
    <row r="373" s="26" customFormat="1"/>
    <row r="374" s="26" customFormat="1"/>
    <row r="375" s="26" customFormat="1"/>
    <row r="376" s="26" customFormat="1"/>
    <row r="377" s="26" customFormat="1"/>
    <row r="378" s="26" customFormat="1"/>
    <row r="379" s="26" customFormat="1"/>
    <row r="380" s="26" customFormat="1"/>
    <row r="381" s="26" customFormat="1"/>
    <row r="382" s="26" customFormat="1"/>
    <row r="383" s="26" customFormat="1"/>
    <row r="384" s="26" customFormat="1"/>
    <row r="385" s="26" customFormat="1"/>
    <row r="386" s="26" customFormat="1"/>
    <row r="387" s="26" customFormat="1"/>
    <row r="388" s="26" customFormat="1"/>
    <row r="389" s="26" customFormat="1"/>
    <row r="390" s="26" customFormat="1"/>
    <row r="391" s="26" customFormat="1"/>
    <row r="392" s="26" customFormat="1"/>
    <row r="393" s="26" customFormat="1"/>
    <row r="394" s="26" customFormat="1"/>
    <row r="395" s="26" customFormat="1"/>
    <row r="396" s="26" customFormat="1"/>
    <row r="397" s="26" customFormat="1"/>
    <row r="398" s="26" customFormat="1"/>
    <row r="399" s="26" customFormat="1"/>
    <row r="400" s="26" customFormat="1"/>
    <row r="401" s="26" customFormat="1"/>
    <row r="402" s="26" customFormat="1"/>
    <row r="403" s="26" customFormat="1"/>
    <row r="404" s="26" customFormat="1"/>
    <row r="405" s="26" customFormat="1"/>
    <row r="406" s="26" customFormat="1"/>
    <row r="407" s="26" customFormat="1"/>
    <row r="408" s="26" customFormat="1"/>
    <row r="409" s="26" customFormat="1"/>
    <row r="410" s="26" customFormat="1"/>
    <row r="411" s="26" customFormat="1"/>
    <row r="412" s="26" customFormat="1"/>
    <row r="413" s="26" customFormat="1"/>
    <row r="414" s="26" customFormat="1"/>
    <row r="415" s="26" customFormat="1"/>
    <row r="416" s="26" customFormat="1"/>
    <row r="417" s="26" customFormat="1"/>
    <row r="418" s="26" customFormat="1"/>
    <row r="419" s="26" customFormat="1"/>
    <row r="420" s="26" customFormat="1"/>
    <row r="421" s="26" customFormat="1"/>
    <row r="422" s="26" customFormat="1"/>
    <row r="423" s="26" customFormat="1"/>
    <row r="424" s="26" customFormat="1"/>
    <row r="425" s="26" customFormat="1"/>
    <row r="426" s="26" customFormat="1"/>
    <row r="427" s="26" customFormat="1"/>
    <row r="428" s="26" customFormat="1"/>
    <row r="429" s="26" customFormat="1"/>
    <row r="430" s="26" customFormat="1"/>
    <row r="431" s="26" customFormat="1"/>
    <row r="432" s="26" customFormat="1"/>
    <row r="433" s="26" customFormat="1"/>
    <row r="434" s="26" customFormat="1"/>
    <row r="435" s="26" customFormat="1"/>
    <row r="436" s="26" customFormat="1"/>
    <row r="437" s="26" customFormat="1"/>
    <row r="438" s="26" customFormat="1"/>
    <row r="439" s="26" customFormat="1"/>
    <row r="440" s="26" customFormat="1"/>
    <row r="441" s="26" customFormat="1"/>
    <row r="442" s="26" customFormat="1"/>
    <row r="443" s="26" customFormat="1"/>
    <row r="444" s="26" customFormat="1"/>
    <row r="445" s="26" customFormat="1"/>
    <row r="446" s="26" customFormat="1"/>
    <row r="447" s="26" customFormat="1"/>
    <row r="448" s="26" customFormat="1"/>
    <row r="449" s="26" customFormat="1"/>
    <row r="450" s="26" customFormat="1"/>
    <row r="451" s="26" customFormat="1"/>
    <row r="452" s="26" customFormat="1"/>
    <row r="453" s="26" customFormat="1"/>
    <row r="454" s="26" customFormat="1"/>
    <row r="455" s="26" customFormat="1"/>
    <row r="456" s="26" customFormat="1"/>
    <row r="457" s="26" customFormat="1"/>
    <row r="458" s="26" customFormat="1"/>
    <row r="459" s="26" customFormat="1"/>
    <row r="460" s="26" customFormat="1"/>
    <row r="461" s="26" customFormat="1"/>
    <row r="462" s="26" customFormat="1"/>
    <row r="463" s="26" customFormat="1"/>
    <row r="464" s="26" customFormat="1"/>
    <row r="465" s="26" customFormat="1"/>
    <row r="466" s="26" customFormat="1"/>
    <row r="467" s="26" customFormat="1"/>
    <row r="468" s="26" customFormat="1"/>
    <row r="469" s="26" customFormat="1"/>
    <row r="470" s="26" customFormat="1"/>
    <row r="471" s="26" customFormat="1"/>
    <row r="472" s="26" customFormat="1"/>
    <row r="473" s="26" customFormat="1"/>
    <row r="474" s="26" customFormat="1"/>
    <row r="475" s="26" customFormat="1"/>
    <row r="476" s="26" customFormat="1"/>
    <row r="477" s="26" customFormat="1"/>
    <row r="478" s="26" customFormat="1"/>
    <row r="479" s="26" customFormat="1"/>
    <row r="480" s="26" customFormat="1"/>
    <row r="481" s="26" customFormat="1"/>
    <row r="482" s="26" customFormat="1"/>
    <row r="483" s="26" customFormat="1"/>
    <row r="484" s="26" customFormat="1"/>
  </sheetData>
  <mergeCells count="95">
    <mergeCell ref="C172:C173"/>
    <mergeCell ref="C199:C200"/>
    <mergeCell ref="C310:C314"/>
    <mergeCell ref="C288:C297"/>
    <mergeCell ref="B298:H298"/>
    <mergeCell ref="C174:C176"/>
    <mergeCell ref="C340:C344"/>
    <mergeCell ref="C345:C349"/>
    <mergeCell ref="C315:C319"/>
    <mergeCell ref="C320:C324"/>
    <mergeCell ref="C325:C329"/>
    <mergeCell ref="C330:C334"/>
    <mergeCell ref="C335:C339"/>
    <mergeCell ref="C300:C304"/>
    <mergeCell ref="C305:C309"/>
    <mergeCell ref="B216:H216"/>
    <mergeCell ref="B191:H191"/>
    <mergeCell ref="B163:H163"/>
    <mergeCell ref="D215:F215"/>
    <mergeCell ref="C243:C252"/>
    <mergeCell ref="C233:C242"/>
    <mergeCell ref="C253:C262"/>
    <mergeCell ref="C201:C203"/>
    <mergeCell ref="C204:C206"/>
    <mergeCell ref="C207:C209"/>
    <mergeCell ref="C167:C169"/>
    <mergeCell ref="C170:C171"/>
    <mergeCell ref="C193:C194"/>
    <mergeCell ref="C195:C198"/>
    <mergeCell ref="C104:C108"/>
    <mergeCell ref="C112:C115"/>
    <mergeCell ref="C116:C121"/>
    <mergeCell ref="C122:C124"/>
    <mergeCell ref="C125:C127"/>
    <mergeCell ref="C109:C111"/>
    <mergeCell ref="C128:C130"/>
    <mergeCell ref="C131:C134"/>
    <mergeCell ref="C165:C166"/>
    <mergeCell ref="C136:C141"/>
    <mergeCell ref="C142:C144"/>
    <mergeCell ref="C145:C147"/>
    <mergeCell ref="C148:C150"/>
    <mergeCell ref="C151:C153"/>
    <mergeCell ref="C154:C156"/>
    <mergeCell ref="C157:C159"/>
    <mergeCell ref="C160:C162"/>
    <mergeCell ref="C66:C68"/>
    <mergeCell ref="C69:C73"/>
    <mergeCell ref="C28:C39"/>
    <mergeCell ref="C40:C42"/>
    <mergeCell ref="C43:C46"/>
    <mergeCell ref="C47:C50"/>
    <mergeCell ref="C51:C55"/>
    <mergeCell ref="C13:D13"/>
    <mergeCell ref="C14:D14"/>
    <mergeCell ref="C15:D15"/>
    <mergeCell ref="E352:F352"/>
    <mergeCell ref="C19:D19"/>
    <mergeCell ref="C20:D20"/>
    <mergeCell ref="C16:D16"/>
    <mergeCell ref="C17:D17"/>
    <mergeCell ref="C18:D18"/>
    <mergeCell ref="C75:C86"/>
    <mergeCell ref="C87:C90"/>
    <mergeCell ref="C91:C93"/>
    <mergeCell ref="C94:C97"/>
    <mergeCell ref="C98:C103"/>
    <mergeCell ref="C56:C59"/>
    <mergeCell ref="C60:C62"/>
    <mergeCell ref="A355:J355"/>
    <mergeCell ref="A356:J356"/>
    <mergeCell ref="A357:J357"/>
    <mergeCell ref="A358:J358"/>
    <mergeCell ref="B27:H27"/>
    <mergeCell ref="B74:H74"/>
    <mergeCell ref="B135:H135"/>
    <mergeCell ref="A354:J354"/>
    <mergeCell ref="C210:C214"/>
    <mergeCell ref="C218:C232"/>
    <mergeCell ref="C263:C287"/>
    <mergeCell ref="B177:H177"/>
    <mergeCell ref="C179:C182"/>
    <mergeCell ref="C183:C186"/>
    <mergeCell ref="C187:C190"/>
    <mergeCell ref="C63:C65"/>
    <mergeCell ref="G20:I20"/>
    <mergeCell ref="G21:I21"/>
    <mergeCell ref="H23:I23"/>
    <mergeCell ref="H24:I24"/>
    <mergeCell ref="G13:I13"/>
    <mergeCell ref="G14:I14"/>
    <mergeCell ref="G15:I15"/>
    <mergeCell ref="G16:I16"/>
    <mergeCell ref="G17:I17"/>
    <mergeCell ref="G18:I18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DF20-3840-B446-8AC3-B4EA25F7075F}">
  <dimension ref="B1:J36"/>
  <sheetViews>
    <sheetView showGridLines="0" zoomScaleNormal="100" workbookViewId="0">
      <selection activeCell="F26" sqref="F26"/>
    </sheetView>
  </sheetViews>
  <sheetFormatPr baseColWidth="10" defaultRowHeight="16"/>
  <cols>
    <col min="1" max="1" width="4.33203125" customWidth="1"/>
    <col min="2" max="2" width="105.1640625" customWidth="1"/>
  </cols>
  <sheetData>
    <row r="1" spans="2:10" ht="19">
      <c r="B1" s="173" t="s">
        <v>491</v>
      </c>
      <c r="C1" s="174"/>
      <c r="D1" s="175"/>
      <c r="E1" s="57"/>
      <c r="F1" s="57"/>
      <c r="G1" s="57"/>
      <c r="H1" s="57"/>
      <c r="I1" s="57"/>
      <c r="J1" s="57"/>
    </row>
    <row r="2" spans="2:10" ht="19">
      <c r="B2" s="58" t="s">
        <v>492</v>
      </c>
      <c r="C2" s="59"/>
      <c r="D2" s="60"/>
      <c r="E2" s="57"/>
      <c r="F2" s="57"/>
      <c r="G2" s="57"/>
      <c r="H2" s="57"/>
      <c r="I2" s="57"/>
      <c r="J2" s="57"/>
    </row>
    <row r="3" spans="2:10" ht="19">
      <c r="B3" s="58" t="s">
        <v>493</v>
      </c>
      <c r="C3" s="59"/>
      <c r="D3" s="60"/>
      <c r="E3" s="57"/>
      <c r="F3" s="57"/>
      <c r="G3" s="57"/>
      <c r="H3" s="57"/>
      <c r="I3" s="57"/>
      <c r="J3" s="57"/>
    </row>
    <row r="4" spans="2:10" ht="19">
      <c r="B4" s="58" t="s">
        <v>494</v>
      </c>
      <c r="C4" s="59"/>
      <c r="D4" s="60"/>
      <c r="E4" s="57"/>
      <c r="F4" s="57"/>
      <c r="G4" s="57"/>
      <c r="H4" s="57"/>
      <c r="I4" s="57"/>
      <c r="J4" s="57"/>
    </row>
    <row r="5" spans="2:10" ht="19">
      <c r="B5" s="58" t="s">
        <v>495</v>
      </c>
      <c r="C5" s="59"/>
      <c r="D5" s="60"/>
      <c r="E5" s="57"/>
      <c r="F5" s="57"/>
      <c r="G5" s="57"/>
      <c r="H5" s="57"/>
      <c r="I5" s="57"/>
      <c r="J5" s="57"/>
    </row>
    <row r="6" spans="2:10" ht="19">
      <c r="B6" s="58" t="s">
        <v>496</v>
      </c>
      <c r="C6" s="59"/>
      <c r="D6" s="60"/>
      <c r="E6" s="57"/>
      <c r="F6" s="57"/>
      <c r="G6" s="57"/>
      <c r="H6" s="57"/>
      <c r="I6" s="57"/>
      <c r="J6" s="57"/>
    </row>
    <row r="7" spans="2:10" ht="19">
      <c r="B7" s="58" t="s">
        <v>497</v>
      </c>
      <c r="C7" s="59"/>
      <c r="D7" s="60"/>
      <c r="E7" s="57"/>
      <c r="F7" s="57"/>
      <c r="G7" s="57"/>
      <c r="H7" s="57"/>
      <c r="I7" s="57"/>
      <c r="J7" s="57"/>
    </row>
    <row r="8" spans="2:10" ht="19">
      <c r="B8" s="58" t="s">
        <v>498</v>
      </c>
      <c r="C8" s="59"/>
      <c r="D8" s="60"/>
      <c r="E8" s="57"/>
      <c r="F8" s="57"/>
      <c r="G8" s="57"/>
      <c r="H8" s="57"/>
      <c r="I8" s="57"/>
      <c r="J8" s="57"/>
    </row>
    <row r="9" spans="2:10" ht="19">
      <c r="B9" s="58" t="s">
        <v>499</v>
      </c>
      <c r="C9" s="59"/>
      <c r="D9" s="60"/>
      <c r="E9" s="57"/>
      <c r="F9" s="57"/>
      <c r="G9" s="57"/>
      <c r="H9" s="57"/>
      <c r="I9" s="57"/>
      <c r="J9" s="57"/>
    </row>
    <row r="10" spans="2:10" ht="19">
      <c r="B10" s="58" t="s">
        <v>500</v>
      </c>
      <c r="C10" s="59"/>
      <c r="D10" s="60"/>
      <c r="E10" s="57"/>
      <c r="F10" s="57"/>
      <c r="G10" s="57"/>
      <c r="H10" s="57"/>
      <c r="I10" s="57"/>
      <c r="J10" s="57"/>
    </row>
    <row r="11" spans="2:10" ht="19">
      <c r="B11" s="58" t="s">
        <v>501</v>
      </c>
      <c r="C11" s="59"/>
      <c r="D11" s="60"/>
      <c r="E11" s="57"/>
      <c r="F11" s="57"/>
      <c r="G11" s="57"/>
      <c r="H11" s="57"/>
      <c r="I11" s="57"/>
      <c r="J11" s="57"/>
    </row>
    <row r="12" spans="2:10" ht="19">
      <c r="B12" s="58" t="s">
        <v>502</v>
      </c>
      <c r="C12" s="59"/>
      <c r="D12" s="60"/>
      <c r="E12" s="57"/>
      <c r="F12" s="57"/>
      <c r="G12" s="57"/>
      <c r="H12" s="57"/>
      <c r="I12" s="57"/>
      <c r="J12" s="57"/>
    </row>
    <row r="13" spans="2:10" ht="19">
      <c r="B13" s="58" t="s">
        <v>522</v>
      </c>
      <c r="C13" s="59"/>
      <c r="D13" s="60"/>
      <c r="E13" s="57"/>
      <c r="F13" s="57"/>
      <c r="G13" s="57"/>
      <c r="H13" s="57"/>
      <c r="I13" s="57"/>
      <c r="J13" s="57"/>
    </row>
    <row r="14" spans="2:10" ht="19">
      <c r="B14" s="58" t="s">
        <v>503</v>
      </c>
      <c r="C14" s="59"/>
      <c r="D14" s="60"/>
      <c r="E14" s="57"/>
      <c r="F14" s="57"/>
      <c r="G14" s="57"/>
      <c r="H14" s="57"/>
      <c r="I14" s="57"/>
      <c r="J14" s="57"/>
    </row>
    <row r="15" spans="2:10" ht="19">
      <c r="B15" s="58" t="s">
        <v>504</v>
      </c>
      <c r="C15" s="59"/>
      <c r="D15" s="60"/>
      <c r="E15" s="57"/>
      <c r="F15" s="57"/>
      <c r="G15" s="57"/>
      <c r="H15" s="57"/>
      <c r="I15" s="57"/>
      <c r="J15" s="57"/>
    </row>
    <row r="16" spans="2:10" ht="19">
      <c r="B16" s="58" t="s">
        <v>505</v>
      </c>
      <c r="C16" s="59"/>
      <c r="D16" s="60"/>
      <c r="E16" s="57"/>
      <c r="F16" s="57"/>
      <c r="G16" s="57"/>
      <c r="H16" s="57"/>
      <c r="I16" s="57"/>
      <c r="J16" s="57"/>
    </row>
    <row r="17" spans="2:10" ht="19">
      <c r="B17" s="61" t="s">
        <v>506</v>
      </c>
      <c r="C17" s="62"/>
      <c r="D17" s="63"/>
      <c r="E17" s="57"/>
      <c r="F17" s="57"/>
      <c r="G17" s="57"/>
      <c r="H17" s="57"/>
      <c r="I17" s="57"/>
      <c r="J17" s="57"/>
    </row>
    <row r="18" spans="2:10" ht="19">
      <c r="B18" s="64"/>
      <c r="C18" s="65"/>
      <c r="D18" s="65"/>
      <c r="E18" s="57"/>
      <c r="F18" s="57"/>
      <c r="G18" s="57"/>
      <c r="H18" s="57"/>
      <c r="I18" s="57"/>
      <c r="J18" s="57"/>
    </row>
    <row r="19" spans="2:10" ht="19">
      <c r="B19" s="173" t="s">
        <v>507</v>
      </c>
      <c r="C19" s="174"/>
      <c r="D19" s="175"/>
      <c r="E19" s="57"/>
      <c r="F19" s="57"/>
      <c r="G19" s="57"/>
      <c r="H19" s="57"/>
      <c r="I19" s="57"/>
      <c r="J19" s="57"/>
    </row>
    <row r="20" spans="2:10" ht="19">
      <c r="B20" s="66" t="s">
        <v>508</v>
      </c>
      <c r="C20" s="65"/>
      <c r="D20" s="67"/>
      <c r="E20" s="57"/>
      <c r="F20" s="57"/>
      <c r="G20" s="57"/>
      <c r="H20" s="57"/>
      <c r="I20" s="57"/>
      <c r="J20" s="57"/>
    </row>
    <row r="21" spans="2:10" ht="19">
      <c r="B21" s="66" t="s">
        <v>521</v>
      </c>
      <c r="C21" s="65"/>
      <c r="D21" s="67"/>
      <c r="E21" s="57"/>
      <c r="F21" s="57"/>
      <c r="G21" s="57"/>
      <c r="H21" s="57"/>
      <c r="I21" s="57"/>
      <c r="J21" s="57"/>
    </row>
    <row r="22" spans="2:10" ht="19">
      <c r="B22" s="66" t="s">
        <v>509</v>
      </c>
      <c r="C22" s="65"/>
      <c r="D22" s="67"/>
      <c r="E22" s="57"/>
      <c r="F22" s="57"/>
      <c r="G22" s="57"/>
      <c r="H22" s="57"/>
      <c r="I22" s="57"/>
      <c r="J22" s="57"/>
    </row>
    <row r="23" spans="2:10" ht="19">
      <c r="B23" s="58" t="s">
        <v>510</v>
      </c>
      <c r="C23" s="59"/>
      <c r="D23" s="60"/>
      <c r="E23" s="57"/>
      <c r="F23" s="57"/>
      <c r="G23" s="57"/>
      <c r="H23" s="57"/>
      <c r="I23" s="57"/>
      <c r="J23" s="57"/>
    </row>
    <row r="24" spans="2:10" ht="19">
      <c r="B24" s="66" t="s">
        <v>511</v>
      </c>
      <c r="C24" s="65"/>
      <c r="D24" s="67"/>
      <c r="E24" s="57"/>
      <c r="F24" s="57"/>
      <c r="G24" s="57"/>
      <c r="H24" s="57"/>
      <c r="I24" s="57"/>
      <c r="J24" s="57"/>
    </row>
    <row r="25" spans="2:10" ht="19">
      <c r="B25" s="68" t="s">
        <v>512</v>
      </c>
      <c r="C25" s="69"/>
      <c r="D25" s="70"/>
      <c r="E25" s="57"/>
      <c r="F25" s="57"/>
      <c r="G25" s="57"/>
      <c r="H25" s="57"/>
      <c r="I25" s="57"/>
      <c r="J25" s="57"/>
    </row>
    <row r="26" spans="2:10" ht="19">
      <c r="B26" s="64"/>
      <c r="C26" s="65"/>
      <c r="D26" s="65"/>
      <c r="E26" s="57"/>
      <c r="F26" s="57"/>
      <c r="G26" s="57"/>
      <c r="H26" s="57"/>
      <c r="I26" s="57"/>
      <c r="J26" s="57"/>
    </row>
    <row r="27" spans="2:10" ht="19">
      <c r="B27" s="173" t="s">
        <v>513</v>
      </c>
      <c r="C27" s="174"/>
      <c r="D27" s="175"/>
      <c r="E27" s="57"/>
      <c r="F27" s="57"/>
      <c r="G27" s="57"/>
      <c r="H27" s="57"/>
      <c r="I27" s="57"/>
      <c r="J27" s="57"/>
    </row>
    <row r="28" spans="2:10" ht="19">
      <c r="B28" s="66" t="s">
        <v>514</v>
      </c>
      <c r="C28" s="65"/>
      <c r="D28" s="67"/>
      <c r="E28" s="57"/>
      <c r="F28" s="57"/>
      <c r="G28" s="57"/>
      <c r="H28" s="57"/>
      <c r="I28" s="57"/>
      <c r="J28" s="57"/>
    </row>
    <row r="29" spans="2:10" ht="19">
      <c r="B29" s="66" t="s">
        <v>523</v>
      </c>
      <c r="C29" s="65"/>
      <c r="D29" s="67"/>
      <c r="E29" s="57"/>
      <c r="F29" s="57"/>
      <c r="G29" s="57"/>
      <c r="H29" s="57"/>
      <c r="I29" s="57"/>
      <c r="J29" s="57"/>
    </row>
    <row r="30" spans="2:10" ht="19">
      <c r="B30" s="66" t="s">
        <v>515</v>
      </c>
      <c r="C30" s="65"/>
      <c r="D30" s="67"/>
      <c r="E30" s="57"/>
      <c r="F30" s="57"/>
      <c r="G30" s="57"/>
      <c r="H30" s="57"/>
      <c r="I30" s="57"/>
      <c r="J30" s="57"/>
    </row>
    <row r="31" spans="2:10" ht="19">
      <c r="B31" s="66" t="s">
        <v>516</v>
      </c>
      <c r="C31" s="65"/>
      <c r="D31" s="67"/>
      <c r="E31" s="57"/>
      <c r="F31" s="57"/>
      <c r="G31" s="57"/>
      <c r="H31" s="57"/>
      <c r="I31" s="57"/>
      <c r="J31" s="57"/>
    </row>
    <row r="32" spans="2:10" ht="19">
      <c r="B32" s="68" t="s">
        <v>517</v>
      </c>
      <c r="C32" s="69"/>
      <c r="D32" s="70"/>
      <c r="E32" s="57"/>
      <c r="F32" s="57"/>
      <c r="G32" s="57"/>
      <c r="H32" s="57"/>
      <c r="I32" s="57"/>
      <c r="J32" s="57"/>
    </row>
    <row r="33" spans="2:10" ht="20" thickBot="1">
      <c r="B33" s="71"/>
      <c r="C33" s="69"/>
      <c r="D33" s="69"/>
      <c r="E33" s="57"/>
      <c r="F33" s="57"/>
      <c r="G33" s="57"/>
      <c r="H33" s="57"/>
      <c r="I33" s="57"/>
      <c r="J33" s="57"/>
    </row>
    <row r="34" spans="2:10" ht="19">
      <c r="B34" s="176" t="s">
        <v>518</v>
      </c>
      <c r="C34" s="177"/>
      <c r="D34" s="178"/>
      <c r="E34" s="57"/>
      <c r="F34" s="57"/>
      <c r="G34" s="57"/>
      <c r="H34" s="57"/>
      <c r="I34" s="57"/>
      <c r="J34" s="57"/>
    </row>
    <row r="35" spans="2:10" ht="19">
      <c r="B35" s="68" t="s">
        <v>519</v>
      </c>
      <c r="C35" s="69"/>
      <c r="D35" s="70"/>
      <c r="E35" s="57"/>
      <c r="F35" s="57"/>
      <c r="G35" s="57"/>
      <c r="H35" s="57"/>
      <c r="I35" s="57"/>
      <c r="J35" s="57"/>
    </row>
    <row r="36" spans="2:10" ht="19">
      <c r="B36" s="72" t="s">
        <v>520</v>
      </c>
      <c r="C36" s="73"/>
      <c r="D36" s="73"/>
      <c r="E36" s="57"/>
      <c r="F36" s="57"/>
      <c r="G36" s="57"/>
      <c r="H36" s="57"/>
      <c r="I36" s="57"/>
      <c r="J36" s="57"/>
    </row>
  </sheetData>
  <mergeCells count="4">
    <mergeCell ref="B1:D1"/>
    <mergeCell ref="B19:D19"/>
    <mergeCell ref="B27:D27"/>
    <mergeCell ref="B34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 Form</vt:lpstr>
      <vt:lpstr>Policy</vt:lpstr>
      <vt:lpstr>'Order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Alband</dc:creator>
  <cp:lastModifiedBy>Microsoft Office User</cp:lastModifiedBy>
  <dcterms:created xsi:type="dcterms:W3CDTF">2020-09-18T18:37:43Z</dcterms:created>
  <dcterms:modified xsi:type="dcterms:W3CDTF">2022-01-06T21:11:11Z</dcterms:modified>
</cp:coreProperties>
</file>
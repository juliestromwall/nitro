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Richards/Desktop/"/>
    </mc:Choice>
  </mc:AlternateContent>
  <xr:revisionPtr revIDLastSave="0" documentId="8_{1F1C85A7-F3E8-3842-9C59-5AF91696A357}" xr6:coauthVersionLast="47" xr6:coauthVersionMax="47" xr10:uidLastSave="{00000000-0000-0000-0000-000000000000}"/>
  <bookViews>
    <workbookView xWindow="11220" yWindow="500" windowWidth="29540" windowHeight="19840" xr2:uid="{B9C78ABF-E102-8E41-8C54-3724086686C2}"/>
  </bookViews>
  <sheets>
    <sheet name="Order Form" sheetId="1" r:id="rId1"/>
    <sheet name="Policy" sheetId="2" r:id="rId2"/>
  </sheets>
  <definedNames>
    <definedName name="_xlnm.Print_Area" localSheetId="0">'Order Form'!#REF!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8" i="1" l="1"/>
  <c r="H448" i="1"/>
  <c r="G263" i="1"/>
  <c r="K456" i="1" s="1"/>
  <c r="G450" i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H101" i="1" l="1"/>
  <c r="H247" i="1"/>
  <c r="H248" i="1"/>
  <c r="H249" i="1"/>
  <c r="H250" i="1"/>
  <c r="H150" i="1" l="1"/>
  <c r="H149" i="1"/>
  <c r="H148" i="1"/>
  <c r="H147" i="1"/>
  <c r="H146" i="1"/>
  <c r="H145" i="1"/>
  <c r="H151" i="1"/>
  <c r="H152" i="1"/>
  <c r="H153" i="1"/>
  <c r="H369" i="1" l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368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266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11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193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65" i="1"/>
  <c r="H100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54" i="1"/>
  <c r="H155" i="1"/>
  <c r="H156" i="1"/>
  <c r="H157" i="1"/>
  <c r="H158" i="1"/>
  <c r="H159" i="1"/>
  <c r="H160" i="1"/>
  <c r="H161" i="1"/>
  <c r="H162" i="1"/>
  <c r="H163" i="1"/>
  <c r="H99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41" i="1"/>
  <c r="H31" i="1"/>
  <c r="H32" i="1"/>
  <c r="H33" i="1"/>
  <c r="H34" i="1"/>
  <c r="H35" i="1"/>
  <c r="H36" i="1"/>
  <c r="H37" i="1"/>
  <c r="H38" i="1"/>
  <c r="H39" i="1"/>
  <c r="H30" i="1"/>
  <c r="H450" i="1" l="1"/>
  <c r="D24" i="1"/>
  <c r="G459" i="1"/>
  <c r="F24" i="1"/>
  <c r="H459" i="1" l="1"/>
</calcChain>
</file>

<file path=xl/sharedStrings.xml><?xml version="1.0" encoding="utf-8"?>
<sst xmlns="http://schemas.openxmlformats.org/spreadsheetml/2006/main" count="1454" uniqueCount="673">
  <si>
    <t>FOUNDRY DISTRIBUTION</t>
  </si>
  <si>
    <t>801-994-6484</t>
  </si>
  <si>
    <t>Store Name</t>
  </si>
  <si>
    <t>Address</t>
  </si>
  <si>
    <t>City</t>
  </si>
  <si>
    <t>State</t>
  </si>
  <si>
    <t>Zip</t>
  </si>
  <si>
    <t>Tel #</t>
  </si>
  <si>
    <t>Email</t>
  </si>
  <si>
    <t>Total QTY</t>
  </si>
  <si>
    <t>Total Value</t>
  </si>
  <si>
    <t>Customer PO #</t>
  </si>
  <si>
    <t>Delivery Start</t>
  </si>
  <si>
    <t>STYLE NUMBER</t>
  </si>
  <si>
    <t>STYLE NAME</t>
  </si>
  <si>
    <t>COLOR</t>
  </si>
  <si>
    <t>WHOLESALE</t>
  </si>
  <si>
    <t>OS</t>
  </si>
  <si>
    <t>XXL</t>
  </si>
  <si>
    <t>TOTAL $</t>
  </si>
  <si>
    <t>SIMPLE BEANIE</t>
  </si>
  <si>
    <t>BLACK</t>
  </si>
  <si>
    <t>HEATHER GREY</t>
  </si>
  <si>
    <t>BURGUNDY</t>
  </si>
  <si>
    <t>NAVY</t>
  </si>
  <si>
    <t>SANDSTONE</t>
  </si>
  <si>
    <t>SELECT BEANIE</t>
  </si>
  <si>
    <t>GREY</t>
  </si>
  <si>
    <t>MASK BEANIE</t>
  </si>
  <si>
    <t>MARL BALACLAVA</t>
  </si>
  <si>
    <t>RED</t>
  </si>
  <si>
    <t>TIE DYE</t>
  </si>
  <si>
    <t>HI TEK HOOD</t>
  </si>
  <si>
    <t>PRINTABLES</t>
  </si>
  <si>
    <t>WHITE</t>
  </si>
  <si>
    <t>OATMEAL</t>
  </si>
  <si>
    <t>CHARCOAL</t>
  </si>
  <si>
    <t>NATURAL</t>
  </si>
  <si>
    <t>BROWN</t>
  </si>
  <si>
    <t>WORK BROWN</t>
  </si>
  <si>
    <t>WORK GREEN</t>
  </si>
  <si>
    <t>ARMY</t>
  </si>
  <si>
    <t>PATCHWORK</t>
  </si>
  <si>
    <t>CAMO</t>
  </si>
  <si>
    <t>SAND</t>
  </si>
  <si>
    <t>AUTUMN HEADWEAR</t>
  </si>
  <si>
    <t>Notes:</t>
  </si>
  <si>
    <t xml:space="preserve">QUANTITY </t>
  </si>
  <si>
    <t>SIZE</t>
  </si>
  <si>
    <t>SMALL</t>
  </si>
  <si>
    <t>MEDIUM</t>
  </si>
  <si>
    <t>LARGE</t>
  </si>
  <si>
    <t>X-LARGE</t>
  </si>
  <si>
    <t xml:space="preserve">SIZE </t>
  </si>
  <si>
    <t>TECH HEADWEAR</t>
  </si>
  <si>
    <t>3602 VIA TERRA ST.</t>
  </si>
  <si>
    <t>SKU</t>
  </si>
  <si>
    <t>QUANTITY</t>
  </si>
  <si>
    <t>Order Total:</t>
  </si>
  <si>
    <t>Order Deadline</t>
  </si>
  <si>
    <t xml:space="preserve"> ORDERFORM</t>
  </si>
  <si>
    <t>ARMY GREEN</t>
  </si>
  <si>
    <t>VINTAGE</t>
  </si>
  <si>
    <t>CUFF</t>
  </si>
  <si>
    <t>BIRDSEYE</t>
  </si>
  <si>
    <t>SLACKER</t>
  </si>
  <si>
    <t>RETRO</t>
  </si>
  <si>
    <t>MAUVE</t>
  </si>
  <si>
    <t>CHUNKY</t>
  </si>
  <si>
    <t>DUAL TONE</t>
  </si>
  <si>
    <t>BLOCKED</t>
  </si>
  <si>
    <t>WAFFLE</t>
  </si>
  <si>
    <t>MINI STRIPE</t>
  </si>
  <si>
    <t>SLATE</t>
  </si>
  <si>
    <t>STRIPE</t>
  </si>
  <si>
    <t>CORD</t>
  </si>
  <si>
    <t>MINT</t>
  </si>
  <si>
    <t>MULTI STRIPE</t>
  </si>
  <si>
    <t>CHEVRON</t>
  </si>
  <si>
    <t>ROOTS</t>
  </si>
  <si>
    <t>SURPLUS</t>
  </si>
  <si>
    <t>SIMPLE R</t>
  </si>
  <si>
    <t>SURPLUS R</t>
  </si>
  <si>
    <t>BABYLON R</t>
  </si>
  <si>
    <t>SELECT R</t>
  </si>
  <si>
    <t>YOUTH BEANIES</t>
  </si>
  <si>
    <t>BASIC YOUTH</t>
  </si>
  <si>
    <t>BLOCKED YOUTH</t>
  </si>
  <si>
    <t>STRIPE YOUTH</t>
  </si>
  <si>
    <t>VISOR</t>
  </si>
  <si>
    <t>NISEKO EARFLAP</t>
  </si>
  <si>
    <t>STRIPE BALACLAVA</t>
  </si>
  <si>
    <t>ANORAK &amp; FLEECEWEAR</t>
  </si>
  <si>
    <t>CASCADE ANORAK</t>
  </si>
  <si>
    <t>ALPINE</t>
  </si>
  <si>
    <t>HORIZON HOODED FLEECE</t>
  </si>
  <si>
    <t>SIMPLE FIT</t>
  </si>
  <si>
    <t>SELECT FIT</t>
  </si>
  <si>
    <t>SURPLUS FIT</t>
  </si>
  <si>
    <t>Ship To:</t>
  </si>
  <si>
    <t>Bill To:</t>
  </si>
  <si>
    <t>ONE SIZE</t>
  </si>
  <si>
    <t>CREDIT TERMS &amp; LIMITS</t>
  </si>
  <si>
    <t>* To receive discounts or terms order MUST be submitted by order deadline</t>
  </si>
  <si>
    <t>* Booking terms are Net 30 from the date of delivery (On Approved Credit).</t>
  </si>
  <si>
    <t xml:space="preserve">* After the expiration date all backorders will be shipped on regular terms. </t>
  </si>
  <si>
    <t>* To qualify for AUTUMN's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</si>
  <si>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</si>
  <si>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</si>
  <si>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</si>
  <si>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</si>
  <si>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AUTUMN Internatioanl and may be rejected without cause or liability.  </t>
  </si>
  <si>
    <t>* 2%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</si>
  <si>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</si>
  <si>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</si>
  <si>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</si>
  <si>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</si>
  <si>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AUTUMN International Accounting Department. </t>
  </si>
  <si>
    <t>DELIVERY</t>
  </si>
  <si>
    <t>* AUTUMN reserves the right to choose shipping methods.</t>
  </si>
  <si>
    <t>* Packing Slip will be attached to outside of box.  In larger orders with multiple boxes, the packing slip will be attached to the first box.</t>
  </si>
  <si>
    <t>* AUTUMN reserves the right to charge a 15% re-stocking fee in the case of dealer refusal.</t>
  </si>
  <si>
    <t>*AUTUMN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</si>
  <si>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</si>
  <si>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</si>
  <si>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</si>
  <si>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</si>
  <si>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AUTUMN reserves the right to substitute reorder products that are not available.</t>
  </si>
  <si>
    <t>* AUTUMN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</si>
  <si>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</si>
  <si>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</si>
  <si>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AUTUMN INTERNATIONAL'S AUTHORIZED DEALER APPLICATION </t>
  </si>
  <si>
    <t>* Dealer pricing can fluctuate according to currency vs. Jan 1, 2023</t>
  </si>
  <si>
    <t>Requested Ship Date</t>
  </si>
  <si>
    <t>os</t>
  </si>
  <si>
    <t>FALL/WINTER 23/24</t>
  </si>
  <si>
    <t>A24001-01</t>
  </si>
  <si>
    <t>A24001-05</t>
  </si>
  <si>
    <t>A24001-06</t>
  </si>
  <si>
    <t>A24001-02</t>
  </si>
  <si>
    <t>A24001-03</t>
  </si>
  <si>
    <t>A24001-04</t>
  </si>
  <si>
    <t>A24002-03</t>
  </si>
  <si>
    <t>A24002-04</t>
  </si>
  <si>
    <t>A24002-01</t>
  </si>
  <si>
    <t>A24002-02</t>
  </si>
  <si>
    <t xml:space="preserve">DOUBLE ROLL </t>
  </si>
  <si>
    <t>CORD DOUBLE ROLL</t>
  </si>
  <si>
    <t>DEEP FOREST</t>
  </si>
  <si>
    <t>SHORTY FIT</t>
  </si>
  <si>
    <t>A24003-12</t>
  </si>
  <si>
    <t>A24003-08</t>
  </si>
  <si>
    <t>A24003-11</t>
  </si>
  <si>
    <t>A24003-10</t>
  </si>
  <si>
    <t>A24003-09</t>
  </si>
  <si>
    <t>A24003-05</t>
  </si>
  <si>
    <t>A24003-01</t>
  </si>
  <si>
    <t>A24003-06</t>
  </si>
  <si>
    <t>A24003-03</t>
  </si>
  <si>
    <t>A24003-04</t>
  </si>
  <si>
    <t>A24003-02</t>
  </si>
  <si>
    <t>A24003-07</t>
  </si>
  <si>
    <t>BURNT HENNA</t>
  </si>
  <si>
    <t>MUSTARD</t>
  </si>
  <si>
    <t>LABEL</t>
  </si>
  <si>
    <t>A24004-01</t>
  </si>
  <si>
    <t>A24004-02</t>
  </si>
  <si>
    <t>A24004-03</t>
  </si>
  <si>
    <t>A24004-04</t>
  </si>
  <si>
    <t>KHAKI</t>
  </si>
  <si>
    <t>ORANGE</t>
  </si>
  <si>
    <t>HORIZON</t>
  </si>
  <si>
    <t>A24005-01</t>
  </si>
  <si>
    <t>A24005-03</t>
  </si>
  <si>
    <t>A24005-04</t>
  </si>
  <si>
    <t>A24005-02</t>
  </si>
  <si>
    <t>MAGENTA</t>
  </si>
  <si>
    <t>A24006-03</t>
  </si>
  <si>
    <t>A24006-04</t>
  </si>
  <si>
    <t>A24006-01</t>
  </si>
  <si>
    <t>A24006-02</t>
  </si>
  <si>
    <t>MOSS</t>
  </si>
  <si>
    <t>A24007-01</t>
  </si>
  <si>
    <t>A24007-03</t>
  </si>
  <si>
    <t>A24007-02</t>
  </si>
  <si>
    <t>A24008-01</t>
  </si>
  <si>
    <t>A24008-03</t>
  </si>
  <si>
    <t>A24008-02</t>
  </si>
  <si>
    <t>A24008-04</t>
  </si>
  <si>
    <t>DUSTY PINK</t>
  </si>
  <si>
    <t>LT BLUE</t>
  </si>
  <si>
    <t>A24009-02</t>
  </si>
  <si>
    <t>A24009-04</t>
  </si>
  <si>
    <t>A24009-03</t>
  </si>
  <si>
    <t>A24009-01</t>
  </si>
  <si>
    <t>A24010-01</t>
  </si>
  <si>
    <t>A24010-04</t>
  </si>
  <si>
    <t>A24010-02</t>
  </si>
  <si>
    <t>A24010-03</t>
  </si>
  <si>
    <t>LAVENDER</t>
  </si>
  <si>
    <t>A24011-01</t>
  </si>
  <si>
    <t>A24011-02</t>
  </si>
  <si>
    <t>A24011-03</t>
  </si>
  <si>
    <t>A24012-01</t>
  </si>
  <si>
    <t>A24012-02</t>
  </si>
  <si>
    <t>A24012-03</t>
  </si>
  <si>
    <t>A24012-04</t>
  </si>
  <si>
    <t>CHOC BROWN</t>
  </si>
  <si>
    <t>JEWEL</t>
  </si>
  <si>
    <t>STATIC</t>
  </si>
  <si>
    <t>A24013-01</t>
  </si>
  <si>
    <t>A24013-03</t>
  </si>
  <si>
    <t>A24013-02</t>
  </si>
  <si>
    <t>A24013-04</t>
  </si>
  <si>
    <t>FOREST GREEN</t>
  </si>
  <si>
    <t>NOMAD</t>
  </si>
  <si>
    <t>A24014-02</t>
  </si>
  <si>
    <t>A24014-03</t>
  </si>
  <si>
    <t>A24014-01</t>
  </si>
  <si>
    <t>A24015-02</t>
  </si>
  <si>
    <t>A24015-01</t>
  </si>
  <si>
    <t>PURPLE</t>
  </si>
  <si>
    <t>A24016-02</t>
  </si>
  <si>
    <t>A24016-01</t>
  </si>
  <si>
    <t>A24017-01</t>
  </si>
  <si>
    <t>A24017-02</t>
  </si>
  <si>
    <t>A24017-11</t>
  </si>
  <si>
    <t>A24017-10</t>
  </si>
  <si>
    <t>A24017-09</t>
  </si>
  <si>
    <t>A24017-07</t>
  </si>
  <si>
    <t>A24017-13</t>
  </si>
  <si>
    <t>A24017-12</t>
  </si>
  <si>
    <t>A24017-03</t>
  </si>
  <si>
    <t>A24017-04</t>
  </si>
  <si>
    <t>A24017-05</t>
  </si>
  <si>
    <t>A24017-06</t>
  </si>
  <si>
    <t>A24017-08</t>
  </si>
  <si>
    <t>CAPPUCCINO</t>
  </si>
  <si>
    <t>MERLOT</t>
  </si>
  <si>
    <t>NATURAL MARL</t>
  </si>
  <si>
    <t>YELLOW MARL</t>
  </si>
  <si>
    <t>RUST</t>
  </si>
  <si>
    <t>DARK TEAL</t>
  </si>
  <si>
    <t>DARK GREEN</t>
  </si>
  <si>
    <t>DENIM HEATHER</t>
  </si>
  <si>
    <t>A24020-01</t>
  </si>
  <si>
    <t>A24020-02</t>
  </si>
  <si>
    <t>A24020-03</t>
  </si>
  <si>
    <t>BUTTERSCOTCH</t>
  </si>
  <si>
    <t>A24019-05</t>
  </si>
  <si>
    <t>A24019-06</t>
  </si>
  <si>
    <t>A24019-04</t>
  </si>
  <si>
    <t>A24019-02</t>
  </si>
  <si>
    <t>A24019-03</t>
  </si>
  <si>
    <t>A24019-01</t>
  </si>
  <si>
    <t>A24018-01</t>
  </si>
  <si>
    <t>A24018-06</t>
  </si>
  <si>
    <t>A24018-03</t>
  </si>
  <si>
    <t>A24018-02</t>
  </si>
  <si>
    <t>A24018-05</t>
  </si>
  <si>
    <t>A24018-04</t>
  </si>
  <si>
    <t>HARVEST</t>
  </si>
  <si>
    <t>A24021-04</t>
  </si>
  <si>
    <t>A24021-05</t>
  </si>
  <si>
    <t>A24021-02</t>
  </si>
  <si>
    <t>A24021-01</t>
  </si>
  <si>
    <t>A24021-03</t>
  </si>
  <si>
    <t>A24021-06</t>
  </si>
  <si>
    <t>BLUE</t>
  </si>
  <si>
    <t>A24024-01</t>
  </si>
  <si>
    <t>A24024-02</t>
  </si>
  <si>
    <t>A24024-03</t>
  </si>
  <si>
    <t>A24025-01</t>
  </si>
  <si>
    <t>A24025-02</t>
  </si>
  <si>
    <t>A24025-03</t>
  </si>
  <si>
    <t>A24022-01</t>
  </si>
  <si>
    <t>A24022-05</t>
  </si>
  <si>
    <t>A24022-02</t>
  </si>
  <si>
    <t>A24022-06</t>
  </si>
  <si>
    <t>A24022-04</t>
  </si>
  <si>
    <t>A24022-03</t>
  </si>
  <si>
    <t>A24023-01</t>
  </si>
  <si>
    <t>A24023-04</t>
  </si>
  <si>
    <t>A24023-05</t>
  </si>
  <si>
    <t>A24023-02</t>
  </si>
  <si>
    <t>A24023-06</t>
  </si>
  <si>
    <t>A24023-03</t>
  </si>
  <si>
    <t>A24026-02</t>
  </si>
  <si>
    <t>A24026-03</t>
  </si>
  <si>
    <t>A24026-01</t>
  </si>
  <si>
    <t>GREEN</t>
  </si>
  <si>
    <t>GEO</t>
  </si>
  <si>
    <t>TEAL</t>
  </si>
  <si>
    <t>A24027-02</t>
  </si>
  <si>
    <t>A24027-03</t>
  </si>
  <si>
    <t>A24027-01</t>
  </si>
  <si>
    <t>SQUARED</t>
  </si>
  <si>
    <t>A24028-01</t>
  </si>
  <si>
    <t>A24028-03</t>
  </si>
  <si>
    <t>A24028-02</t>
  </si>
  <si>
    <t>A24029-02</t>
  </si>
  <si>
    <t>A24029-01</t>
  </si>
  <si>
    <t>WHARF R</t>
  </si>
  <si>
    <t>A24030-01</t>
  </si>
  <si>
    <t>A24030-02</t>
  </si>
  <si>
    <t>A24031-01</t>
  </si>
  <si>
    <t>A24031-02</t>
  </si>
  <si>
    <t>A24031-03</t>
  </si>
  <si>
    <t>A24031-05</t>
  </si>
  <si>
    <t>A24031-04</t>
  </si>
  <si>
    <t>A24031-06</t>
  </si>
  <si>
    <t>PINSTRIPE</t>
  </si>
  <si>
    <t>A24032-01</t>
  </si>
  <si>
    <t>A24032-02</t>
  </si>
  <si>
    <t>A24032-03</t>
  </si>
  <si>
    <t>DUCK CAMO</t>
  </si>
  <si>
    <t>A24033-01</t>
  </si>
  <si>
    <t>A24033-03</t>
  </si>
  <si>
    <t>A24033-02</t>
  </si>
  <si>
    <t>TIE DYE SPLIT</t>
  </si>
  <si>
    <t>A24034-03</t>
  </si>
  <si>
    <t>A24034-02</t>
  </si>
  <si>
    <t>A24034-01</t>
  </si>
  <si>
    <t>HIGHLIGHTER</t>
  </si>
  <si>
    <t>BLANKET POM</t>
  </si>
  <si>
    <t>A24036-01</t>
  </si>
  <si>
    <t>A24036-02</t>
  </si>
  <si>
    <t>A24036-03</t>
  </si>
  <si>
    <t>MIX STRIPE</t>
  </si>
  <si>
    <t>A24035-01</t>
  </si>
  <si>
    <t>A24035-03</t>
  </si>
  <si>
    <t>A24035-02</t>
  </si>
  <si>
    <t>BURNOUT POM</t>
  </si>
  <si>
    <t>A24037-02</t>
  </si>
  <si>
    <t>A24037-01</t>
  </si>
  <si>
    <t>A24037-03</t>
  </si>
  <si>
    <t>A24038-02</t>
  </si>
  <si>
    <t>A24038-01</t>
  </si>
  <si>
    <t>A24039-01</t>
  </si>
  <si>
    <t>A24039-02</t>
  </si>
  <si>
    <t>A24039-04</t>
  </si>
  <si>
    <t>A24039-03</t>
  </si>
  <si>
    <t>A24040-01</t>
  </si>
  <si>
    <t>A24040-02</t>
  </si>
  <si>
    <t>A24040-03</t>
  </si>
  <si>
    <t>A24040-04</t>
  </si>
  <si>
    <t>A24041-01</t>
  </si>
  <si>
    <t>A24041-04</t>
  </si>
  <si>
    <t>A24041-03</t>
  </si>
  <si>
    <t>A24041-02</t>
  </si>
  <si>
    <t>A24042-01</t>
  </si>
  <si>
    <t>A24042-03</t>
  </si>
  <si>
    <t>A24042-02</t>
  </si>
  <si>
    <t>A24042-04</t>
  </si>
  <si>
    <t>MULTI STRIPE YOUTH</t>
  </si>
  <si>
    <t>A24043-04</t>
  </si>
  <si>
    <t>A24043-02</t>
  </si>
  <si>
    <t>A24043-05</t>
  </si>
  <si>
    <t>A24043-03</t>
  </si>
  <si>
    <t>A24043-01</t>
  </si>
  <si>
    <t>A24044-01</t>
  </si>
  <si>
    <t>A24044-02</t>
  </si>
  <si>
    <t>A24045-01</t>
  </si>
  <si>
    <t>A24045-03</t>
  </si>
  <si>
    <t>A24045-02</t>
  </si>
  <si>
    <t>A24045-04</t>
  </si>
  <si>
    <t xml:space="preserve">MTN GOAT </t>
  </si>
  <si>
    <t xml:space="preserve">FLEECE CUFF </t>
  </si>
  <si>
    <t>A24054-01</t>
  </si>
  <si>
    <t>A24054-02</t>
  </si>
  <si>
    <t>A24046-01</t>
  </si>
  <si>
    <t>A24046-02</t>
  </si>
  <si>
    <t>SAFFRON</t>
  </si>
  <si>
    <t>A24055-01</t>
  </si>
  <si>
    <t>A24055-02</t>
  </si>
  <si>
    <t>FLEECE EAR FLAP</t>
  </si>
  <si>
    <t>A24047-02</t>
  </si>
  <si>
    <t>A24047-01</t>
  </si>
  <si>
    <t>A24048-01</t>
  </si>
  <si>
    <t>A24048-02</t>
  </si>
  <si>
    <t>A24049-01</t>
  </si>
  <si>
    <t>A24049-02</t>
  </si>
  <si>
    <t>CORD BALACLAVA</t>
  </si>
  <si>
    <t>PATCHWORK BALACLAVA</t>
  </si>
  <si>
    <t>A24050-02</t>
  </si>
  <si>
    <t>A24050-01</t>
  </si>
  <si>
    <t>DESERT</t>
  </si>
  <si>
    <t>STONES</t>
  </si>
  <si>
    <t>A24051-01</t>
  </si>
  <si>
    <t>A24051-02</t>
  </si>
  <si>
    <t>PINK</t>
  </si>
  <si>
    <t>HINGED BALACLAVA</t>
  </si>
  <si>
    <t>A24052-01</t>
  </si>
  <si>
    <t>A24052-02</t>
  </si>
  <si>
    <t>A24052-04</t>
  </si>
  <si>
    <t>A24052-03</t>
  </si>
  <si>
    <t>A24053-01</t>
  </si>
  <si>
    <t>A24053-03</t>
  </si>
  <si>
    <t>A24053-02</t>
  </si>
  <si>
    <t>A24053-04</t>
  </si>
  <si>
    <t>A24053-05</t>
  </si>
  <si>
    <t>SADDLE</t>
  </si>
  <si>
    <t>DWR VISOR HOOD</t>
  </si>
  <si>
    <t>A24061-01</t>
  </si>
  <si>
    <t>A24061-02</t>
  </si>
  <si>
    <t>A24060-02</t>
  </si>
  <si>
    <t>A24060-01</t>
  </si>
  <si>
    <t>DWR FLAP CAP</t>
  </si>
  <si>
    <t>A24057-01</t>
  </si>
  <si>
    <t>A24057-02</t>
  </si>
  <si>
    <t>FLEECE FLAP CAP</t>
  </si>
  <si>
    <t>A24059-02</t>
  </si>
  <si>
    <t>A24059-01</t>
  </si>
  <si>
    <t>FLEECE STRAPBACK</t>
  </si>
  <si>
    <t>A24056-01</t>
  </si>
  <si>
    <t>A24056-02</t>
  </si>
  <si>
    <t>FLEECE CAMP CAP</t>
  </si>
  <si>
    <t>MULTI</t>
  </si>
  <si>
    <t>A24058-01</t>
  </si>
  <si>
    <t>A24058-02</t>
  </si>
  <si>
    <t>SHERPA DAD HAT</t>
  </si>
  <si>
    <t>A24080-05S</t>
  </si>
  <si>
    <t>A24080-05M</t>
  </si>
  <si>
    <t>A24080-05L</t>
  </si>
  <si>
    <t>A24080-05XL</t>
  </si>
  <si>
    <t>A24080-05XXL</t>
  </si>
  <si>
    <t>BLAZE ORANGE</t>
  </si>
  <si>
    <t>A24080-02S</t>
  </si>
  <si>
    <t>A24080-02M</t>
  </si>
  <si>
    <t>A24080-02L</t>
  </si>
  <si>
    <t>A24080-02XL</t>
  </si>
  <si>
    <t>GREEN NAVY</t>
  </si>
  <si>
    <t>A24080-04S</t>
  </si>
  <si>
    <t>A24080-04M</t>
  </si>
  <si>
    <t>A24080-04L</t>
  </si>
  <si>
    <t>A24080-04XL</t>
  </si>
  <si>
    <t>A24080-04XXL</t>
  </si>
  <si>
    <t>WHITE GREY</t>
  </si>
  <si>
    <t>DUSTY BLUE</t>
  </si>
  <si>
    <t>A24080-03S</t>
  </si>
  <si>
    <t>A24080-03M</t>
  </si>
  <si>
    <t>A24080-03L</t>
  </si>
  <si>
    <t>A24080-03XL</t>
  </si>
  <si>
    <t>A24080-03XXL</t>
  </si>
  <si>
    <t>A24080-01S</t>
  </si>
  <si>
    <t>A24080-01M</t>
  </si>
  <si>
    <t>A24080-01L</t>
  </si>
  <si>
    <t>A24080-01XL</t>
  </si>
  <si>
    <t>A24080-01XXL</t>
  </si>
  <si>
    <t>VIOLET</t>
  </si>
  <si>
    <t>A24081-01S</t>
  </si>
  <si>
    <t>A24081-01M</t>
  </si>
  <si>
    <t>A24081-01L</t>
  </si>
  <si>
    <t>A24081-01XL</t>
  </si>
  <si>
    <t>A24081-01XXL</t>
  </si>
  <si>
    <t>A24081-02S</t>
  </si>
  <si>
    <t>A24081-02M</t>
  </si>
  <si>
    <t>A24081-02L</t>
  </si>
  <si>
    <t>A24081-02XL</t>
  </si>
  <si>
    <t>A24081-02XXL</t>
  </si>
  <si>
    <t>A24082-01S</t>
  </si>
  <si>
    <t>A24082-01M</t>
  </si>
  <si>
    <t>A24082-01L</t>
  </si>
  <si>
    <t>A24082-01XL</t>
  </si>
  <si>
    <t>A24082-01XXL</t>
  </si>
  <si>
    <t>A24082-02S</t>
  </si>
  <si>
    <t>A24082-02M</t>
  </si>
  <si>
    <t>A24082-02L</t>
  </si>
  <si>
    <t>A24082-02XL</t>
  </si>
  <si>
    <t>A24082-02XXL</t>
  </si>
  <si>
    <t>A24083-01S</t>
  </si>
  <si>
    <t>A24083-01M</t>
  </si>
  <si>
    <t>A24083-01L</t>
  </si>
  <si>
    <t>A24083-01XL</t>
  </si>
  <si>
    <t>A24083-01XXL</t>
  </si>
  <si>
    <t>DOPPLER</t>
  </si>
  <si>
    <t>WORK SHIRT ZIP</t>
  </si>
  <si>
    <t>A24087-02S</t>
  </si>
  <si>
    <t>A24087-02M</t>
  </si>
  <si>
    <t>A24087-02L</t>
  </si>
  <si>
    <t>A24087-02XL</t>
  </si>
  <si>
    <t>A24087-02XXL</t>
  </si>
  <si>
    <t>A24087-01S</t>
  </si>
  <si>
    <t>A24087-01M</t>
  </si>
  <si>
    <t>A24087-01L</t>
  </si>
  <si>
    <t>A24087-01XL</t>
  </si>
  <si>
    <t>A24087-01XXL</t>
  </si>
  <si>
    <t>NORDIC STRIPE</t>
  </si>
  <si>
    <t>SHADOW PLAID</t>
  </si>
  <si>
    <t>SOLSTICE FULL ZIP FLEECE</t>
  </si>
  <si>
    <t>A24084-01S</t>
  </si>
  <si>
    <t>A24084-01M</t>
  </si>
  <si>
    <t>A24084-01L</t>
  </si>
  <si>
    <t>A24084-01XL</t>
  </si>
  <si>
    <t>A24084-01XXL</t>
  </si>
  <si>
    <t>TOPO</t>
  </si>
  <si>
    <t>A24085-01S</t>
  </si>
  <si>
    <t>A24085-01M</t>
  </si>
  <si>
    <t>A24085-01L</t>
  </si>
  <si>
    <t>A24085-01XL</t>
  </si>
  <si>
    <t>A24085-01XXL</t>
  </si>
  <si>
    <t>ORB HALF SNAP</t>
  </si>
  <si>
    <t>VORTEX HALF ZIP</t>
  </si>
  <si>
    <t>A24086-01S</t>
  </si>
  <si>
    <t>A24086-01M</t>
  </si>
  <si>
    <t>A24086-01L</t>
  </si>
  <si>
    <t>A24086-01XL</t>
  </si>
  <si>
    <t>A24086-01XXL</t>
  </si>
  <si>
    <t>A24086-02S</t>
  </si>
  <si>
    <t>A24086-02M</t>
  </si>
  <si>
    <t>A24086-02L</t>
  </si>
  <si>
    <t>A24086-02XL</t>
  </si>
  <si>
    <t>A24086-02XXL</t>
  </si>
  <si>
    <t>SEASONS</t>
  </si>
  <si>
    <t>A24088-02S</t>
  </si>
  <si>
    <t>A24088-02M</t>
  </si>
  <si>
    <t>A24088-02L</t>
  </si>
  <si>
    <t>A24088-02XL</t>
  </si>
  <si>
    <t>A24088-02XXL</t>
  </si>
  <si>
    <t>A24088-01S</t>
  </si>
  <si>
    <t>A24088-01M</t>
  </si>
  <si>
    <t>A24088-01L</t>
  </si>
  <si>
    <t>A24088-01XL</t>
  </si>
  <si>
    <t>A24088-01XXL</t>
  </si>
  <si>
    <t>CARGO BASK PANT</t>
  </si>
  <si>
    <t>BASK PANT</t>
  </si>
  <si>
    <t>A24089-01S</t>
  </si>
  <si>
    <t>A24089-01M</t>
  </si>
  <si>
    <t>A24089-01L</t>
  </si>
  <si>
    <t>A24089-01XL</t>
  </si>
  <si>
    <t>A24089-01XXL</t>
  </si>
  <si>
    <t>A24089-02S</t>
  </si>
  <si>
    <t>A24089-02M</t>
  </si>
  <si>
    <t>A24089-02L</t>
  </si>
  <si>
    <t>A24089-02XL</t>
  </si>
  <si>
    <t>A24089-02XXL</t>
  </si>
  <si>
    <t>APRES CREWNECK</t>
  </si>
  <si>
    <t>A24107-01S</t>
  </si>
  <si>
    <t>A24107-01M</t>
  </si>
  <si>
    <t>A24107-01L</t>
  </si>
  <si>
    <t>A24107-01XL</t>
  </si>
  <si>
    <t>A24107-01XXL</t>
  </si>
  <si>
    <t>PIGMENT SLATE BLUE</t>
  </si>
  <si>
    <t>PEAK PLANT CREWNECK</t>
  </si>
  <si>
    <t>PIGMENT BLACK</t>
  </si>
  <si>
    <t>A24106-01S</t>
  </si>
  <si>
    <t>A24106-01M</t>
  </si>
  <si>
    <t>A24106-01L</t>
  </si>
  <si>
    <t>A24106-01XL</t>
  </si>
  <si>
    <t>A24106-01XXL</t>
  </si>
  <si>
    <t>A24105-01S</t>
  </si>
  <si>
    <t>A24105-01M</t>
  </si>
  <si>
    <t>A24105-01L</t>
  </si>
  <si>
    <t>A24105-01XL</t>
  </si>
  <si>
    <t>A24105-01XXL</t>
  </si>
  <si>
    <t>A24103-01S</t>
  </si>
  <si>
    <t>A24103-01M</t>
  </si>
  <si>
    <t>A24103-01L</t>
  </si>
  <si>
    <t>A24103-01XL</t>
  </si>
  <si>
    <t>A24103-01XXL</t>
  </si>
  <si>
    <t>ARTHUR PULLOVER</t>
  </si>
  <si>
    <t>CARVE THROUGH PULLOVER</t>
  </si>
  <si>
    <t>CHAIRLIFT PULLOVER</t>
  </si>
  <si>
    <t>GREY HEATHER</t>
  </si>
  <si>
    <t>A24101-01S</t>
  </si>
  <si>
    <t>A24101-01M</t>
  </si>
  <si>
    <t>A24101-01L</t>
  </si>
  <si>
    <t>A24101-01XL</t>
  </si>
  <si>
    <t>A24101-01XXL</t>
  </si>
  <si>
    <t>DAZYE PULLOVER</t>
  </si>
  <si>
    <t>A24104-01S</t>
  </si>
  <si>
    <t>A24104-01M</t>
  </si>
  <si>
    <t>A24104-01L</t>
  </si>
  <si>
    <t>A24104-01XL</t>
  </si>
  <si>
    <t>A24104-01XXL</t>
  </si>
  <si>
    <t>ICON PULLOVER</t>
  </si>
  <si>
    <t>A24100-01S</t>
  </si>
  <si>
    <t>A24100-01M</t>
  </si>
  <si>
    <t>A24100-01L</t>
  </si>
  <si>
    <t>A24100-01XL</t>
  </si>
  <si>
    <t>A24100-01XXL</t>
  </si>
  <si>
    <t>EMBROIDERED WORKMARK PULLOVER</t>
  </si>
  <si>
    <t>A24102-01S</t>
  </si>
  <si>
    <t>A24102-01M</t>
  </si>
  <si>
    <t>A24102-01L</t>
  </si>
  <si>
    <t>A24102-01XL</t>
  </si>
  <si>
    <t>A24102-01XXL</t>
  </si>
  <si>
    <t>BLOOM S/S SHIRT</t>
  </si>
  <si>
    <t>A24115-01S</t>
  </si>
  <si>
    <t>A24115-01M</t>
  </si>
  <si>
    <t>A24115-01L</t>
  </si>
  <si>
    <t>A24115-01XL</t>
  </si>
  <si>
    <t>A24115-01XXL</t>
  </si>
  <si>
    <t>A24114-01S</t>
  </si>
  <si>
    <t>A24114-01M</t>
  </si>
  <si>
    <t>A24114-01L</t>
  </si>
  <si>
    <t>A24114-01XL</t>
  </si>
  <si>
    <t>A24114-01XXL</t>
  </si>
  <si>
    <t>A24112-01S</t>
  </si>
  <si>
    <t>A24112-01M</t>
  </si>
  <si>
    <t>A24112-01L</t>
  </si>
  <si>
    <t>A24112-01XL</t>
  </si>
  <si>
    <t>A24112-01XXL</t>
  </si>
  <si>
    <t>A24113-01S</t>
  </si>
  <si>
    <t>A24113-01M</t>
  </si>
  <si>
    <t>A24113-01L</t>
  </si>
  <si>
    <t>A24113-01XL</t>
  </si>
  <si>
    <t>A24113-01XXL</t>
  </si>
  <si>
    <t>A24108-01S</t>
  </si>
  <si>
    <t>A24108-01M</t>
  </si>
  <si>
    <t>A24108-01L</t>
  </si>
  <si>
    <t>A24108-01XL</t>
  </si>
  <si>
    <t>A24108-01XXL</t>
  </si>
  <si>
    <t>A24109-01S</t>
  </si>
  <si>
    <t>A24109-01M</t>
  </si>
  <si>
    <t>A24109-01L</t>
  </si>
  <si>
    <t>A24109-01XL</t>
  </si>
  <si>
    <t>A24109-01XXL</t>
  </si>
  <si>
    <t>CRUST S/S SHIRT</t>
  </si>
  <si>
    <t>MOON MAN S/S SHIRT</t>
  </si>
  <si>
    <t>NATIVE S/S SHIRT</t>
  </si>
  <si>
    <t>RANGE L/S SHIRT</t>
  </si>
  <si>
    <t>IDAHO L/S SHIRT</t>
  </si>
  <si>
    <t>PACK OUT L/S SHIRT</t>
  </si>
  <si>
    <t>A24111-01S</t>
  </si>
  <si>
    <t>A24111-01M</t>
  </si>
  <si>
    <t>A24111-01L</t>
  </si>
  <si>
    <t>A24111-01XL</t>
  </si>
  <si>
    <t>A24111-01XXL</t>
  </si>
  <si>
    <t>A24110-01S</t>
  </si>
  <si>
    <t>A24110-01M</t>
  </si>
  <si>
    <t>A24110-01L</t>
  </si>
  <si>
    <t>A24110-01XL</t>
  </si>
  <si>
    <t>A24110-01XXL</t>
  </si>
  <si>
    <t>SALT LAKE CITY, UT  84115</t>
  </si>
  <si>
    <t>UNITS</t>
  </si>
  <si>
    <t>HEADWEAR TOTAL UNITS :</t>
  </si>
  <si>
    <t>A24080-02XXL</t>
  </si>
  <si>
    <t>BAND FLEECE LINED</t>
  </si>
  <si>
    <t>CASCADE CARGO PANT</t>
  </si>
  <si>
    <t>CASCADE SERVICE PANT</t>
  </si>
  <si>
    <t>FLASH L/S SHIRT</t>
  </si>
  <si>
    <t>* Earliest Delivery date is September 1st , 2023.</t>
  </si>
  <si>
    <t>KHAKI BLACK</t>
  </si>
  <si>
    <t>DARK NAVY</t>
  </si>
  <si>
    <t>DARK SLATE</t>
  </si>
  <si>
    <t>A24120-01</t>
  </si>
  <si>
    <t>A24120-02</t>
  </si>
  <si>
    <t>A24120-03</t>
  </si>
  <si>
    <t>A24120-04</t>
  </si>
  <si>
    <t>* Cancel date for product not shipped is December 31, 2023 or later.</t>
  </si>
  <si>
    <t>Apparel Total:</t>
  </si>
  <si>
    <t xml:space="preserve">Please choose </t>
  </si>
  <si>
    <t xml:space="preserve">promo beanies of your </t>
  </si>
  <si>
    <t>PREBOOK PROGRAM SIMPLE BEANIE</t>
  </si>
  <si>
    <t>choice in the yellow</t>
  </si>
  <si>
    <t>section to the left</t>
  </si>
  <si>
    <t>A24003-13</t>
  </si>
  <si>
    <t>A24003-14</t>
  </si>
  <si>
    <t>A24003-15</t>
  </si>
  <si>
    <t>A24003-16</t>
  </si>
  <si>
    <t>A24003-17</t>
  </si>
  <si>
    <t>A24003-18</t>
  </si>
  <si>
    <t>BAKER'S DOZEN (FREE BEANIE) PROGRAM - BUY 12 BEANIES GET 1 FREE</t>
  </si>
  <si>
    <t>ORDER TOTAL</t>
  </si>
  <si>
    <t>VOLUME DISCOUNT</t>
  </si>
  <si>
    <t xml:space="preserve">*Orders received after booking deadline will not be eligible for discounts. </t>
  </si>
  <si>
    <t>APPAREL DISCOUNT</t>
  </si>
  <si>
    <t>3000+</t>
  </si>
  <si>
    <t>*In order to qualify for preseason apparel booking terms a minimum order of $ 1,000 must be made by the order deadline February 15, 2023</t>
  </si>
  <si>
    <t>$2000-$2999</t>
  </si>
  <si>
    <t>$1000-$1999</t>
  </si>
  <si>
    <t>*All orders are subject to availability. Discount is only applied to apparel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</si>
</sst>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name val="Texta"/>
    </font>
    <font>
      <sz val="10"/>
      <name val="Texta"/>
    </font>
    <font>
      <sz val="24"/>
      <name val="Texta"/>
    </font>
    <font>
      <sz val="12"/>
      <name val="Texta"/>
    </font>
    <font>
      <b/>
      <sz val="12"/>
      <name val="Texta"/>
    </font>
    <font>
      <b/>
      <sz val="16"/>
      <name val="Texta"/>
    </font>
    <font>
      <b/>
      <sz val="12"/>
      <color theme="1"/>
      <name val="Texta"/>
    </font>
    <font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name val="Texta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 (Body)_x0000_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 (Body)"/>
    </font>
    <font>
      <b/>
      <sz val="10"/>
      <name val="Texta"/>
    </font>
    <font>
      <b/>
      <sz val="14"/>
      <color rgb="FF000000"/>
      <name val="Cordia New"/>
      <family val="2"/>
    </font>
    <font>
      <sz val="14"/>
      <color theme="1"/>
      <name val="Calibri"/>
      <family val="2"/>
      <scheme val="minor"/>
    </font>
    <font>
      <sz val="14"/>
      <color rgb="FF000000"/>
      <name val="Cordia New"/>
      <family val="2"/>
    </font>
    <font>
      <b/>
      <sz val="12"/>
      <color rgb="FFFFFFFF"/>
      <name val="Calibri"/>
      <family val="2"/>
      <scheme val="minor"/>
    </font>
    <font>
      <sz val="12"/>
      <color theme="1"/>
      <name val="Texta"/>
    </font>
    <font>
      <sz val="8"/>
      <name val="Calibri"/>
      <family val="2"/>
      <scheme val="minor"/>
    </font>
    <font>
      <b/>
      <sz val="6"/>
      <color theme="1"/>
      <name val="PT Sans"/>
      <family val="2"/>
      <charset val="204"/>
    </font>
    <font>
      <b/>
      <sz val="12"/>
      <color indexed="8"/>
      <name val="PT Sans"/>
      <family val="2"/>
      <charset val="204"/>
    </font>
    <font>
      <sz val="12"/>
      <color indexed="8"/>
      <name val="PT Sans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4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5" fillId="2" borderId="0" xfId="0" applyFont="1" applyFill="1"/>
    <xf numFmtId="0" fontId="3" fillId="5" borderId="0" xfId="0" applyFont="1" applyFill="1" applyAlignment="1">
      <alignment horizontal="center"/>
    </xf>
    <xf numFmtId="44" fontId="3" fillId="5" borderId="0" xfId="1" applyFont="1" applyFill="1" applyAlignment="1">
      <alignment horizontal="center"/>
    </xf>
    <xf numFmtId="44" fontId="11" fillId="6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0" applyNumberFormat="1" applyBorder="1"/>
    <xf numFmtId="0" fontId="0" fillId="7" borderId="3" xfId="0" applyFill="1" applyBorder="1" applyAlignment="1">
      <alignment horizontal="center"/>
    </xf>
    <xf numFmtId="44" fontId="0" fillId="7" borderId="3" xfId="1" applyFont="1" applyFill="1" applyBorder="1"/>
    <xf numFmtId="44" fontId="0" fillId="0" borderId="3" xfId="1" applyFont="1" applyFill="1" applyBorder="1"/>
    <xf numFmtId="44" fontId="0" fillId="7" borderId="1" xfId="1" applyFont="1" applyFill="1" applyBorder="1"/>
    <xf numFmtId="0" fontId="0" fillId="0" borderId="3" xfId="0" applyFill="1" applyBorder="1" applyAlignment="1">
      <alignment horizontal="center"/>
    </xf>
    <xf numFmtId="44" fontId="0" fillId="0" borderId="3" xfId="0" applyNumberFormat="1" applyFill="1" applyBorder="1"/>
    <xf numFmtId="0" fontId="0" fillId="8" borderId="0" xfId="0" applyFill="1"/>
    <xf numFmtId="0" fontId="0" fillId="3" borderId="0" xfId="0" applyFill="1"/>
    <xf numFmtId="0" fontId="13" fillId="2" borderId="0" xfId="0" applyFont="1" applyFill="1" applyAlignment="1">
      <alignment horizontal="center" vertical="center"/>
    </xf>
    <xf numFmtId="0" fontId="17" fillId="8" borderId="0" xfId="0" applyFont="1" applyFill="1"/>
    <xf numFmtId="0" fontId="7" fillId="8" borderId="0" xfId="0" applyFont="1" applyFill="1" applyBorder="1"/>
    <xf numFmtId="0" fontId="0" fillId="8" borderId="0" xfId="0" applyFill="1" applyBorder="1"/>
    <xf numFmtId="0" fontId="7" fillId="2" borderId="3" xfId="0" applyFont="1" applyFill="1" applyBorder="1" applyAlignment="1">
      <alignment horizontal="center"/>
    </xf>
    <xf numFmtId="15" fontId="8" fillId="3" borderId="3" xfId="0" applyNumberFormat="1" applyFont="1" applyFill="1" applyBorder="1" applyAlignment="1" applyProtection="1">
      <alignment horizontal="center"/>
      <protection locked="0"/>
    </xf>
    <xf numFmtId="44" fontId="0" fillId="0" borderId="3" xfId="1" applyFont="1" applyBorder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7" borderId="3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22" fillId="0" borderId="0" xfId="0" applyFont="1"/>
    <xf numFmtId="0" fontId="23" fillId="10" borderId="16" xfId="0" applyFont="1" applyFill="1" applyBorder="1" applyAlignment="1">
      <alignment horizontal="left" vertical="center"/>
    </xf>
    <xf numFmtId="1" fontId="23" fillId="10" borderId="0" xfId="0" applyNumberFormat="1" applyFont="1" applyFill="1" applyAlignment="1">
      <alignment horizontal="left" vertical="center"/>
    </xf>
    <xf numFmtId="1" fontId="23" fillId="10" borderId="17" xfId="0" applyNumberFormat="1" applyFont="1" applyFill="1" applyBorder="1" applyAlignment="1">
      <alignment horizontal="left" vertical="center"/>
    </xf>
    <xf numFmtId="0" fontId="23" fillId="10" borderId="18" xfId="0" applyFont="1" applyFill="1" applyBorder="1" applyAlignment="1">
      <alignment horizontal="left" vertical="center"/>
    </xf>
    <xf numFmtId="1" fontId="23" fillId="10" borderId="19" xfId="0" applyNumberFormat="1" applyFont="1" applyFill="1" applyBorder="1" applyAlignment="1">
      <alignment horizontal="left" vertical="center"/>
    </xf>
    <xf numFmtId="1" fontId="23" fillId="10" borderId="20" xfId="0" applyNumberFormat="1" applyFont="1" applyFill="1" applyBorder="1" applyAlignment="1">
      <alignment horizontal="left" vertical="center"/>
    </xf>
    <xf numFmtId="0" fontId="23" fillId="10" borderId="0" xfId="0" applyFont="1" applyFill="1" applyAlignment="1">
      <alignment vertical="center"/>
    </xf>
    <xf numFmtId="1" fontId="23" fillId="10" borderId="0" xfId="0" applyNumberFormat="1" applyFont="1" applyFill="1" applyAlignment="1">
      <alignment vertical="center"/>
    </xf>
    <xf numFmtId="0" fontId="23" fillId="10" borderId="16" xfId="0" applyFont="1" applyFill="1" applyBorder="1" applyAlignment="1">
      <alignment vertical="center"/>
    </xf>
    <xf numFmtId="1" fontId="23" fillId="10" borderId="17" xfId="0" applyNumberFormat="1" applyFont="1" applyFill="1" applyBorder="1" applyAlignment="1">
      <alignment vertical="center"/>
    </xf>
    <xf numFmtId="0" fontId="23" fillId="10" borderId="18" xfId="0" applyFont="1" applyFill="1" applyBorder="1" applyAlignment="1">
      <alignment vertical="center"/>
    </xf>
    <xf numFmtId="1" fontId="23" fillId="10" borderId="19" xfId="0" applyNumberFormat="1" applyFont="1" applyFill="1" applyBorder="1" applyAlignment="1">
      <alignment vertical="center"/>
    </xf>
    <xf numFmtId="1" fontId="23" fillId="10" borderId="20" xfId="0" applyNumberFormat="1" applyFont="1" applyFill="1" applyBorder="1" applyAlignment="1">
      <alignment vertical="center"/>
    </xf>
    <xf numFmtId="0" fontId="23" fillId="10" borderId="19" xfId="0" applyFont="1" applyFill="1" applyBorder="1" applyAlignment="1">
      <alignment vertical="center"/>
    </xf>
    <xf numFmtId="1" fontId="21" fillId="0" borderId="0" xfId="0" applyNumberFormat="1" applyFont="1" applyAlignment="1">
      <alignment horizontal="left" vertical="center"/>
    </xf>
    <xf numFmtId="0" fontId="23" fillId="0" borderId="0" xfId="0" applyFont="1" applyAlignment="1">
      <alignment vertical="top" wrapText="1"/>
    </xf>
    <xf numFmtId="0" fontId="0" fillId="0" borderId="3" xfId="0" applyFill="1" applyBorder="1" applyAlignment="1" applyProtection="1">
      <alignment horizontal="center"/>
      <protection hidden="1"/>
    </xf>
    <xf numFmtId="0" fontId="0" fillId="7" borderId="3" xfId="0" applyFill="1" applyBorder="1" applyAlignment="1" applyProtection="1">
      <alignment horizontal="center"/>
      <protection hidden="1"/>
    </xf>
    <xf numFmtId="0" fontId="0" fillId="7" borderId="3" xfId="0" applyFont="1" applyFill="1" applyBorder="1" applyAlignment="1" applyProtection="1">
      <alignment horizontal="center"/>
      <protection hidden="1"/>
    </xf>
    <xf numFmtId="44" fontId="0" fillId="7" borderId="3" xfId="1" applyFont="1" applyFill="1" applyBorder="1" applyAlignment="1">
      <alignment horizontal="center"/>
    </xf>
    <xf numFmtId="0" fontId="0" fillId="0" borderId="11" xfId="0" applyFill="1" applyBorder="1" applyAlignment="1" applyProtection="1">
      <alignment horizontal="center"/>
    </xf>
    <xf numFmtId="44" fontId="0" fillId="0" borderId="11" xfId="0" applyNumberFormat="1" applyFill="1" applyBorder="1"/>
    <xf numFmtId="44" fontId="0" fillId="0" borderId="11" xfId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3" borderId="3" xfId="1" applyFont="1" applyFill="1" applyBorder="1"/>
    <xf numFmtId="0" fontId="2" fillId="8" borderId="0" xfId="0" applyFont="1" applyFill="1" applyBorder="1" applyAlignment="1">
      <alignment horizontal="center" vertical="center"/>
    </xf>
    <xf numFmtId="44" fontId="0" fillId="3" borderId="11" xfId="0" applyNumberFormat="1" applyFill="1" applyBorder="1"/>
    <xf numFmtId="44" fontId="0" fillId="3" borderId="1" xfId="1" applyFont="1" applyFill="1" applyBorder="1"/>
    <xf numFmtId="0" fontId="0" fillId="3" borderId="3" xfId="0" applyFont="1" applyFill="1" applyBorder="1" applyAlignment="1" applyProtection="1">
      <alignment horizontal="center"/>
      <protection hidden="1"/>
    </xf>
    <xf numFmtId="44" fontId="0" fillId="3" borderId="3" xfId="0" applyNumberFormat="1" applyFill="1" applyBorder="1"/>
    <xf numFmtId="0" fontId="3" fillId="5" borderId="24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7" fillId="2" borderId="3" xfId="0" applyFont="1" applyFill="1" applyBorder="1"/>
    <xf numFmtId="49" fontId="7" fillId="3" borderId="3" xfId="0" applyNumberFormat="1" applyFont="1" applyFill="1" applyBorder="1" applyAlignment="1" applyProtection="1">
      <alignment horizontal="center"/>
      <protection locked="0"/>
    </xf>
    <xf numFmtId="15" fontId="7" fillId="3" borderId="3" xfId="0" applyNumberFormat="1" applyFont="1" applyFill="1" applyBorder="1" applyAlignment="1" applyProtection="1">
      <alignment horizontal="center"/>
      <protection locked="0"/>
    </xf>
    <xf numFmtId="0" fontId="8" fillId="2" borderId="3" xfId="0" applyFont="1" applyFill="1" applyBorder="1"/>
    <xf numFmtId="0" fontId="2" fillId="4" borderId="3" xfId="0" applyFont="1" applyFill="1" applyBorder="1" applyAlignment="1" applyProtection="1">
      <alignment horizontal="center"/>
      <protection hidden="1"/>
    </xf>
    <xf numFmtId="44" fontId="0" fillId="0" borderId="29" xfId="0" applyNumberFormat="1" applyFill="1" applyBorder="1" applyProtection="1">
      <protection hidden="1"/>
    </xf>
    <xf numFmtId="0" fontId="3" fillId="5" borderId="3" xfId="0" applyFont="1" applyFill="1" applyBorder="1" applyAlignment="1">
      <alignment horizontal="center"/>
    </xf>
    <xf numFmtId="44" fontId="3" fillId="5" borderId="3" xfId="1" applyFont="1" applyFill="1" applyBorder="1" applyAlignment="1">
      <alignment horizontal="center"/>
    </xf>
    <xf numFmtId="44" fontId="11" fillId="6" borderId="3" xfId="0" applyNumberFormat="1" applyFont="1" applyFill="1" applyBorder="1" applyAlignment="1">
      <alignment horizontal="center"/>
    </xf>
    <xf numFmtId="49" fontId="7" fillId="8" borderId="0" xfId="0" applyNumberFormat="1" applyFont="1" applyFill="1" applyBorder="1" applyAlignment="1" applyProtection="1">
      <alignment horizontal="center"/>
      <protection locked="0"/>
    </xf>
    <xf numFmtId="15" fontId="7" fillId="8" borderId="0" xfId="0" applyNumberFormat="1" applyFont="1" applyFill="1" applyBorder="1" applyAlignment="1" applyProtection="1">
      <alignment horizontal="center"/>
      <protection locked="0"/>
    </xf>
    <xf numFmtId="15" fontId="8" fillId="8" borderId="0" xfId="0" applyNumberFormat="1" applyFont="1" applyFill="1" applyBorder="1" applyAlignment="1" applyProtection="1">
      <alignment horizontal="center"/>
      <protection locked="0"/>
    </xf>
    <xf numFmtId="15" fontId="8" fillId="8" borderId="0" xfId="0" applyNumberFormat="1" applyFont="1" applyFill="1" applyBorder="1" applyAlignment="1">
      <alignment horizontal="center" vertical="center"/>
    </xf>
    <xf numFmtId="0" fontId="7" fillId="8" borderId="0" xfId="0" applyFont="1" applyFill="1"/>
    <xf numFmtId="0" fontId="0" fillId="7" borderId="11" xfId="0" applyFill="1" applyBorder="1" applyAlignment="1" applyProtection="1">
      <alignment horizontal="center"/>
    </xf>
    <xf numFmtId="0" fontId="0" fillId="8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49" fontId="7" fillId="3" borderId="3" xfId="0" applyNumberFormat="1" applyFont="1" applyFill="1" applyBorder="1" applyAlignment="1" applyProtection="1">
      <alignment horizontal="left"/>
      <protection locked="0"/>
    </xf>
    <xf numFmtId="0" fontId="0" fillId="8" borderId="0" xfId="0" applyFill="1" applyAlignment="1"/>
    <xf numFmtId="0" fontId="7" fillId="2" borderId="1" xfId="0" applyFont="1" applyFill="1" applyBorder="1" applyAlignment="1">
      <alignment horizontal="center"/>
    </xf>
    <xf numFmtId="0" fontId="7" fillId="8" borderId="0" xfId="0" applyFont="1" applyFill="1" applyBorder="1" applyAlignment="1"/>
    <xf numFmtId="0" fontId="0" fillId="8" borderId="0" xfId="0" applyFill="1" applyBorder="1" applyAlignment="1"/>
    <xf numFmtId="44" fontId="1" fillId="3" borderId="3" xfId="1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/>
    </xf>
    <xf numFmtId="0" fontId="18" fillId="5" borderId="25" xfId="0" applyFont="1" applyFill="1" applyBorder="1" applyAlignment="1">
      <alignment horizontal="center"/>
    </xf>
    <xf numFmtId="44" fontId="18" fillId="5" borderId="25" xfId="1" applyFont="1" applyFill="1" applyBorder="1" applyAlignment="1">
      <alignment horizontal="center"/>
    </xf>
    <xf numFmtId="44" fontId="24" fillId="6" borderId="26" xfId="0" applyNumberFormat="1" applyFont="1" applyFill="1" applyBorder="1" applyAlignment="1">
      <alignment horizontal="center"/>
    </xf>
    <xf numFmtId="44" fontId="0" fillId="12" borderId="3" xfId="1" applyFont="1" applyFill="1" applyBorder="1"/>
    <xf numFmtId="16" fontId="0" fillId="0" borderId="3" xfId="0" applyNumberFormat="1" applyBorder="1" applyAlignment="1">
      <alignment horizontal="center"/>
    </xf>
    <xf numFmtId="44" fontId="0" fillId="0" borderId="3" xfId="1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3" xfId="0" applyFill="1" applyBorder="1" applyAlignment="1" applyProtection="1">
      <alignment horizontal="center"/>
    </xf>
    <xf numFmtId="44" fontId="0" fillId="12" borderId="3" xfId="1" applyFont="1" applyFill="1" applyBorder="1" applyAlignment="1">
      <alignment horizontal="center"/>
    </xf>
    <xf numFmtId="0" fontId="0" fillId="3" borderId="3" xfId="0" applyFill="1" applyBorder="1" applyAlignment="1" applyProtection="1">
      <alignment horizontal="center"/>
    </xf>
    <xf numFmtId="0" fontId="0" fillId="12" borderId="3" xfId="0" applyFill="1" applyBorder="1" applyAlignment="1" applyProtection="1">
      <alignment horizontal="center"/>
      <protection hidden="1"/>
    </xf>
    <xf numFmtId="0" fontId="0" fillId="12" borderId="3" xfId="0" applyFont="1" applyFill="1" applyBorder="1" applyAlignment="1" applyProtection="1">
      <alignment horizontal="center"/>
      <protection hidden="1"/>
    </xf>
    <xf numFmtId="0" fontId="0" fillId="0" borderId="3" xfId="0" applyFont="1" applyFill="1" applyBorder="1" applyAlignment="1" applyProtection="1">
      <alignment horizontal="center"/>
      <protection hidden="1"/>
    </xf>
    <xf numFmtId="44" fontId="0" fillId="0" borderId="1" xfId="1" applyFont="1" applyFill="1" applyBorder="1"/>
    <xf numFmtId="0" fontId="2" fillId="8" borderId="0" xfId="0" applyFont="1" applyFill="1"/>
    <xf numFmtId="44" fontId="2" fillId="4" borderId="31" xfId="0" applyNumberFormat="1" applyFont="1" applyFill="1" applyBorder="1" applyProtection="1">
      <protection hidden="1"/>
    </xf>
    <xf numFmtId="0" fontId="2" fillId="4" borderId="31" xfId="0" applyNumberFormat="1" applyFont="1" applyFill="1" applyBorder="1" applyAlignment="1" applyProtection="1">
      <alignment horizontal="center"/>
      <protection hidden="1"/>
    </xf>
    <xf numFmtId="44" fontId="1" fillId="11" borderId="3" xfId="1" applyNumberFormat="1" applyFont="1" applyFill="1" applyBorder="1" applyAlignment="1">
      <alignment horizontal="center"/>
    </xf>
    <xf numFmtId="0" fontId="8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49" fontId="7" fillId="8" borderId="0" xfId="0" applyNumberFormat="1" applyFont="1" applyFill="1" applyBorder="1" applyAlignment="1" applyProtection="1">
      <alignment horizontal="left"/>
      <protection locked="0"/>
    </xf>
    <xf numFmtId="0" fontId="7" fillId="8" borderId="0" xfId="0" applyFont="1" applyFill="1" applyAlignment="1">
      <alignment horizontal="right"/>
    </xf>
    <xf numFmtId="0" fontId="8" fillId="8" borderId="0" xfId="0" applyFont="1" applyFill="1" applyBorder="1"/>
    <xf numFmtId="0" fontId="0" fillId="0" borderId="4" xfId="0" applyBorder="1" applyAlignment="1">
      <alignment horizontal="center"/>
    </xf>
    <xf numFmtId="0" fontId="0" fillId="7" borderId="11" xfId="0" applyFill="1" applyBorder="1" applyAlignment="1">
      <alignment horizontal="center"/>
    </xf>
    <xf numFmtId="49" fontId="7" fillId="3" borderId="3" xfId="0" applyNumberFormat="1" applyFont="1" applyFill="1" applyBorder="1" applyAlignment="1" applyProtection="1">
      <protection locked="0"/>
    </xf>
    <xf numFmtId="44" fontId="1" fillId="7" borderId="3" xfId="1" applyFont="1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3" xfId="0" applyFont="1" applyFill="1" applyBorder="1" applyAlignment="1" applyProtection="1">
      <alignment horizontal="center"/>
      <protection hidden="1"/>
    </xf>
    <xf numFmtId="0" fontId="0" fillId="13" borderId="11" xfId="0" applyFont="1" applyFill="1" applyBorder="1" applyAlignment="1" applyProtection="1">
      <alignment horizontal="center"/>
      <protection hidden="1"/>
    </xf>
    <xf numFmtId="0" fontId="0" fillId="13" borderId="11" xfId="0" applyFill="1" applyBorder="1" applyAlignment="1">
      <alignment horizontal="center"/>
    </xf>
    <xf numFmtId="44" fontId="0" fillId="13" borderId="3" xfId="1" applyFont="1" applyFill="1" applyBorder="1" applyAlignment="1">
      <alignment horizontal="center"/>
    </xf>
    <xf numFmtId="44" fontId="0" fillId="13" borderId="11" xfId="1" applyFont="1" applyFill="1" applyBorder="1" applyAlignment="1">
      <alignment horizontal="center"/>
    </xf>
    <xf numFmtId="44" fontId="3" fillId="5" borderId="0" xfId="1" applyFont="1" applyFill="1" applyBorder="1" applyAlignment="1">
      <alignment horizontal="center"/>
    </xf>
    <xf numFmtId="44" fontId="11" fillId="6" borderId="32" xfId="0" applyNumberFormat="1" applyFont="1" applyFill="1" applyBorder="1" applyAlignment="1">
      <alignment horizontal="center"/>
    </xf>
    <xf numFmtId="44" fontId="0" fillId="13" borderId="3" xfId="1" applyFont="1" applyFill="1" applyBorder="1"/>
    <xf numFmtId="0" fontId="2" fillId="0" borderId="29" xfId="0" applyNumberFormat="1" applyFont="1" applyBorder="1" applyAlignment="1" applyProtection="1">
      <alignment horizontal="center"/>
      <protection hidden="1"/>
    </xf>
    <xf numFmtId="0" fontId="0" fillId="8" borderId="0" xfId="0" applyNumberFormat="1" applyFont="1" applyFill="1"/>
    <xf numFmtId="0" fontId="25" fillId="2" borderId="0" xfId="0" applyNumberFormat="1" applyFont="1" applyFill="1"/>
    <xf numFmtId="0" fontId="0" fillId="8" borderId="0" xfId="0" applyNumberFormat="1" applyFont="1" applyFill="1" applyBorder="1" applyAlignment="1"/>
    <xf numFmtId="0" fontId="25" fillId="8" borderId="0" xfId="0" applyNumberFormat="1" applyFont="1" applyFill="1" applyBorder="1" applyAlignment="1"/>
    <xf numFmtId="0" fontId="2" fillId="5" borderId="25" xfId="1" applyNumberFormat="1" applyFont="1" applyFill="1" applyBorder="1" applyAlignment="1">
      <alignment horizontal="center"/>
    </xf>
    <xf numFmtId="0" fontId="0" fillId="3" borderId="3" xfId="1" applyNumberFormat="1" applyFont="1" applyFill="1" applyBorder="1" applyAlignment="1">
      <alignment horizontal="center"/>
    </xf>
    <xf numFmtId="0" fontId="0" fillId="7" borderId="3" xfId="1" applyNumberFormat="1" applyFont="1" applyFill="1" applyBorder="1" applyAlignment="1">
      <alignment horizontal="center"/>
    </xf>
    <xf numFmtId="0" fontId="0" fillId="0" borderId="11" xfId="0" applyNumberFormat="1" applyFont="1" applyFill="1" applyBorder="1" applyAlignment="1">
      <alignment horizontal="center"/>
    </xf>
    <xf numFmtId="0" fontId="0" fillId="7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0" fontId="0" fillId="12" borderId="3" xfId="0" applyNumberFormat="1" applyFont="1" applyFill="1" applyBorder="1" applyAlignment="1">
      <alignment horizontal="center"/>
    </xf>
    <xf numFmtId="0" fontId="0" fillId="5" borderId="3" xfId="1" applyNumberFormat="1" applyFont="1" applyFill="1" applyBorder="1" applyAlignment="1">
      <alignment horizontal="center"/>
    </xf>
    <xf numFmtId="0" fontId="0" fillId="5" borderId="0" xfId="1" applyNumberFormat="1" applyFont="1" applyFill="1" applyBorder="1" applyAlignment="1">
      <alignment horizontal="center"/>
    </xf>
    <xf numFmtId="0" fontId="0" fillId="13" borderId="3" xfId="0" applyNumberFormat="1" applyFont="1" applyFill="1" applyBorder="1" applyAlignment="1">
      <alignment horizontal="center"/>
    </xf>
    <xf numFmtId="0" fontId="0" fillId="13" borderId="11" xfId="0" applyNumberFormat="1" applyFont="1" applyFill="1" applyBorder="1" applyAlignment="1">
      <alignment horizontal="center"/>
    </xf>
    <xf numFmtId="0" fontId="0" fillId="5" borderId="0" xfId="1" applyNumberFormat="1" applyFont="1" applyFill="1" applyAlignment="1">
      <alignment horizontal="center"/>
    </xf>
    <xf numFmtId="0" fontId="0" fillId="7" borderId="4" xfId="0" applyNumberFormat="1" applyFont="1" applyFill="1" applyBorder="1" applyAlignment="1">
      <alignment horizontal="center"/>
    </xf>
    <xf numFmtId="0" fontId="2" fillId="8" borderId="0" xfId="0" applyNumberFormat="1" applyFont="1" applyFill="1" applyAlignment="1">
      <alignment horizontal="center"/>
    </xf>
    <xf numFmtId="0" fontId="2" fillId="8" borderId="0" xfId="0" applyNumberFormat="1" applyFont="1" applyFill="1" applyAlignment="1">
      <alignment horizontal="center" vertical="center"/>
    </xf>
    <xf numFmtId="0" fontId="0" fillId="8" borderId="0" xfId="0" applyNumberFormat="1" applyFont="1" applyFill="1" applyAlignment="1">
      <alignment horizontal="center" vertical="center"/>
    </xf>
    <xf numFmtId="0" fontId="0" fillId="0" borderId="0" xfId="0" applyNumberFormat="1" applyFont="1"/>
    <xf numFmtId="0" fontId="0" fillId="8" borderId="33" xfId="0" applyFill="1" applyBorder="1"/>
    <xf numFmtId="44" fontId="10" fillId="4" borderId="4" xfId="0" applyNumberFormat="1" applyFont="1" applyFill="1" applyBorder="1" applyProtection="1">
      <protection hidden="1"/>
    </xf>
    <xf numFmtId="0" fontId="10" fillId="8" borderId="34" xfId="0" applyNumberFormat="1" applyFont="1" applyFill="1" applyBorder="1" applyAlignment="1" applyProtection="1">
      <alignment horizontal="center" vertical="center"/>
      <protection hidden="1"/>
    </xf>
    <xf numFmtId="15" fontId="8" fillId="2" borderId="35" xfId="0" applyNumberFormat="1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/>
    </xf>
    <xf numFmtId="0" fontId="17" fillId="8" borderId="0" xfId="0" applyNumberFormat="1" applyFont="1" applyFill="1"/>
    <xf numFmtId="0" fontId="0" fillId="0" borderId="36" xfId="0" applyBorder="1" applyAlignment="1">
      <alignment horizontal="center"/>
    </xf>
    <xf numFmtId="44" fontId="2" fillId="8" borderId="7" xfId="1" applyFont="1" applyFill="1" applyBorder="1" applyAlignment="1">
      <alignment horizontal="right"/>
    </xf>
    <xf numFmtId="0" fontId="2" fillId="8" borderId="10" xfId="0" applyFont="1" applyFill="1" applyBorder="1" applyAlignment="1">
      <alignment horizontal="right"/>
    </xf>
    <xf numFmtId="0" fontId="7" fillId="3" borderId="3" xfId="0" applyFont="1" applyFill="1" applyBorder="1" applyAlignment="1"/>
    <xf numFmtId="0" fontId="0" fillId="0" borderId="3" xfId="0" applyBorder="1" applyAlignment="1"/>
    <xf numFmtId="0" fontId="2" fillId="7" borderId="4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7" fillId="8" borderId="0" xfId="0" applyFont="1" applyFill="1" applyBorder="1" applyAlignment="1"/>
    <xf numFmtId="0" fontId="0" fillId="8" borderId="0" xfId="0" applyFill="1" applyBorder="1" applyAlignment="1"/>
    <xf numFmtId="0" fontId="7" fillId="3" borderId="1" xfId="0" applyFont="1" applyFill="1" applyBorder="1" applyAlignment="1"/>
    <xf numFmtId="0" fontId="0" fillId="0" borderId="5" xfId="0" applyBorder="1" applyAlignment="1"/>
    <xf numFmtId="0" fontId="0" fillId="0" borderId="2" xfId="0" applyBorder="1" applyAlignment="1"/>
    <xf numFmtId="0" fontId="15" fillId="5" borderId="3" xfId="0" applyFont="1" applyFill="1" applyBorder="1" applyAlignment="1">
      <alignment horizontal="center"/>
    </xf>
    <xf numFmtId="0" fontId="15" fillId="0" borderId="3" xfId="0" applyFont="1" applyBorder="1" applyAlignment="1"/>
    <xf numFmtId="0" fontId="2" fillId="12" borderId="4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2" xfId="0" applyFont="1" applyBorder="1" applyAlignment="1">
      <alignment vertical="center"/>
    </xf>
    <xf numFmtId="0" fontId="19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8" fillId="5" borderId="30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4" fillId="5" borderId="0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vertical="center"/>
    </xf>
    <xf numFmtId="0" fontId="14" fillId="5" borderId="26" xfId="0" applyFont="1" applyFill="1" applyBorder="1" applyAlignment="1">
      <alignment vertical="center"/>
    </xf>
    <xf numFmtId="0" fontId="16" fillId="5" borderId="3" xfId="0" applyFont="1" applyFill="1" applyBorder="1" applyAlignment="1">
      <alignment horizontal="center"/>
    </xf>
    <xf numFmtId="0" fontId="12" fillId="0" borderId="3" xfId="0" applyFont="1" applyBorder="1" applyAlignment="1"/>
    <xf numFmtId="0" fontId="2" fillId="8" borderId="0" xfId="0" applyFont="1" applyFill="1" applyBorder="1" applyAlignment="1">
      <alignment horizontal="right"/>
    </xf>
    <xf numFmtId="0" fontId="2" fillId="8" borderId="12" xfId="0" applyFont="1" applyFill="1" applyBorder="1" applyAlignment="1">
      <alignment horizontal="right"/>
    </xf>
    <xf numFmtId="0" fontId="2" fillId="12" borderId="11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vertical="center"/>
    </xf>
    <xf numFmtId="0" fontId="21" fillId="9" borderId="14" xfId="0" applyFont="1" applyFill="1" applyBorder="1" applyAlignment="1">
      <alignment vertical="center"/>
    </xf>
    <xf numFmtId="0" fontId="21" fillId="9" borderId="15" xfId="0" applyFont="1" applyFill="1" applyBorder="1" applyAlignment="1">
      <alignment vertical="center"/>
    </xf>
    <xf numFmtId="0" fontId="21" fillId="9" borderId="21" xfId="0" applyFont="1" applyFill="1" applyBorder="1" applyAlignment="1">
      <alignment vertical="center"/>
    </xf>
    <xf numFmtId="0" fontId="21" fillId="9" borderId="22" xfId="0" applyFont="1" applyFill="1" applyBorder="1" applyAlignment="1">
      <alignment vertical="center"/>
    </xf>
    <xf numFmtId="0" fontId="21" fillId="9" borderId="23" xfId="0" applyFont="1" applyFill="1" applyBorder="1" applyAlignment="1">
      <alignment vertical="center"/>
    </xf>
    <xf numFmtId="9" fontId="0" fillId="8" borderId="0" xfId="0" applyNumberFormat="1" applyFill="1"/>
    <xf numFmtId="0" fontId="7" fillId="14" borderId="0" xfId="0" applyFont="1" applyFill="1"/>
    <xf numFmtId="0" fontId="0" fillId="14" borderId="0" xfId="0" applyFill="1"/>
    <xf numFmtId="0" fontId="0" fillId="14" borderId="3" xfId="0" applyFill="1" applyBorder="1" applyAlignment="1">
      <alignment horizontal="center"/>
    </xf>
    <xf numFmtId="44" fontId="0" fillId="14" borderId="3" xfId="1" applyFont="1" applyFill="1" applyBorder="1"/>
    <xf numFmtId="44" fontId="0" fillId="14" borderId="3" xfId="0" applyNumberFormat="1" applyFill="1" applyBorder="1"/>
    <xf numFmtId="0" fontId="2" fillId="4" borderId="31" xfId="0" applyFont="1" applyFill="1" applyBorder="1" applyAlignment="1" applyProtection="1">
      <alignment horizontal="center"/>
      <protection hidden="1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44" fontId="0" fillId="8" borderId="0" xfId="1" applyFont="1" applyFill="1" applyBorder="1"/>
    <xf numFmtId="44" fontId="0" fillId="8" borderId="0" xfId="0" applyNumberFormat="1" applyFill="1"/>
    <xf numFmtId="0" fontId="2" fillId="8" borderId="36" xfId="0" applyNumberFormat="1" applyFont="1" applyFill="1" applyBorder="1" applyAlignment="1">
      <alignment horizontal="center"/>
    </xf>
    <xf numFmtId="44" fontId="0" fillId="8" borderId="36" xfId="1" applyFont="1" applyFill="1" applyBorder="1"/>
    <xf numFmtId="0" fontId="2" fillId="8" borderId="0" xfId="0" applyNumberFormat="1" applyFont="1" applyFill="1" applyBorder="1" applyAlignment="1">
      <alignment horizontal="center"/>
    </xf>
    <xf numFmtId="1" fontId="8" fillId="14" borderId="0" xfId="0" applyNumberFormat="1" applyFont="1" applyFill="1" applyBorder="1" applyAlignment="1">
      <alignment horizontal="center" vertical="center"/>
    </xf>
    <xf numFmtId="1" fontId="8" fillId="14" borderId="37" xfId="0" applyNumberFormat="1" applyFont="1" applyFill="1" applyBorder="1" applyAlignment="1">
      <alignment horizontal="center" vertical="center"/>
    </xf>
    <xf numFmtId="0" fontId="27" fillId="12" borderId="41" xfId="0" applyFont="1" applyFill="1" applyBorder="1" applyAlignment="1">
      <alignment vertical="center"/>
    </xf>
    <xf numFmtId="0" fontId="27" fillId="12" borderId="38" xfId="0" applyFont="1" applyFill="1" applyBorder="1" applyAlignment="1">
      <alignment horizontal="left" vertical="center"/>
    </xf>
    <xf numFmtId="0" fontId="27" fillId="12" borderId="39" xfId="0" applyFont="1" applyFill="1" applyBorder="1" applyAlignment="1">
      <alignment vertical="center"/>
    </xf>
    <xf numFmtId="0" fontId="28" fillId="15" borderId="38" xfId="0" applyFont="1" applyFill="1" applyBorder="1" applyAlignment="1">
      <alignment horizontal="center" vertical="center"/>
    </xf>
    <xf numFmtId="9" fontId="28" fillId="15" borderId="40" xfId="0" applyNumberFormat="1" applyFont="1" applyFill="1" applyBorder="1" applyAlignment="1">
      <alignment horizontal="center" vertical="center"/>
    </xf>
    <xf numFmtId="0" fontId="29" fillId="15" borderId="42" xfId="0" applyFont="1" applyFill="1" applyBorder="1" applyAlignment="1">
      <alignment horizontal="left" vertical="center"/>
    </xf>
    <xf numFmtId="0" fontId="29" fillId="15" borderId="43" xfId="0" applyFont="1" applyFill="1" applyBorder="1" applyAlignment="1">
      <alignment vertical="center"/>
    </xf>
    <xf numFmtId="0" fontId="29" fillId="15" borderId="44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2204719</xdr:colOff>
      <xdr:row>0</xdr:row>
      <xdr:rowOff>20320</xdr:rowOff>
    </xdr:from>
    <xdr:to>
      <xdr:col>4</xdr:col>
      <xdr:colOff>355894</xdr:colOff>
      <xdr:row>9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E6887-245B-7A42-AC27-33847BD1C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2159" y="20320"/>
          <a:ext cx="2550455" cy="247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2AEF-3381-6940-9B44-A5B656CFAA76}">
  <dimension ref="A1:R591"/>
  <sheetViews>
    <sheetView showGridLines="0" tabSelected="1" topLeftCell="A428" zoomScale="120" zoomScaleNormal="120" workbookViewId="0">
      <selection activeCell="I465" sqref="I465"/>
    </sheetView>
  </sheetViews>
  <sheetFormatPr baseColWidth="10" defaultRowHeight="16"/>
  <cols>
    <col min="1" max="1" width="10.6640625" customWidth="1"/>
    <col min="2" max="2" width="20.5" customWidth="1"/>
    <col min="3" max="3" width="33.33203125" bestFit="1" customWidth="1"/>
    <col min="4" max="4" width="24.33203125" customWidth="1"/>
    <col min="5" max="5" width="15.1640625" bestFit="1" customWidth="1"/>
    <col min="6" max="6" width="13.33203125" customWidth="1"/>
    <col min="7" max="7" width="13.83203125" style="147" customWidth="1"/>
    <col min="8" max="8" width="14.5" customWidth="1"/>
    <col min="9" max="9" width="11.5" customWidth="1"/>
    <col min="10" max="10" width="6.33203125" style="20" customWidth="1"/>
    <col min="11" max="18" width="10.83203125" style="19"/>
  </cols>
  <sheetData>
    <row r="1" spans="1:18" s="20" customFormat="1">
      <c r="A1" s="19"/>
      <c r="B1" s="22" t="s">
        <v>56</v>
      </c>
      <c r="C1" s="19"/>
      <c r="D1" s="19"/>
      <c r="E1" s="19"/>
      <c r="F1" s="19"/>
      <c r="G1" s="153" t="s">
        <v>57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s="20" customFormat="1">
      <c r="A2" s="19"/>
      <c r="B2" s="22"/>
      <c r="C2" s="19"/>
      <c r="D2" s="19"/>
      <c r="E2" s="19"/>
      <c r="F2" s="19"/>
      <c r="G2" s="126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s="20" customFormat="1">
      <c r="A3" s="19"/>
      <c r="B3" s="22"/>
      <c r="C3" s="19"/>
      <c r="D3" s="19"/>
      <c r="E3" s="19"/>
      <c r="F3" s="19"/>
      <c r="G3" s="126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s="20" customFormat="1">
      <c r="A4" s="19"/>
      <c r="B4" s="22"/>
      <c r="C4" s="19"/>
      <c r="D4" s="19"/>
      <c r="E4" s="19"/>
      <c r="F4" s="19"/>
      <c r="G4" s="126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s="20" customFormat="1">
      <c r="A5" s="19"/>
      <c r="B5" s="22"/>
      <c r="C5" s="19"/>
      <c r="D5" s="19"/>
      <c r="E5" s="19"/>
      <c r="F5" s="19"/>
      <c r="G5" s="126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s="20" customFormat="1">
      <c r="A6" s="19"/>
      <c r="B6" s="19"/>
      <c r="C6" s="19"/>
      <c r="D6" s="19"/>
      <c r="E6" s="19"/>
      <c r="F6" s="19"/>
      <c r="G6" s="126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3">
      <c r="A7" s="19"/>
      <c r="B7" s="1"/>
      <c r="C7" s="2"/>
      <c r="D7" s="2"/>
      <c r="E7" s="3"/>
      <c r="F7" s="3"/>
      <c r="G7" s="127"/>
      <c r="H7" s="4"/>
      <c r="I7" s="19"/>
      <c r="J7" s="19"/>
    </row>
    <row r="8" spans="1:18" ht="33">
      <c r="A8" s="19"/>
      <c r="B8" s="1"/>
      <c r="C8" s="2"/>
      <c r="D8" s="2"/>
      <c r="E8" s="3"/>
      <c r="F8" s="3"/>
      <c r="G8" s="127"/>
      <c r="H8" s="4"/>
      <c r="I8" s="19"/>
      <c r="J8" s="19"/>
    </row>
    <row r="9" spans="1:18" ht="33">
      <c r="A9" s="19"/>
      <c r="B9" s="1"/>
      <c r="C9" s="2"/>
      <c r="D9" s="21" t="s">
        <v>135</v>
      </c>
      <c r="E9" s="3"/>
      <c r="F9" s="3"/>
      <c r="G9" s="127"/>
      <c r="H9" s="4"/>
      <c r="I9" s="19"/>
      <c r="J9" s="19"/>
    </row>
    <row r="10" spans="1:18" ht="20" customHeight="1">
      <c r="A10" s="19"/>
      <c r="B10" s="5"/>
      <c r="C10" s="2"/>
      <c r="D10" s="28" t="s">
        <v>60</v>
      </c>
      <c r="E10" s="3"/>
      <c r="F10" s="3"/>
      <c r="G10" s="127"/>
      <c r="H10" s="4"/>
      <c r="I10" s="19"/>
      <c r="J10" s="19"/>
    </row>
    <row r="11" spans="1:18" ht="13" customHeight="1">
      <c r="A11" s="19"/>
      <c r="B11" s="4"/>
      <c r="C11" s="6"/>
      <c r="D11" s="6"/>
      <c r="E11" s="6"/>
      <c r="F11" s="6"/>
      <c r="G11" s="127"/>
      <c r="H11" s="4"/>
      <c r="I11" s="19"/>
      <c r="J11" s="19"/>
    </row>
    <row r="12" spans="1:18">
      <c r="A12" s="19"/>
      <c r="B12" s="7"/>
      <c r="C12" s="7"/>
      <c r="D12" s="7"/>
      <c r="E12" s="7"/>
      <c r="F12" s="7"/>
      <c r="G12" s="127"/>
      <c r="H12" s="4"/>
      <c r="I12" s="19"/>
      <c r="J12" s="19"/>
    </row>
    <row r="13" spans="1:18">
      <c r="A13" s="19"/>
      <c r="B13" s="107" t="s">
        <v>99</v>
      </c>
      <c r="C13" s="82"/>
      <c r="D13" s="107" t="s">
        <v>100</v>
      </c>
      <c r="E13" s="183"/>
      <c r="F13" s="184"/>
      <c r="G13" s="185"/>
      <c r="H13" s="19"/>
      <c r="I13" s="19"/>
      <c r="J13" s="19"/>
      <c r="Q13"/>
      <c r="R13"/>
    </row>
    <row r="14" spans="1:18">
      <c r="A14" s="19"/>
      <c r="B14" s="108" t="s">
        <v>2</v>
      </c>
      <c r="C14" s="82"/>
      <c r="D14" s="108" t="s">
        <v>2</v>
      </c>
      <c r="E14" s="183"/>
      <c r="F14" s="184"/>
      <c r="G14" s="185"/>
      <c r="H14" s="19"/>
      <c r="I14" s="19"/>
      <c r="J14" s="19"/>
      <c r="Q14"/>
      <c r="R14"/>
    </row>
    <row r="15" spans="1:18">
      <c r="A15" s="19"/>
      <c r="B15" s="108" t="s">
        <v>3</v>
      </c>
      <c r="C15" s="82"/>
      <c r="D15" s="108" t="s">
        <v>3</v>
      </c>
      <c r="E15" s="183"/>
      <c r="F15" s="184"/>
      <c r="G15" s="185"/>
      <c r="H15" s="19"/>
      <c r="I15" s="19"/>
      <c r="J15" s="19"/>
      <c r="Q15"/>
      <c r="R15"/>
    </row>
    <row r="16" spans="1:18">
      <c r="A16" s="19"/>
      <c r="B16" s="108" t="s">
        <v>4</v>
      </c>
      <c r="C16" s="82"/>
      <c r="D16" s="108" t="s">
        <v>4</v>
      </c>
      <c r="E16" s="183"/>
      <c r="F16" s="184"/>
      <c r="G16" s="185"/>
      <c r="H16" s="19"/>
      <c r="I16" s="19"/>
      <c r="J16" s="19"/>
      <c r="Q16"/>
      <c r="R16"/>
    </row>
    <row r="17" spans="1:18">
      <c r="A17" s="19"/>
      <c r="B17" s="108" t="s">
        <v>5</v>
      </c>
      <c r="C17" s="114"/>
      <c r="D17" s="108" t="s">
        <v>5</v>
      </c>
      <c r="E17" s="183"/>
      <c r="F17" s="184"/>
      <c r="G17" s="185"/>
      <c r="H17" s="19"/>
      <c r="I17" s="19"/>
      <c r="J17" s="19"/>
      <c r="Q17"/>
      <c r="R17"/>
    </row>
    <row r="18" spans="1:18">
      <c r="A18" s="19"/>
      <c r="B18" s="108" t="s">
        <v>6</v>
      </c>
      <c r="C18" s="82"/>
      <c r="D18" s="108" t="s">
        <v>6</v>
      </c>
      <c r="E18" s="183"/>
      <c r="F18" s="184"/>
      <c r="G18" s="185"/>
      <c r="H18" s="19"/>
      <c r="I18" s="19"/>
      <c r="J18" s="19"/>
      <c r="Q18"/>
      <c r="R18"/>
    </row>
    <row r="19" spans="1:18">
      <c r="A19" s="19"/>
      <c r="B19" s="108" t="s">
        <v>7</v>
      </c>
      <c r="C19" s="82"/>
      <c r="D19" s="108"/>
      <c r="E19" s="4"/>
      <c r="F19" s="4"/>
      <c r="G19" s="126"/>
      <c r="H19" s="19"/>
      <c r="I19" s="19"/>
      <c r="J19" s="19"/>
      <c r="Q19"/>
      <c r="R19"/>
    </row>
    <row r="20" spans="1:18">
      <c r="A20" s="19"/>
      <c r="B20" s="108" t="s">
        <v>8</v>
      </c>
      <c r="C20" s="82"/>
      <c r="D20" s="108" t="s">
        <v>46</v>
      </c>
      <c r="E20" s="157"/>
      <c r="F20" s="158"/>
      <c r="G20" s="158"/>
      <c r="H20" s="19"/>
      <c r="I20" s="19"/>
      <c r="J20" s="19"/>
      <c r="Q20"/>
      <c r="R20"/>
    </row>
    <row r="21" spans="1:18">
      <c r="A21" s="19"/>
      <c r="B21" s="108"/>
      <c r="C21" s="109"/>
      <c r="D21" s="110"/>
      <c r="E21" s="157"/>
      <c r="F21" s="158"/>
      <c r="G21" s="158"/>
      <c r="H21" s="19"/>
      <c r="I21" s="19"/>
      <c r="J21" s="19"/>
      <c r="Q21"/>
      <c r="R21"/>
    </row>
    <row r="22" spans="1:18">
      <c r="A22" s="19"/>
      <c r="B22" s="108"/>
      <c r="C22" s="109"/>
      <c r="D22" s="110"/>
      <c r="E22" s="157"/>
      <c r="F22" s="158"/>
      <c r="G22" s="158"/>
      <c r="H22" s="19"/>
      <c r="I22" s="19"/>
      <c r="J22" s="19"/>
      <c r="Q22"/>
      <c r="R22"/>
    </row>
    <row r="23" spans="1:18">
      <c r="A23" s="19"/>
      <c r="B23" s="4"/>
      <c r="C23" s="78"/>
      <c r="D23" s="78"/>
      <c r="E23" s="78"/>
      <c r="F23" s="181"/>
      <c r="G23" s="182"/>
      <c r="H23" s="182"/>
      <c r="I23" s="19"/>
      <c r="J23" s="19"/>
      <c r="R23"/>
    </row>
    <row r="24" spans="1:18">
      <c r="A24" s="19"/>
      <c r="B24" s="111"/>
      <c r="C24" s="68" t="s">
        <v>9</v>
      </c>
      <c r="D24" s="69">
        <f>SUM(G448)</f>
        <v>0</v>
      </c>
      <c r="E24" s="68" t="s">
        <v>10</v>
      </c>
      <c r="F24" s="149">
        <f>SUM(H448)</f>
        <v>0</v>
      </c>
      <c r="G24" s="128"/>
      <c r="H24" s="86"/>
      <c r="I24" s="83"/>
      <c r="J24" s="19"/>
      <c r="R24"/>
    </row>
    <row r="25" spans="1:18">
      <c r="A25" s="19"/>
      <c r="B25" s="23"/>
      <c r="C25" s="65" t="s">
        <v>11</v>
      </c>
      <c r="D25" s="25" t="s">
        <v>133</v>
      </c>
      <c r="E25" s="84" t="s">
        <v>12</v>
      </c>
      <c r="F25" s="152" t="s">
        <v>59</v>
      </c>
      <c r="G25" s="150"/>
      <c r="H25" s="85"/>
      <c r="I25" s="86"/>
      <c r="J25" s="19"/>
    </row>
    <row r="26" spans="1:18">
      <c r="A26" s="19"/>
      <c r="B26" s="74"/>
      <c r="C26" s="66"/>
      <c r="D26" s="67"/>
      <c r="E26" s="26">
        <v>44805</v>
      </c>
      <c r="F26" s="151">
        <v>44972</v>
      </c>
      <c r="G26" s="129"/>
      <c r="H26" s="86"/>
      <c r="I26" s="86"/>
      <c r="J26" s="19"/>
    </row>
    <row r="27" spans="1:18" ht="17" thickBot="1">
      <c r="A27" s="19"/>
      <c r="B27" s="74"/>
      <c r="C27" s="75"/>
      <c r="D27" s="76"/>
      <c r="E27" s="77"/>
      <c r="F27" s="4"/>
      <c r="G27" s="127"/>
      <c r="H27" s="78"/>
      <c r="I27" s="4"/>
      <c r="J27" s="4"/>
      <c r="K27" s="4"/>
    </row>
    <row r="28" spans="1:18">
      <c r="A28" s="19"/>
      <c r="B28" s="88" t="s">
        <v>13</v>
      </c>
      <c r="C28" s="89" t="s">
        <v>14</v>
      </c>
      <c r="D28" s="89" t="s">
        <v>15</v>
      </c>
      <c r="E28" s="90" t="s">
        <v>16</v>
      </c>
      <c r="F28" s="90" t="s">
        <v>101</v>
      </c>
      <c r="G28" s="130" t="s">
        <v>47</v>
      </c>
      <c r="H28" s="91" t="s">
        <v>19</v>
      </c>
      <c r="I28" s="19"/>
      <c r="J28" s="19"/>
    </row>
    <row r="29" spans="1:18">
      <c r="A29" s="19"/>
      <c r="B29" s="202" t="s">
        <v>149</v>
      </c>
      <c r="C29" s="203"/>
      <c r="D29" s="203"/>
      <c r="E29" s="203"/>
      <c r="F29" s="203"/>
      <c r="G29" s="203"/>
      <c r="H29" s="203"/>
      <c r="I29" s="19"/>
      <c r="J29" s="19"/>
    </row>
    <row r="30" spans="1:18">
      <c r="A30" s="19"/>
      <c r="B30" s="11" t="s">
        <v>136</v>
      </c>
      <c r="C30" s="176" t="s">
        <v>146</v>
      </c>
      <c r="D30" s="11" t="s">
        <v>21</v>
      </c>
      <c r="E30" s="27">
        <v>11</v>
      </c>
      <c r="F30" s="87" t="s">
        <v>134</v>
      </c>
      <c r="G30" s="131"/>
      <c r="H30" s="106">
        <f>SUM(E30*G30)</f>
        <v>0</v>
      </c>
      <c r="I30" s="19"/>
      <c r="J30" s="19"/>
    </row>
    <row r="31" spans="1:18">
      <c r="A31" s="19"/>
      <c r="B31" s="11" t="s">
        <v>137</v>
      </c>
      <c r="C31" s="177"/>
      <c r="D31" s="11" t="s">
        <v>38</v>
      </c>
      <c r="E31" s="27">
        <v>11</v>
      </c>
      <c r="F31" s="87" t="s">
        <v>134</v>
      </c>
      <c r="G31" s="131"/>
      <c r="H31" s="106">
        <f t="shared" ref="H31:H39" si="0">SUM(E31*G31)</f>
        <v>0</v>
      </c>
      <c r="I31" s="19"/>
      <c r="J31" s="19"/>
    </row>
    <row r="32" spans="1:18">
      <c r="A32" s="19"/>
      <c r="B32" s="11" t="s">
        <v>138</v>
      </c>
      <c r="C32" s="177"/>
      <c r="D32" s="11" t="s">
        <v>23</v>
      </c>
      <c r="E32" s="27">
        <v>11</v>
      </c>
      <c r="F32" s="87" t="s">
        <v>134</v>
      </c>
      <c r="G32" s="131"/>
      <c r="H32" s="106">
        <f t="shared" si="0"/>
        <v>0</v>
      </c>
      <c r="I32" s="19"/>
      <c r="J32" s="19"/>
    </row>
    <row r="33" spans="1:12">
      <c r="A33" s="19"/>
      <c r="B33" s="11" t="s">
        <v>139</v>
      </c>
      <c r="C33" s="177"/>
      <c r="D33" s="11" t="s">
        <v>148</v>
      </c>
      <c r="E33" s="27">
        <v>11</v>
      </c>
      <c r="F33" s="87" t="s">
        <v>134</v>
      </c>
      <c r="G33" s="131"/>
      <c r="H33" s="106">
        <f t="shared" si="0"/>
        <v>0</v>
      </c>
      <c r="I33" s="19"/>
      <c r="J33" s="19"/>
      <c r="L33" s="148"/>
    </row>
    <row r="34" spans="1:12">
      <c r="A34" s="19"/>
      <c r="B34" s="11" t="s">
        <v>140</v>
      </c>
      <c r="C34" s="177"/>
      <c r="D34" s="11" t="s">
        <v>25</v>
      </c>
      <c r="E34" s="27">
        <v>11</v>
      </c>
      <c r="F34" s="87" t="s">
        <v>134</v>
      </c>
      <c r="G34" s="131"/>
      <c r="H34" s="106">
        <f t="shared" si="0"/>
        <v>0</v>
      </c>
      <c r="I34" s="19"/>
      <c r="J34" s="19"/>
    </row>
    <row r="35" spans="1:12">
      <c r="A35" s="19"/>
      <c r="B35" s="11" t="s">
        <v>141</v>
      </c>
      <c r="C35" s="178"/>
      <c r="D35" s="11" t="s">
        <v>73</v>
      </c>
      <c r="E35" s="27">
        <v>11</v>
      </c>
      <c r="F35" s="87" t="s">
        <v>134</v>
      </c>
      <c r="G35" s="131"/>
      <c r="H35" s="106">
        <f t="shared" si="0"/>
        <v>0</v>
      </c>
      <c r="I35" s="19"/>
      <c r="J35" s="19"/>
    </row>
    <row r="36" spans="1:12">
      <c r="A36" s="19"/>
      <c r="B36" s="13" t="s">
        <v>142</v>
      </c>
      <c r="C36" s="179" t="s">
        <v>147</v>
      </c>
      <c r="D36" s="13" t="s">
        <v>24</v>
      </c>
      <c r="E36" s="52">
        <v>11</v>
      </c>
      <c r="F36" s="115" t="s">
        <v>134</v>
      </c>
      <c r="G36" s="132"/>
      <c r="H36" s="106">
        <f t="shared" si="0"/>
        <v>0</v>
      </c>
      <c r="I36" s="19"/>
      <c r="J36" s="19"/>
    </row>
    <row r="37" spans="1:12">
      <c r="A37" s="19"/>
      <c r="B37" s="13" t="s">
        <v>143</v>
      </c>
      <c r="C37" s="177"/>
      <c r="D37" s="13" t="s">
        <v>30</v>
      </c>
      <c r="E37" s="52">
        <v>11</v>
      </c>
      <c r="F37" s="115" t="s">
        <v>134</v>
      </c>
      <c r="G37" s="132"/>
      <c r="H37" s="106">
        <f t="shared" si="0"/>
        <v>0</v>
      </c>
      <c r="I37" s="19"/>
      <c r="J37" s="19"/>
    </row>
    <row r="38" spans="1:12">
      <c r="A38" s="19"/>
      <c r="B38" s="13" t="s">
        <v>144</v>
      </c>
      <c r="C38" s="177"/>
      <c r="D38" s="13" t="s">
        <v>34</v>
      </c>
      <c r="E38" s="52">
        <v>11</v>
      </c>
      <c r="F38" s="115" t="s">
        <v>134</v>
      </c>
      <c r="G38" s="132"/>
      <c r="H38" s="106">
        <f t="shared" si="0"/>
        <v>0</v>
      </c>
      <c r="I38" s="19"/>
      <c r="J38" s="19"/>
    </row>
    <row r="39" spans="1:12">
      <c r="A39" s="19"/>
      <c r="B39" s="13" t="s">
        <v>145</v>
      </c>
      <c r="C39" s="178"/>
      <c r="D39" s="13" t="s">
        <v>40</v>
      </c>
      <c r="E39" s="52">
        <v>11</v>
      </c>
      <c r="F39" s="115" t="s">
        <v>134</v>
      </c>
      <c r="G39" s="132"/>
      <c r="H39" s="106">
        <f t="shared" si="0"/>
        <v>0</v>
      </c>
      <c r="I39" s="19"/>
      <c r="J39" s="19"/>
    </row>
    <row r="40" spans="1:12" ht="17" thickBot="1">
      <c r="A40" s="19"/>
      <c r="B40" s="190" t="s">
        <v>96</v>
      </c>
      <c r="C40" s="191"/>
      <c r="D40" s="191"/>
      <c r="E40" s="191"/>
      <c r="F40" s="191"/>
      <c r="G40" s="191"/>
      <c r="H40" s="192"/>
      <c r="I40" s="19"/>
      <c r="J40" s="19"/>
    </row>
    <row r="41" spans="1:12" ht="16" customHeight="1">
      <c r="A41" s="19"/>
      <c r="B41" s="11" t="s">
        <v>150</v>
      </c>
      <c r="C41" s="199" t="s">
        <v>20</v>
      </c>
      <c r="D41" s="11" t="s">
        <v>162</v>
      </c>
      <c r="E41" s="55">
        <v>10</v>
      </c>
      <c r="F41" s="53" t="s">
        <v>134</v>
      </c>
      <c r="G41" s="133"/>
      <c r="H41" s="54">
        <f>SUM(E41*G41)</f>
        <v>0</v>
      </c>
      <c r="I41" s="19"/>
      <c r="J41" s="19"/>
    </row>
    <row r="42" spans="1:12" ht="16" customHeight="1">
      <c r="A42" s="19"/>
      <c r="B42" s="11" t="s">
        <v>151</v>
      </c>
      <c r="C42" s="200"/>
      <c r="D42" s="11" t="s">
        <v>67</v>
      </c>
      <c r="E42" s="27">
        <v>10</v>
      </c>
      <c r="F42" s="53" t="s">
        <v>134</v>
      </c>
      <c r="G42" s="133"/>
      <c r="H42" s="54">
        <f t="shared" ref="H42:H97" si="1">SUM(E42*G42)</f>
        <v>0</v>
      </c>
      <c r="I42" s="19"/>
      <c r="J42" s="19"/>
    </row>
    <row r="43" spans="1:12" ht="16" customHeight="1">
      <c r="A43" s="19"/>
      <c r="B43" s="11" t="s">
        <v>152</v>
      </c>
      <c r="C43" s="200"/>
      <c r="D43" s="11" t="s">
        <v>76</v>
      </c>
      <c r="E43" s="27">
        <v>10</v>
      </c>
      <c r="F43" s="53" t="s">
        <v>134</v>
      </c>
      <c r="G43" s="133"/>
      <c r="H43" s="54">
        <f t="shared" si="1"/>
        <v>0</v>
      </c>
      <c r="I43" s="19"/>
      <c r="J43" s="19"/>
    </row>
    <row r="44" spans="1:12" ht="16" customHeight="1">
      <c r="A44" s="19"/>
      <c r="B44" s="11" t="s">
        <v>153</v>
      </c>
      <c r="C44" s="200"/>
      <c r="D44" s="11" t="s">
        <v>163</v>
      </c>
      <c r="E44" s="27">
        <v>10</v>
      </c>
      <c r="F44" s="53" t="s">
        <v>134</v>
      </c>
      <c r="G44" s="133"/>
      <c r="H44" s="54">
        <f t="shared" si="1"/>
        <v>0</v>
      </c>
      <c r="I44" s="19"/>
      <c r="J44" s="19"/>
    </row>
    <row r="45" spans="1:12" ht="16" customHeight="1">
      <c r="A45" s="19"/>
      <c r="B45" s="11" t="s">
        <v>154</v>
      </c>
      <c r="C45" s="200"/>
      <c r="D45" s="11" t="s">
        <v>73</v>
      </c>
      <c r="E45" s="27">
        <v>10</v>
      </c>
      <c r="F45" s="53" t="s">
        <v>134</v>
      </c>
      <c r="G45" s="133"/>
      <c r="H45" s="54">
        <f t="shared" si="1"/>
        <v>0</v>
      </c>
      <c r="I45" s="19"/>
      <c r="J45" s="19"/>
    </row>
    <row r="46" spans="1:12" ht="16" customHeight="1">
      <c r="A46" s="19"/>
      <c r="B46" s="11" t="s">
        <v>155</v>
      </c>
      <c r="C46" s="200"/>
      <c r="D46" s="11" t="s">
        <v>41</v>
      </c>
      <c r="E46" s="27">
        <v>10</v>
      </c>
      <c r="F46" s="53" t="s">
        <v>134</v>
      </c>
      <c r="G46" s="133"/>
      <c r="H46" s="54">
        <f t="shared" si="1"/>
        <v>0</v>
      </c>
      <c r="I46" s="19"/>
      <c r="J46" s="19"/>
    </row>
    <row r="47" spans="1:12" ht="16" customHeight="1">
      <c r="A47" s="19"/>
      <c r="B47" s="11" t="s">
        <v>156</v>
      </c>
      <c r="C47" s="200"/>
      <c r="D47" s="11" t="s">
        <v>21</v>
      </c>
      <c r="E47" s="27">
        <v>10</v>
      </c>
      <c r="F47" s="53" t="s">
        <v>134</v>
      </c>
      <c r="G47" s="133"/>
      <c r="H47" s="54">
        <f t="shared" si="1"/>
        <v>0</v>
      </c>
      <c r="I47" s="19"/>
      <c r="J47" s="19"/>
    </row>
    <row r="48" spans="1:12" ht="16" customHeight="1">
      <c r="A48" s="19"/>
      <c r="B48" s="11" t="s">
        <v>157</v>
      </c>
      <c r="C48" s="200"/>
      <c r="D48" s="11" t="s">
        <v>36</v>
      </c>
      <c r="E48" s="27">
        <v>10</v>
      </c>
      <c r="F48" s="53" t="s">
        <v>134</v>
      </c>
      <c r="G48" s="133"/>
      <c r="H48" s="54">
        <f t="shared" si="1"/>
        <v>0</v>
      </c>
      <c r="I48" s="19"/>
      <c r="J48" s="19"/>
    </row>
    <row r="49" spans="1:10" ht="16" customHeight="1">
      <c r="A49" s="19"/>
      <c r="B49" s="11" t="s">
        <v>158</v>
      </c>
      <c r="C49" s="200"/>
      <c r="D49" s="11" t="s">
        <v>27</v>
      </c>
      <c r="E49" s="27">
        <v>10</v>
      </c>
      <c r="F49" s="53" t="s">
        <v>134</v>
      </c>
      <c r="G49" s="133"/>
      <c r="H49" s="54">
        <f t="shared" si="1"/>
        <v>0</v>
      </c>
      <c r="I49" s="19"/>
      <c r="J49" s="19"/>
    </row>
    <row r="50" spans="1:10" ht="16" customHeight="1">
      <c r="A50" s="19"/>
      <c r="B50" s="11" t="s">
        <v>159</v>
      </c>
      <c r="C50" s="200"/>
      <c r="D50" s="11" t="s">
        <v>35</v>
      </c>
      <c r="E50" s="27">
        <v>10</v>
      </c>
      <c r="F50" s="53" t="s">
        <v>134</v>
      </c>
      <c r="G50" s="133"/>
      <c r="H50" s="54">
        <f t="shared" si="1"/>
        <v>0</v>
      </c>
      <c r="I50" s="19"/>
      <c r="J50" s="19"/>
    </row>
    <row r="51" spans="1:10" ht="16" customHeight="1">
      <c r="A51" s="19"/>
      <c r="B51" s="11" t="s">
        <v>160</v>
      </c>
      <c r="C51" s="200"/>
      <c r="D51" s="11" t="s">
        <v>34</v>
      </c>
      <c r="E51" s="27">
        <v>10</v>
      </c>
      <c r="F51" s="53" t="s">
        <v>134</v>
      </c>
      <c r="G51" s="133"/>
      <c r="H51" s="54">
        <f t="shared" si="1"/>
        <v>0</v>
      </c>
      <c r="I51" s="19"/>
      <c r="J51" s="19"/>
    </row>
    <row r="52" spans="1:10" ht="16" customHeight="1">
      <c r="A52" s="19"/>
      <c r="B52" s="11" t="s">
        <v>161</v>
      </c>
      <c r="C52" s="200"/>
      <c r="D52" s="11" t="s">
        <v>39</v>
      </c>
      <c r="E52" s="27">
        <v>10</v>
      </c>
      <c r="F52" s="53" t="s">
        <v>134</v>
      </c>
      <c r="G52" s="133"/>
      <c r="H52" s="54">
        <f t="shared" si="1"/>
        <v>0</v>
      </c>
      <c r="I52" s="19"/>
      <c r="J52" s="19"/>
    </row>
    <row r="53" spans="1:10" ht="16" customHeight="1">
      <c r="A53" s="19"/>
      <c r="B53" s="13" t="s">
        <v>165</v>
      </c>
      <c r="C53" s="168" t="s">
        <v>164</v>
      </c>
      <c r="D53" s="13" t="s">
        <v>21</v>
      </c>
      <c r="E53" s="52">
        <v>11</v>
      </c>
      <c r="F53" s="79" t="s">
        <v>134</v>
      </c>
      <c r="G53" s="134"/>
      <c r="H53" s="54">
        <f t="shared" si="1"/>
        <v>0</v>
      </c>
      <c r="I53" s="19"/>
      <c r="J53" s="19"/>
    </row>
    <row r="54" spans="1:10" ht="16" customHeight="1">
      <c r="A54" s="19"/>
      <c r="B54" s="13" t="s">
        <v>166</v>
      </c>
      <c r="C54" s="168"/>
      <c r="D54" s="13" t="s">
        <v>169</v>
      </c>
      <c r="E54" s="52">
        <v>11</v>
      </c>
      <c r="F54" s="79" t="s">
        <v>134</v>
      </c>
      <c r="G54" s="134"/>
      <c r="H54" s="54">
        <f t="shared" si="1"/>
        <v>0</v>
      </c>
      <c r="I54" s="19"/>
      <c r="J54" s="19"/>
    </row>
    <row r="55" spans="1:10" ht="16" customHeight="1">
      <c r="A55" s="19"/>
      <c r="B55" s="13" t="s">
        <v>167</v>
      </c>
      <c r="C55" s="168"/>
      <c r="D55" s="13" t="s">
        <v>170</v>
      </c>
      <c r="E55" s="52">
        <v>11</v>
      </c>
      <c r="F55" s="79" t="s">
        <v>134</v>
      </c>
      <c r="G55" s="134"/>
      <c r="H55" s="54">
        <f t="shared" si="1"/>
        <v>0</v>
      </c>
      <c r="I55" s="19"/>
      <c r="J55" s="19"/>
    </row>
    <row r="56" spans="1:10" ht="16" customHeight="1">
      <c r="A56" s="19"/>
      <c r="B56" s="13" t="s">
        <v>168</v>
      </c>
      <c r="C56" s="168"/>
      <c r="D56" s="13" t="s">
        <v>40</v>
      </c>
      <c r="E56" s="52">
        <v>11</v>
      </c>
      <c r="F56" s="79" t="s">
        <v>134</v>
      </c>
      <c r="G56" s="134"/>
      <c r="H56" s="54">
        <f t="shared" si="1"/>
        <v>0</v>
      </c>
      <c r="I56" s="19"/>
      <c r="J56" s="19"/>
    </row>
    <row r="57" spans="1:10" ht="16" customHeight="1">
      <c r="A57" s="19"/>
      <c r="B57" s="11" t="s">
        <v>172</v>
      </c>
      <c r="C57" s="201" t="s">
        <v>171</v>
      </c>
      <c r="D57" s="11" t="s">
        <v>38</v>
      </c>
      <c r="E57" s="15">
        <v>12</v>
      </c>
      <c r="F57" s="53" t="s">
        <v>134</v>
      </c>
      <c r="G57" s="135"/>
      <c r="H57" s="54">
        <f t="shared" si="1"/>
        <v>0</v>
      </c>
      <c r="I57" s="19"/>
      <c r="J57" s="19"/>
    </row>
    <row r="58" spans="1:10" ht="16" customHeight="1">
      <c r="A58" s="19"/>
      <c r="B58" s="11" t="s">
        <v>173</v>
      </c>
      <c r="C58" s="165"/>
      <c r="D58" s="11" t="s">
        <v>148</v>
      </c>
      <c r="E58" s="15">
        <v>12</v>
      </c>
      <c r="F58" s="53" t="s">
        <v>134</v>
      </c>
      <c r="G58" s="135"/>
      <c r="H58" s="54">
        <f t="shared" si="1"/>
        <v>0</v>
      </c>
      <c r="I58" s="19"/>
      <c r="J58" s="19"/>
    </row>
    <row r="59" spans="1:10" ht="16" customHeight="1">
      <c r="A59" s="19"/>
      <c r="B59" s="11" t="s">
        <v>174</v>
      </c>
      <c r="C59" s="165"/>
      <c r="D59" s="11" t="s">
        <v>176</v>
      </c>
      <c r="E59" s="15">
        <v>12</v>
      </c>
      <c r="F59" s="53" t="s">
        <v>134</v>
      </c>
      <c r="G59" s="135"/>
      <c r="H59" s="54">
        <f t="shared" si="1"/>
        <v>0</v>
      </c>
      <c r="I59" s="19"/>
      <c r="J59" s="19"/>
    </row>
    <row r="60" spans="1:10" ht="16" customHeight="1">
      <c r="A60" s="19"/>
      <c r="B60" s="11" t="s">
        <v>175</v>
      </c>
      <c r="C60" s="198"/>
      <c r="D60" s="11" t="s">
        <v>24</v>
      </c>
      <c r="E60" s="15">
        <v>12</v>
      </c>
      <c r="F60" s="53" t="s">
        <v>134</v>
      </c>
      <c r="G60" s="135"/>
      <c r="H60" s="54">
        <f t="shared" si="1"/>
        <v>0</v>
      </c>
      <c r="I60" s="19"/>
      <c r="J60" s="19"/>
    </row>
    <row r="61" spans="1:10" ht="16" customHeight="1">
      <c r="A61" s="19"/>
      <c r="B61" s="13" t="s">
        <v>177</v>
      </c>
      <c r="C61" s="168" t="s">
        <v>62</v>
      </c>
      <c r="D61" s="13" t="s">
        <v>38</v>
      </c>
      <c r="E61" s="52">
        <v>13</v>
      </c>
      <c r="F61" s="79" t="s">
        <v>134</v>
      </c>
      <c r="G61" s="134"/>
      <c r="H61" s="54">
        <f t="shared" si="1"/>
        <v>0</v>
      </c>
      <c r="I61" s="19"/>
      <c r="J61" s="19"/>
    </row>
    <row r="62" spans="1:10" ht="16" customHeight="1">
      <c r="A62" s="19"/>
      <c r="B62" s="13" t="s">
        <v>178</v>
      </c>
      <c r="C62" s="168"/>
      <c r="D62" s="13" t="s">
        <v>24</v>
      </c>
      <c r="E62" s="52">
        <v>13</v>
      </c>
      <c r="F62" s="79" t="s">
        <v>134</v>
      </c>
      <c r="G62" s="134"/>
      <c r="H62" s="54">
        <f t="shared" si="1"/>
        <v>0</v>
      </c>
      <c r="I62" s="19"/>
      <c r="J62" s="19"/>
    </row>
    <row r="63" spans="1:10" ht="16" customHeight="1">
      <c r="A63" s="19"/>
      <c r="B63" s="13" t="s">
        <v>179</v>
      </c>
      <c r="C63" s="168"/>
      <c r="D63" s="13" t="s">
        <v>21</v>
      </c>
      <c r="E63" s="52">
        <v>13</v>
      </c>
      <c r="F63" s="79" t="s">
        <v>134</v>
      </c>
      <c r="G63" s="134"/>
      <c r="H63" s="54">
        <f t="shared" si="1"/>
        <v>0</v>
      </c>
      <c r="I63" s="19"/>
      <c r="J63" s="19"/>
    </row>
    <row r="64" spans="1:10" ht="16" customHeight="1">
      <c r="A64" s="19"/>
      <c r="B64" s="13" t="s">
        <v>180</v>
      </c>
      <c r="C64" s="168"/>
      <c r="D64" s="13" t="s">
        <v>34</v>
      </c>
      <c r="E64" s="52">
        <v>13</v>
      </c>
      <c r="F64" s="79" t="s">
        <v>134</v>
      </c>
      <c r="G64" s="134"/>
      <c r="H64" s="54">
        <f t="shared" si="1"/>
        <v>0</v>
      </c>
      <c r="I64" s="19"/>
      <c r="J64" s="19"/>
    </row>
    <row r="65" spans="1:10" ht="16" customHeight="1">
      <c r="A65" s="19"/>
      <c r="B65" s="11" t="s">
        <v>182</v>
      </c>
      <c r="C65" s="180" t="s">
        <v>63</v>
      </c>
      <c r="D65" s="11" t="s">
        <v>21</v>
      </c>
      <c r="E65" s="15">
        <v>12</v>
      </c>
      <c r="F65" s="53" t="s">
        <v>134</v>
      </c>
      <c r="G65" s="135"/>
      <c r="H65" s="54">
        <f t="shared" si="1"/>
        <v>0</v>
      </c>
      <c r="I65" s="19"/>
      <c r="J65" s="19"/>
    </row>
    <row r="66" spans="1:10" ht="16" customHeight="1">
      <c r="A66" s="19"/>
      <c r="B66" s="11" t="s">
        <v>183</v>
      </c>
      <c r="C66" s="180"/>
      <c r="D66" s="11" t="s">
        <v>181</v>
      </c>
      <c r="E66" s="15">
        <v>12</v>
      </c>
      <c r="F66" s="53" t="s">
        <v>134</v>
      </c>
      <c r="G66" s="135"/>
      <c r="H66" s="54">
        <f t="shared" si="1"/>
        <v>0</v>
      </c>
      <c r="I66" s="19"/>
      <c r="J66" s="19"/>
    </row>
    <row r="67" spans="1:10" ht="16" customHeight="1">
      <c r="A67" s="19"/>
      <c r="B67" s="11" t="s">
        <v>184</v>
      </c>
      <c r="C67" s="180"/>
      <c r="D67" s="11" t="s">
        <v>37</v>
      </c>
      <c r="E67" s="15">
        <v>12</v>
      </c>
      <c r="F67" s="53" t="s">
        <v>134</v>
      </c>
      <c r="G67" s="135"/>
      <c r="H67" s="54">
        <f t="shared" si="1"/>
        <v>0</v>
      </c>
      <c r="I67" s="19"/>
      <c r="J67" s="19"/>
    </row>
    <row r="68" spans="1:10" ht="16" customHeight="1">
      <c r="A68" s="19"/>
      <c r="B68" s="13" t="s">
        <v>185</v>
      </c>
      <c r="C68" s="168" t="s">
        <v>64</v>
      </c>
      <c r="D68" s="13" t="s">
        <v>21</v>
      </c>
      <c r="E68" s="14">
        <v>12</v>
      </c>
      <c r="F68" s="79" t="s">
        <v>134</v>
      </c>
      <c r="G68" s="134"/>
      <c r="H68" s="54">
        <f t="shared" si="1"/>
        <v>0</v>
      </c>
      <c r="I68" s="19"/>
      <c r="J68" s="19"/>
    </row>
    <row r="69" spans="1:10" ht="16" customHeight="1">
      <c r="A69" s="19"/>
      <c r="B69" s="13" t="s">
        <v>186</v>
      </c>
      <c r="C69" s="168"/>
      <c r="D69" s="13" t="s">
        <v>189</v>
      </c>
      <c r="E69" s="14">
        <v>12</v>
      </c>
      <c r="F69" s="79" t="s">
        <v>134</v>
      </c>
      <c r="G69" s="134"/>
      <c r="H69" s="54">
        <f t="shared" si="1"/>
        <v>0</v>
      </c>
      <c r="I69" s="19"/>
      <c r="J69" s="19"/>
    </row>
    <row r="70" spans="1:10" ht="16" customHeight="1">
      <c r="A70" s="19"/>
      <c r="B70" s="13" t="s">
        <v>187</v>
      </c>
      <c r="C70" s="168"/>
      <c r="D70" s="13" t="s">
        <v>27</v>
      </c>
      <c r="E70" s="14">
        <v>12</v>
      </c>
      <c r="F70" s="79" t="s">
        <v>134</v>
      </c>
      <c r="G70" s="134"/>
      <c r="H70" s="54">
        <f t="shared" si="1"/>
        <v>0</v>
      </c>
      <c r="I70" s="19"/>
      <c r="J70" s="19"/>
    </row>
    <row r="71" spans="1:10" ht="16" customHeight="1">
      <c r="A71" s="19"/>
      <c r="B71" s="13" t="s">
        <v>188</v>
      </c>
      <c r="C71" s="168"/>
      <c r="D71" s="13" t="s">
        <v>25</v>
      </c>
      <c r="E71" s="14">
        <v>12</v>
      </c>
      <c r="F71" s="79" t="s">
        <v>134</v>
      </c>
      <c r="G71" s="134"/>
      <c r="H71" s="54">
        <f t="shared" si="1"/>
        <v>0</v>
      </c>
      <c r="I71" s="19"/>
      <c r="J71" s="19"/>
    </row>
    <row r="72" spans="1:10" ht="16" customHeight="1">
      <c r="A72" s="19"/>
      <c r="B72" s="11" t="s">
        <v>191</v>
      </c>
      <c r="C72" s="180" t="s">
        <v>66</v>
      </c>
      <c r="D72" s="11" t="s">
        <v>21</v>
      </c>
      <c r="E72" s="15">
        <v>12</v>
      </c>
      <c r="F72" s="53" t="s">
        <v>134</v>
      </c>
      <c r="G72" s="135"/>
      <c r="H72" s="54">
        <f t="shared" si="1"/>
        <v>0</v>
      </c>
      <c r="I72" s="19"/>
      <c r="J72" s="19"/>
    </row>
    <row r="73" spans="1:10" ht="16" customHeight="1">
      <c r="A73" s="19"/>
      <c r="B73" s="11" t="s">
        <v>192</v>
      </c>
      <c r="C73" s="180"/>
      <c r="D73" s="11" t="s">
        <v>94</v>
      </c>
      <c r="E73" s="15">
        <v>12</v>
      </c>
      <c r="F73" s="53" t="s">
        <v>134</v>
      </c>
      <c r="G73" s="135"/>
      <c r="H73" s="54">
        <f t="shared" si="1"/>
        <v>0</v>
      </c>
      <c r="I73" s="19"/>
      <c r="J73" s="19"/>
    </row>
    <row r="74" spans="1:10" ht="16" customHeight="1">
      <c r="A74" s="19"/>
      <c r="B74" s="11" t="s">
        <v>193</v>
      </c>
      <c r="C74" s="170"/>
      <c r="D74" s="11" t="s">
        <v>190</v>
      </c>
      <c r="E74" s="15">
        <v>12</v>
      </c>
      <c r="F74" s="53" t="s">
        <v>134</v>
      </c>
      <c r="G74" s="135"/>
      <c r="H74" s="54">
        <f t="shared" si="1"/>
        <v>0</v>
      </c>
      <c r="I74" s="19"/>
      <c r="J74" s="19"/>
    </row>
    <row r="75" spans="1:10" ht="16" customHeight="1">
      <c r="A75" s="19"/>
      <c r="B75" s="11" t="s">
        <v>194</v>
      </c>
      <c r="C75" s="170"/>
      <c r="D75" s="11" t="s">
        <v>37</v>
      </c>
      <c r="E75" s="15">
        <v>12</v>
      </c>
      <c r="F75" s="53" t="s">
        <v>134</v>
      </c>
      <c r="G75" s="135"/>
      <c r="H75" s="54">
        <f t="shared" si="1"/>
        <v>0</v>
      </c>
      <c r="I75" s="19"/>
      <c r="J75" s="19"/>
    </row>
    <row r="76" spans="1:10" ht="16" customHeight="1">
      <c r="A76" s="19"/>
      <c r="B76" s="13" t="s">
        <v>195</v>
      </c>
      <c r="C76" s="168" t="s">
        <v>65</v>
      </c>
      <c r="D76" s="13" t="s">
        <v>21</v>
      </c>
      <c r="E76" s="14">
        <v>12</v>
      </c>
      <c r="F76" s="79" t="s">
        <v>134</v>
      </c>
      <c r="G76" s="134"/>
      <c r="H76" s="54">
        <f t="shared" si="1"/>
        <v>0</v>
      </c>
      <c r="I76" s="19"/>
      <c r="J76" s="19"/>
    </row>
    <row r="77" spans="1:10" ht="16" customHeight="1">
      <c r="A77" s="19"/>
      <c r="B77" s="13" t="s">
        <v>196</v>
      </c>
      <c r="C77" s="168"/>
      <c r="D77" s="13" t="s">
        <v>34</v>
      </c>
      <c r="E77" s="14">
        <v>12</v>
      </c>
      <c r="F77" s="79" t="s">
        <v>17</v>
      </c>
      <c r="G77" s="134"/>
      <c r="H77" s="54">
        <f t="shared" si="1"/>
        <v>0</v>
      </c>
      <c r="I77" s="19"/>
      <c r="J77" s="19"/>
    </row>
    <row r="78" spans="1:10" ht="16" customHeight="1">
      <c r="A78" s="19"/>
      <c r="B78" s="13" t="s">
        <v>197</v>
      </c>
      <c r="C78" s="168"/>
      <c r="D78" s="13" t="s">
        <v>41</v>
      </c>
      <c r="E78" s="14">
        <v>12</v>
      </c>
      <c r="F78" s="79" t="s">
        <v>134</v>
      </c>
      <c r="G78" s="134"/>
      <c r="H78" s="54">
        <f t="shared" si="1"/>
        <v>0</v>
      </c>
      <c r="I78" s="19"/>
      <c r="J78" s="19"/>
    </row>
    <row r="79" spans="1:10" ht="16" customHeight="1">
      <c r="A79" s="19"/>
      <c r="B79" s="13" t="s">
        <v>198</v>
      </c>
      <c r="C79" s="168"/>
      <c r="D79" s="13" t="s">
        <v>30</v>
      </c>
      <c r="E79" s="14">
        <v>12</v>
      </c>
      <c r="F79" s="79" t="s">
        <v>134</v>
      </c>
      <c r="G79" s="134"/>
      <c r="H79" s="54">
        <f t="shared" si="1"/>
        <v>0</v>
      </c>
      <c r="I79" s="19"/>
      <c r="J79" s="19"/>
    </row>
    <row r="80" spans="1:10" ht="16" customHeight="1">
      <c r="A80" s="19"/>
      <c r="B80" s="11" t="s">
        <v>200</v>
      </c>
      <c r="C80" s="180" t="s">
        <v>68</v>
      </c>
      <c r="D80" s="11" t="s">
        <v>21</v>
      </c>
      <c r="E80" s="15">
        <v>12</v>
      </c>
      <c r="F80" s="53" t="s">
        <v>134</v>
      </c>
      <c r="G80" s="135"/>
      <c r="H80" s="54">
        <f t="shared" si="1"/>
        <v>0</v>
      </c>
      <c r="I80" s="19"/>
      <c r="J80" s="19"/>
    </row>
    <row r="81" spans="1:10" ht="16" customHeight="1">
      <c r="A81" s="19"/>
      <c r="B81" s="11" t="s">
        <v>201</v>
      </c>
      <c r="C81" s="170"/>
      <c r="D81" s="11" t="s">
        <v>199</v>
      </c>
      <c r="E81" s="15">
        <v>12</v>
      </c>
      <c r="F81" s="53" t="s">
        <v>134</v>
      </c>
      <c r="G81" s="135"/>
      <c r="H81" s="54">
        <f t="shared" si="1"/>
        <v>0</v>
      </c>
      <c r="I81" s="19"/>
      <c r="J81" s="19"/>
    </row>
    <row r="82" spans="1:10" ht="16" customHeight="1">
      <c r="A82" s="19"/>
      <c r="B82" s="11" t="s">
        <v>202</v>
      </c>
      <c r="C82" s="170"/>
      <c r="D82" s="17" t="s">
        <v>38</v>
      </c>
      <c r="E82" s="15">
        <v>12</v>
      </c>
      <c r="F82" s="53" t="s">
        <v>134</v>
      </c>
      <c r="G82" s="135"/>
      <c r="H82" s="54">
        <f t="shared" si="1"/>
        <v>0</v>
      </c>
      <c r="I82" s="19"/>
      <c r="J82" s="19"/>
    </row>
    <row r="83" spans="1:10" ht="16" customHeight="1">
      <c r="A83" s="19"/>
      <c r="B83" s="13" t="s">
        <v>203</v>
      </c>
      <c r="C83" s="168" t="s">
        <v>69</v>
      </c>
      <c r="D83" s="13" t="s">
        <v>21</v>
      </c>
      <c r="E83" s="14">
        <v>12</v>
      </c>
      <c r="F83" s="79" t="s">
        <v>134</v>
      </c>
      <c r="G83" s="134"/>
      <c r="H83" s="54">
        <f t="shared" si="1"/>
        <v>0</v>
      </c>
      <c r="I83" s="19"/>
      <c r="J83" s="19"/>
    </row>
    <row r="84" spans="1:10" ht="16" customHeight="1">
      <c r="A84" s="19"/>
      <c r="B84" s="13" t="s">
        <v>204</v>
      </c>
      <c r="C84" s="168"/>
      <c r="D84" s="13" t="s">
        <v>207</v>
      </c>
      <c r="E84" s="14">
        <v>12</v>
      </c>
      <c r="F84" s="79" t="s">
        <v>134</v>
      </c>
      <c r="G84" s="134"/>
      <c r="H84" s="54">
        <f t="shared" si="1"/>
        <v>0</v>
      </c>
      <c r="I84" s="19"/>
      <c r="J84" s="19"/>
    </row>
    <row r="85" spans="1:10" ht="16" customHeight="1">
      <c r="A85" s="19"/>
      <c r="B85" s="13" t="s">
        <v>205</v>
      </c>
      <c r="C85" s="168"/>
      <c r="D85" s="13" t="s">
        <v>24</v>
      </c>
      <c r="E85" s="14">
        <v>12</v>
      </c>
      <c r="F85" s="79" t="s">
        <v>134</v>
      </c>
      <c r="G85" s="134"/>
      <c r="H85" s="54">
        <f t="shared" si="1"/>
        <v>0</v>
      </c>
      <c r="I85" s="19"/>
      <c r="J85" s="19"/>
    </row>
    <row r="86" spans="1:10" ht="16" customHeight="1">
      <c r="A86" s="19"/>
      <c r="B86" s="13" t="s">
        <v>206</v>
      </c>
      <c r="C86" s="168"/>
      <c r="D86" s="13" t="s">
        <v>208</v>
      </c>
      <c r="E86" s="14">
        <v>12</v>
      </c>
      <c r="F86" s="79" t="s">
        <v>134</v>
      </c>
      <c r="G86" s="134"/>
      <c r="H86" s="54">
        <f t="shared" si="1"/>
        <v>0</v>
      </c>
      <c r="I86" s="19"/>
      <c r="J86" s="19"/>
    </row>
    <row r="87" spans="1:10" ht="16" customHeight="1">
      <c r="A87" s="19"/>
      <c r="B87" s="11" t="s">
        <v>210</v>
      </c>
      <c r="C87" s="180" t="s">
        <v>209</v>
      </c>
      <c r="D87" s="11" t="s">
        <v>21</v>
      </c>
      <c r="E87" s="15">
        <v>12</v>
      </c>
      <c r="F87" s="53" t="s">
        <v>134</v>
      </c>
      <c r="G87" s="135"/>
      <c r="H87" s="54">
        <f t="shared" si="1"/>
        <v>0</v>
      </c>
      <c r="I87" s="19"/>
      <c r="J87" s="19"/>
    </row>
    <row r="88" spans="1:10" ht="16" customHeight="1">
      <c r="A88" s="19"/>
      <c r="B88" s="11" t="s">
        <v>211</v>
      </c>
      <c r="C88" s="180"/>
      <c r="D88" s="11" t="s">
        <v>189</v>
      </c>
      <c r="E88" s="15">
        <v>12</v>
      </c>
      <c r="F88" s="53" t="s">
        <v>134</v>
      </c>
      <c r="G88" s="135"/>
      <c r="H88" s="54">
        <f t="shared" si="1"/>
        <v>0</v>
      </c>
      <c r="I88" s="19"/>
      <c r="J88" s="19"/>
    </row>
    <row r="89" spans="1:10" ht="16" customHeight="1">
      <c r="A89" s="19"/>
      <c r="B89" s="11" t="s">
        <v>212</v>
      </c>
      <c r="C89" s="170"/>
      <c r="D89" s="11" t="s">
        <v>39</v>
      </c>
      <c r="E89" s="15">
        <v>12</v>
      </c>
      <c r="F89" s="53" t="s">
        <v>134</v>
      </c>
      <c r="G89" s="135"/>
      <c r="H89" s="54">
        <f t="shared" si="1"/>
        <v>0</v>
      </c>
      <c r="I89" s="19"/>
      <c r="J89" s="19"/>
    </row>
    <row r="90" spans="1:10" ht="16" customHeight="1">
      <c r="A90" s="19"/>
      <c r="B90" s="11" t="s">
        <v>213</v>
      </c>
      <c r="C90" s="170"/>
      <c r="D90" s="11" t="s">
        <v>214</v>
      </c>
      <c r="E90" s="15">
        <v>12</v>
      </c>
      <c r="F90" s="53" t="s">
        <v>134</v>
      </c>
      <c r="G90" s="135"/>
      <c r="H90" s="54">
        <f t="shared" si="1"/>
        <v>0</v>
      </c>
      <c r="I90" s="19"/>
      <c r="J90" s="19"/>
    </row>
    <row r="91" spans="1:10" ht="16" customHeight="1">
      <c r="A91" s="19"/>
      <c r="B91" s="13" t="s">
        <v>216</v>
      </c>
      <c r="C91" s="168" t="s">
        <v>215</v>
      </c>
      <c r="D91" s="13" t="s">
        <v>41</v>
      </c>
      <c r="E91" s="14">
        <v>13</v>
      </c>
      <c r="F91" s="79" t="s">
        <v>134</v>
      </c>
      <c r="G91" s="134"/>
      <c r="H91" s="54">
        <f t="shared" si="1"/>
        <v>0</v>
      </c>
      <c r="I91" s="19"/>
      <c r="J91" s="19"/>
    </row>
    <row r="92" spans="1:10" ht="16" customHeight="1">
      <c r="A92" s="19"/>
      <c r="B92" s="13" t="s">
        <v>217</v>
      </c>
      <c r="C92" s="168"/>
      <c r="D92" s="13" t="s">
        <v>27</v>
      </c>
      <c r="E92" s="14">
        <v>13</v>
      </c>
      <c r="F92" s="79" t="s">
        <v>134</v>
      </c>
      <c r="G92" s="134"/>
      <c r="H92" s="54">
        <f t="shared" si="1"/>
        <v>0</v>
      </c>
      <c r="I92" s="19"/>
      <c r="J92" s="19"/>
    </row>
    <row r="93" spans="1:10" ht="16" customHeight="1">
      <c r="A93" s="19"/>
      <c r="B93" s="13" t="s">
        <v>218</v>
      </c>
      <c r="C93" s="168"/>
      <c r="D93" s="13" t="s">
        <v>169</v>
      </c>
      <c r="E93" s="14">
        <v>13</v>
      </c>
      <c r="F93" s="79" t="s">
        <v>134</v>
      </c>
      <c r="G93" s="134"/>
      <c r="H93" s="54">
        <f t="shared" si="1"/>
        <v>0</v>
      </c>
      <c r="I93" s="19"/>
      <c r="J93" s="19"/>
    </row>
    <row r="94" spans="1:10" ht="16" customHeight="1">
      <c r="A94" s="19"/>
      <c r="B94" s="11" t="s">
        <v>219</v>
      </c>
      <c r="C94" s="180" t="s">
        <v>81</v>
      </c>
      <c r="D94" s="11" t="s">
        <v>27</v>
      </c>
      <c r="E94" s="15">
        <v>16</v>
      </c>
      <c r="F94" s="53" t="s">
        <v>134</v>
      </c>
      <c r="G94" s="135"/>
      <c r="H94" s="54">
        <f t="shared" si="1"/>
        <v>0</v>
      </c>
      <c r="I94" s="19"/>
      <c r="J94" s="19"/>
    </row>
    <row r="95" spans="1:10" ht="16" customHeight="1">
      <c r="A95" s="19"/>
      <c r="B95" s="11" t="s">
        <v>220</v>
      </c>
      <c r="C95" s="180"/>
      <c r="D95" s="11" t="s">
        <v>221</v>
      </c>
      <c r="E95" s="15">
        <v>16</v>
      </c>
      <c r="F95" s="53" t="s">
        <v>134</v>
      </c>
      <c r="G95" s="135"/>
      <c r="H95" s="54">
        <f t="shared" si="1"/>
        <v>0</v>
      </c>
      <c r="I95" s="19"/>
      <c r="J95" s="19"/>
    </row>
    <row r="96" spans="1:10" ht="16" customHeight="1">
      <c r="A96" s="19"/>
      <c r="B96" s="13" t="s">
        <v>222</v>
      </c>
      <c r="C96" s="168" t="s">
        <v>83</v>
      </c>
      <c r="D96" s="13" t="s">
        <v>41</v>
      </c>
      <c r="E96" s="92">
        <v>16</v>
      </c>
      <c r="F96" s="79" t="s">
        <v>134</v>
      </c>
      <c r="G96" s="134"/>
      <c r="H96" s="54">
        <f t="shared" si="1"/>
        <v>0</v>
      </c>
      <c r="I96" s="19"/>
      <c r="J96" s="19"/>
    </row>
    <row r="97" spans="1:10" ht="16" customHeight="1">
      <c r="A97" s="19"/>
      <c r="B97" s="13" t="s">
        <v>223</v>
      </c>
      <c r="C97" s="168"/>
      <c r="D97" s="13" t="s">
        <v>38</v>
      </c>
      <c r="E97" s="92">
        <v>16</v>
      </c>
      <c r="F97" s="79" t="s">
        <v>134</v>
      </c>
      <c r="G97" s="134"/>
      <c r="H97" s="54">
        <f t="shared" si="1"/>
        <v>0</v>
      </c>
      <c r="I97" s="19"/>
      <c r="J97" s="19"/>
    </row>
    <row r="98" spans="1:10" ht="16" customHeight="1">
      <c r="A98" s="19"/>
      <c r="B98" s="193" t="s">
        <v>97</v>
      </c>
      <c r="C98" s="194"/>
      <c r="D98" s="194"/>
      <c r="E98" s="194"/>
      <c r="F98" s="194"/>
      <c r="G98" s="194"/>
      <c r="H98" s="195"/>
      <c r="I98" s="19"/>
      <c r="J98" s="19"/>
    </row>
    <row r="99" spans="1:10" ht="16" customHeight="1">
      <c r="A99" s="19"/>
      <c r="B99" s="11" t="s">
        <v>224</v>
      </c>
      <c r="C99" s="180" t="s">
        <v>26</v>
      </c>
      <c r="D99" s="11" t="s">
        <v>21</v>
      </c>
      <c r="E99" s="15">
        <v>12</v>
      </c>
      <c r="F99" s="31" t="s">
        <v>134</v>
      </c>
      <c r="G99" s="135"/>
      <c r="H99" s="18">
        <f>SUM(E99*G99)</f>
        <v>0</v>
      </c>
      <c r="I99" s="19"/>
      <c r="J99" s="19"/>
    </row>
    <row r="100" spans="1:10" ht="16" customHeight="1">
      <c r="A100" s="19"/>
      <c r="B100" s="11" t="s">
        <v>225</v>
      </c>
      <c r="C100" s="180"/>
      <c r="D100" s="11" t="s">
        <v>237</v>
      </c>
      <c r="E100" s="15">
        <v>12</v>
      </c>
      <c r="F100" s="31" t="s">
        <v>134</v>
      </c>
      <c r="G100" s="135"/>
      <c r="H100" s="18">
        <f t="shared" ref="H100:H163" si="2">SUM(E100*G100)</f>
        <v>0</v>
      </c>
      <c r="I100" s="19"/>
      <c r="J100" s="19"/>
    </row>
    <row r="101" spans="1:10" ht="16" customHeight="1">
      <c r="A101" s="19"/>
      <c r="B101" s="11" t="s">
        <v>226</v>
      </c>
      <c r="C101" s="180"/>
      <c r="D101" s="11" t="s">
        <v>238</v>
      </c>
      <c r="E101" s="15">
        <v>12</v>
      </c>
      <c r="F101" s="31" t="s">
        <v>134</v>
      </c>
      <c r="G101" s="135"/>
      <c r="H101" s="18">
        <f t="shared" si="2"/>
        <v>0</v>
      </c>
      <c r="I101" s="19"/>
      <c r="J101" s="19"/>
    </row>
    <row r="102" spans="1:10" ht="16" customHeight="1">
      <c r="A102" s="19"/>
      <c r="B102" s="11" t="s">
        <v>227</v>
      </c>
      <c r="C102" s="180"/>
      <c r="D102" s="11" t="s">
        <v>239</v>
      </c>
      <c r="E102" s="15">
        <v>12</v>
      </c>
      <c r="F102" s="31" t="s">
        <v>134</v>
      </c>
      <c r="G102" s="135"/>
      <c r="H102" s="18">
        <f t="shared" si="2"/>
        <v>0</v>
      </c>
      <c r="I102" s="19"/>
      <c r="J102" s="19"/>
    </row>
    <row r="103" spans="1:10" ht="16" customHeight="1">
      <c r="A103" s="19"/>
      <c r="B103" s="11" t="s">
        <v>228</v>
      </c>
      <c r="C103" s="180"/>
      <c r="D103" s="11" t="s">
        <v>240</v>
      </c>
      <c r="E103" s="15">
        <v>12</v>
      </c>
      <c r="F103" s="31" t="s">
        <v>134</v>
      </c>
      <c r="G103" s="135"/>
      <c r="H103" s="18">
        <f t="shared" si="2"/>
        <v>0</v>
      </c>
      <c r="I103" s="19"/>
      <c r="J103" s="19"/>
    </row>
    <row r="104" spans="1:10" ht="16" customHeight="1">
      <c r="A104" s="19"/>
      <c r="B104" s="11" t="s">
        <v>229</v>
      </c>
      <c r="C104" s="180"/>
      <c r="D104" s="11" t="s">
        <v>241</v>
      </c>
      <c r="E104" s="15">
        <v>12</v>
      </c>
      <c r="F104" s="31" t="s">
        <v>134</v>
      </c>
      <c r="G104" s="135"/>
      <c r="H104" s="18">
        <f t="shared" si="2"/>
        <v>0</v>
      </c>
      <c r="I104" s="19"/>
      <c r="J104" s="19"/>
    </row>
    <row r="105" spans="1:10" ht="16" customHeight="1">
      <c r="A105" s="19"/>
      <c r="B105" s="11" t="s">
        <v>230</v>
      </c>
      <c r="C105" s="180"/>
      <c r="D105" s="11" t="s">
        <v>41</v>
      </c>
      <c r="E105" s="15">
        <v>12</v>
      </c>
      <c r="F105" s="31" t="s">
        <v>134</v>
      </c>
      <c r="G105" s="135"/>
      <c r="H105" s="18">
        <f t="shared" si="2"/>
        <v>0</v>
      </c>
      <c r="I105" s="19"/>
      <c r="J105" s="19"/>
    </row>
    <row r="106" spans="1:10" ht="16" customHeight="1">
      <c r="A106" s="19"/>
      <c r="B106" s="11" t="s">
        <v>231</v>
      </c>
      <c r="C106" s="180"/>
      <c r="D106" s="11" t="s">
        <v>242</v>
      </c>
      <c r="E106" s="15">
        <v>12</v>
      </c>
      <c r="F106" s="31" t="s">
        <v>134</v>
      </c>
      <c r="G106" s="135"/>
      <c r="H106" s="18">
        <f t="shared" si="2"/>
        <v>0</v>
      </c>
      <c r="I106" s="19"/>
      <c r="J106" s="19"/>
    </row>
    <row r="107" spans="1:10" ht="16" customHeight="1">
      <c r="A107" s="19"/>
      <c r="B107" s="11" t="s">
        <v>232</v>
      </c>
      <c r="C107" s="180"/>
      <c r="D107" s="11" t="s">
        <v>243</v>
      </c>
      <c r="E107" s="15">
        <v>12</v>
      </c>
      <c r="F107" s="31" t="s">
        <v>134</v>
      </c>
      <c r="G107" s="135"/>
      <c r="H107" s="18">
        <f t="shared" si="2"/>
        <v>0</v>
      </c>
      <c r="I107" s="19"/>
      <c r="J107" s="19"/>
    </row>
    <row r="108" spans="1:10" ht="16" customHeight="1">
      <c r="A108" s="19"/>
      <c r="B108" s="11" t="s">
        <v>233</v>
      </c>
      <c r="C108" s="180"/>
      <c r="D108" s="11" t="s">
        <v>244</v>
      </c>
      <c r="E108" s="15">
        <v>12</v>
      </c>
      <c r="F108" s="31" t="s">
        <v>134</v>
      </c>
      <c r="G108" s="135"/>
      <c r="H108" s="18">
        <f t="shared" si="2"/>
        <v>0</v>
      </c>
      <c r="I108" s="19"/>
      <c r="J108" s="19"/>
    </row>
    <row r="109" spans="1:10" ht="16" customHeight="1">
      <c r="A109" s="19"/>
      <c r="B109" s="11" t="s">
        <v>234</v>
      </c>
      <c r="C109" s="180"/>
      <c r="D109" s="11" t="s">
        <v>189</v>
      </c>
      <c r="E109" s="15">
        <v>12</v>
      </c>
      <c r="F109" s="31" t="s">
        <v>134</v>
      </c>
      <c r="G109" s="135"/>
      <c r="H109" s="18">
        <f t="shared" si="2"/>
        <v>0</v>
      </c>
      <c r="I109" s="19"/>
      <c r="J109" s="19"/>
    </row>
    <row r="110" spans="1:10" ht="16" customHeight="1">
      <c r="A110" s="19"/>
      <c r="B110" s="11" t="s">
        <v>235</v>
      </c>
      <c r="C110" s="170"/>
      <c r="D110" s="11" t="s">
        <v>22</v>
      </c>
      <c r="E110" s="15">
        <v>12</v>
      </c>
      <c r="F110" s="31" t="s">
        <v>134</v>
      </c>
      <c r="G110" s="135"/>
      <c r="H110" s="18">
        <f t="shared" si="2"/>
        <v>0</v>
      </c>
      <c r="I110" s="19"/>
      <c r="J110" s="19"/>
    </row>
    <row r="111" spans="1:10" ht="16" customHeight="1">
      <c r="A111" s="19"/>
      <c r="B111" s="11" t="s">
        <v>236</v>
      </c>
      <c r="C111" s="170"/>
      <c r="D111" s="11" t="s">
        <v>34</v>
      </c>
      <c r="E111" s="15">
        <v>12</v>
      </c>
      <c r="F111" s="31" t="s">
        <v>134</v>
      </c>
      <c r="G111" s="135"/>
      <c r="H111" s="18">
        <f t="shared" si="2"/>
        <v>0</v>
      </c>
      <c r="I111" s="19"/>
      <c r="J111" s="19"/>
    </row>
    <row r="112" spans="1:10" ht="16" customHeight="1">
      <c r="A112" s="19"/>
      <c r="B112" s="13" t="s">
        <v>245</v>
      </c>
      <c r="C112" s="168" t="s">
        <v>71</v>
      </c>
      <c r="D112" s="13" t="s">
        <v>21</v>
      </c>
      <c r="E112" s="14">
        <v>12</v>
      </c>
      <c r="F112" s="30" t="s">
        <v>134</v>
      </c>
      <c r="G112" s="134"/>
      <c r="H112" s="18">
        <f t="shared" si="2"/>
        <v>0</v>
      </c>
      <c r="I112" s="19"/>
      <c r="J112" s="19"/>
    </row>
    <row r="113" spans="1:10" ht="16" customHeight="1">
      <c r="A113" s="19"/>
      <c r="B113" s="13" t="s">
        <v>246</v>
      </c>
      <c r="C113" s="168"/>
      <c r="D113" s="13" t="s">
        <v>248</v>
      </c>
      <c r="E113" s="14">
        <v>12</v>
      </c>
      <c r="F113" s="30" t="s">
        <v>134</v>
      </c>
      <c r="G113" s="134"/>
      <c r="H113" s="18">
        <f t="shared" si="2"/>
        <v>0</v>
      </c>
      <c r="I113" s="19"/>
      <c r="J113" s="19"/>
    </row>
    <row r="114" spans="1:10" ht="16" customHeight="1">
      <c r="A114" s="19"/>
      <c r="B114" s="13" t="s">
        <v>247</v>
      </c>
      <c r="C114" s="168"/>
      <c r="D114" s="13" t="s">
        <v>39</v>
      </c>
      <c r="E114" s="14">
        <v>12</v>
      </c>
      <c r="F114" s="30" t="s">
        <v>134</v>
      </c>
      <c r="G114" s="134"/>
      <c r="H114" s="18">
        <f t="shared" si="2"/>
        <v>0</v>
      </c>
      <c r="I114" s="19"/>
      <c r="J114" s="19"/>
    </row>
    <row r="115" spans="1:10" ht="16" customHeight="1">
      <c r="A115" s="19"/>
      <c r="B115" s="93" t="s">
        <v>249</v>
      </c>
      <c r="C115" s="180" t="s">
        <v>70</v>
      </c>
      <c r="D115" s="11" t="s">
        <v>21</v>
      </c>
      <c r="E115" s="27">
        <v>12</v>
      </c>
      <c r="F115" s="31" t="s">
        <v>134</v>
      </c>
      <c r="G115" s="135"/>
      <c r="H115" s="18">
        <f t="shared" si="2"/>
        <v>0</v>
      </c>
      <c r="I115" s="19"/>
      <c r="J115" s="19"/>
    </row>
    <row r="116" spans="1:10" ht="16" customHeight="1">
      <c r="A116" s="19"/>
      <c r="B116" s="93" t="s">
        <v>250</v>
      </c>
      <c r="C116" s="180"/>
      <c r="D116" s="11" t="s">
        <v>23</v>
      </c>
      <c r="E116" s="27">
        <v>12</v>
      </c>
      <c r="F116" s="31" t="s">
        <v>134</v>
      </c>
      <c r="G116" s="135"/>
      <c r="H116" s="18">
        <f t="shared" si="2"/>
        <v>0</v>
      </c>
      <c r="I116" s="19"/>
      <c r="J116" s="19"/>
    </row>
    <row r="117" spans="1:10" ht="16" customHeight="1">
      <c r="A117" s="19"/>
      <c r="B117" s="93" t="s">
        <v>251</v>
      </c>
      <c r="C117" s="180"/>
      <c r="D117" s="11" t="s">
        <v>243</v>
      </c>
      <c r="E117" s="27">
        <v>12</v>
      </c>
      <c r="F117" s="31" t="s">
        <v>134</v>
      </c>
      <c r="G117" s="135"/>
      <c r="H117" s="18">
        <f t="shared" si="2"/>
        <v>0</v>
      </c>
      <c r="I117" s="19"/>
      <c r="J117" s="19"/>
    </row>
    <row r="118" spans="1:10" ht="16" customHeight="1">
      <c r="A118" s="19"/>
      <c r="B118" s="93" t="s">
        <v>252</v>
      </c>
      <c r="C118" s="180"/>
      <c r="D118" s="11" t="s">
        <v>27</v>
      </c>
      <c r="E118" s="27">
        <v>12</v>
      </c>
      <c r="F118" s="31" t="s">
        <v>134</v>
      </c>
      <c r="G118" s="135"/>
      <c r="H118" s="18">
        <f t="shared" si="2"/>
        <v>0</v>
      </c>
      <c r="I118" s="19"/>
      <c r="J118" s="19"/>
    </row>
    <row r="119" spans="1:10" ht="16" customHeight="1">
      <c r="A119" s="19"/>
      <c r="B119" s="93" t="s">
        <v>253</v>
      </c>
      <c r="C119" s="170"/>
      <c r="D119" s="11" t="s">
        <v>35</v>
      </c>
      <c r="E119" s="27">
        <v>12</v>
      </c>
      <c r="F119" s="31" t="s">
        <v>134</v>
      </c>
      <c r="G119" s="135"/>
      <c r="H119" s="18">
        <f t="shared" si="2"/>
        <v>0</v>
      </c>
      <c r="I119" s="19"/>
      <c r="J119" s="19"/>
    </row>
    <row r="120" spans="1:10" ht="16" customHeight="1">
      <c r="A120" s="19"/>
      <c r="B120" s="93" t="s">
        <v>254</v>
      </c>
      <c r="C120" s="170"/>
      <c r="D120" s="11" t="s">
        <v>73</v>
      </c>
      <c r="E120" s="27">
        <v>12</v>
      </c>
      <c r="F120" s="31" t="s">
        <v>134</v>
      </c>
      <c r="G120" s="135"/>
      <c r="H120" s="18">
        <f t="shared" si="2"/>
        <v>0</v>
      </c>
      <c r="I120" s="19"/>
      <c r="J120" s="19"/>
    </row>
    <row r="121" spans="1:10" ht="16" customHeight="1">
      <c r="A121" s="19"/>
      <c r="B121" s="13" t="s">
        <v>255</v>
      </c>
      <c r="C121" s="168" t="s">
        <v>72</v>
      </c>
      <c r="D121" s="13" t="s">
        <v>21</v>
      </c>
      <c r="E121" s="14">
        <v>12</v>
      </c>
      <c r="F121" s="30" t="s">
        <v>134</v>
      </c>
      <c r="G121" s="134"/>
      <c r="H121" s="18">
        <f t="shared" si="2"/>
        <v>0</v>
      </c>
      <c r="I121" s="19"/>
      <c r="J121" s="19"/>
    </row>
    <row r="122" spans="1:10" ht="16" customHeight="1">
      <c r="A122" s="19"/>
      <c r="B122" s="13" t="s">
        <v>256</v>
      </c>
      <c r="C122" s="168"/>
      <c r="D122" s="13" t="s">
        <v>261</v>
      </c>
      <c r="E122" s="14">
        <v>12</v>
      </c>
      <c r="F122" s="30" t="s">
        <v>134</v>
      </c>
      <c r="G122" s="134"/>
      <c r="H122" s="18">
        <f t="shared" si="2"/>
        <v>0</v>
      </c>
      <c r="I122" s="19"/>
      <c r="J122" s="19"/>
    </row>
    <row r="123" spans="1:10" ht="16" customHeight="1">
      <c r="A123" s="19"/>
      <c r="B123" s="13" t="s">
        <v>257</v>
      </c>
      <c r="C123" s="168"/>
      <c r="D123" s="13" t="s">
        <v>181</v>
      </c>
      <c r="E123" s="14">
        <v>12</v>
      </c>
      <c r="F123" s="30" t="s">
        <v>134</v>
      </c>
      <c r="G123" s="134"/>
      <c r="H123" s="18">
        <f t="shared" si="2"/>
        <v>0</v>
      </c>
      <c r="I123" s="19"/>
      <c r="J123" s="19"/>
    </row>
    <row r="124" spans="1:10" ht="16" customHeight="1">
      <c r="A124" s="19"/>
      <c r="B124" s="13" t="s">
        <v>258</v>
      </c>
      <c r="C124" s="168"/>
      <c r="D124" s="13" t="s">
        <v>37</v>
      </c>
      <c r="E124" s="14">
        <v>12</v>
      </c>
      <c r="F124" s="30" t="s">
        <v>134</v>
      </c>
      <c r="G124" s="134"/>
      <c r="H124" s="18">
        <f t="shared" si="2"/>
        <v>0</v>
      </c>
      <c r="I124" s="19"/>
      <c r="J124" s="19"/>
    </row>
    <row r="125" spans="1:10" ht="16" customHeight="1">
      <c r="A125" s="19"/>
      <c r="B125" s="13" t="s">
        <v>259</v>
      </c>
      <c r="C125" s="168"/>
      <c r="D125" s="13" t="s">
        <v>24</v>
      </c>
      <c r="E125" s="14">
        <v>12</v>
      </c>
      <c r="F125" s="30" t="s">
        <v>134</v>
      </c>
      <c r="G125" s="134"/>
      <c r="H125" s="18">
        <f t="shared" si="2"/>
        <v>0</v>
      </c>
      <c r="I125" s="19"/>
      <c r="J125" s="19"/>
    </row>
    <row r="126" spans="1:10" ht="16" customHeight="1">
      <c r="A126" s="19"/>
      <c r="B126" s="13" t="s">
        <v>260</v>
      </c>
      <c r="C126" s="168"/>
      <c r="D126" s="13" t="s">
        <v>170</v>
      </c>
      <c r="E126" s="14">
        <v>12</v>
      </c>
      <c r="F126" s="30" t="s">
        <v>134</v>
      </c>
      <c r="G126" s="134"/>
      <c r="H126" s="18">
        <f t="shared" si="2"/>
        <v>0</v>
      </c>
      <c r="I126" s="19"/>
      <c r="J126" s="19"/>
    </row>
    <row r="127" spans="1:10" ht="16" customHeight="1">
      <c r="A127" s="19"/>
      <c r="B127" s="11" t="s">
        <v>262</v>
      </c>
      <c r="C127" s="180" t="s">
        <v>75</v>
      </c>
      <c r="D127" s="11" t="s">
        <v>241</v>
      </c>
      <c r="E127" s="27">
        <v>12</v>
      </c>
      <c r="F127" s="31" t="s">
        <v>134</v>
      </c>
      <c r="G127" s="135"/>
      <c r="H127" s="18">
        <f t="shared" si="2"/>
        <v>0</v>
      </c>
      <c r="I127" s="19"/>
      <c r="J127" s="19"/>
    </row>
    <row r="128" spans="1:10" ht="16" customHeight="1">
      <c r="A128" s="19"/>
      <c r="B128" s="11" t="s">
        <v>263</v>
      </c>
      <c r="C128" s="180"/>
      <c r="D128" s="17" t="s">
        <v>643</v>
      </c>
      <c r="E128" s="27">
        <v>12</v>
      </c>
      <c r="F128" s="31" t="s">
        <v>134</v>
      </c>
      <c r="G128" s="135"/>
      <c r="H128" s="18">
        <f t="shared" si="2"/>
        <v>0</v>
      </c>
      <c r="I128" s="19"/>
      <c r="J128" s="19"/>
    </row>
    <row r="129" spans="1:10" ht="16" customHeight="1">
      <c r="A129" s="19"/>
      <c r="B129" s="11" t="s">
        <v>264</v>
      </c>
      <c r="C129" s="180"/>
      <c r="D129" s="11" t="s">
        <v>34</v>
      </c>
      <c r="E129" s="27">
        <v>12</v>
      </c>
      <c r="F129" s="31" t="s">
        <v>134</v>
      </c>
      <c r="G129" s="135"/>
      <c r="H129" s="18">
        <f t="shared" si="2"/>
        <v>0</v>
      </c>
      <c r="I129" s="19"/>
      <c r="J129" s="19"/>
    </row>
    <row r="130" spans="1:10" ht="16" customHeight="1">
      <c r="A130" s="19"/>
      <c r="B130" s="11" t="s">
        <v>265</v>
      </c>
      <c r="C130" s="180"/>
      <c r="D130" s="11" t="s">
        <v>21</v>
      </c>
      <c r="E130" s="27">
        <v>12</v>
      </c>
      <c r="F130" s="31" t="s">
        <v>134</v>
      </c>
      <c r="G130" s="135"/>
      <c r="H130" s="18">
        <f t="shared" si="2"/>
        <v>0</v>
      </c>
      <c r="I130" s="19"/>
      <c r="J130" s="19"/>
    </row>
    <row r="131" spans="1:10" ht="16" customHeight="1">
      <c r="A131" s="19"/>
      <c r="B131" s="11" t="s">
        <v>266</v>
      </c>
      <c r="C131" s="170"/>
      <c r="D131" s="11" t="s">
        <v>268</v>
      </c>
      <c r="E131" s="27">
        <v>12</v>
      </c>
      <c r="F131" s="31" t="s">
        <v>134</v>
      </c>
      <c r="G131" s="135"/>
      <c r="H131" s="18">
        <f t="shared" si="2"/>
        <v>0</v>
      </c>
      <c r="I131" s="19"/>
      <c r="J131" s="19"/>
    </row>
    <row r="132" spans="1:10" ht="16" customHeight="1">
      <c r="A132" s="19"/>
      <c r="B132" s="11" t="s">
        <v>267</v>
      </c>
      <c r="C132" s="170"/>
      <c r="D132" s="11" t="s">
        <v>243</v>
      </c>
      <c r="E132" s="15">
        <v>12</v>
      </c>
      <c r="F132" s="31" t="s">
        <v>134</v>
      </c>
      <c r="G132" s="135"/>
      <c r="H132" s="18">
        <f t="shared" si="2"/>
        <v>0</v>
      </c>
      <c r="I132" s="19"/>
      <c r="J132" s="19"/>
    </row>
    <row r="133" spans="1:10" ht="16" customHeight="1">
      <c r="A133" s="19"/>
      <c r="B133" s="13" t="s">
        <v>275</v>
      </c>
      <c r="C133" s="168" t="s">
        <v>74</v>
      </c>
      <c r="D133" s="13" t="s">
        <v>21</v>
      </c>
      <c r="E133" s="14">
        <v>12</v>
      </c>
      <c r="F133" s="30" t="s">
        <v>134</v>
      </c>
      <c r="G133" s="134"/>
      <c r="H133" s="18">
        <f t="shared" si="2"/>
        <v>0</v>
      </c>
      <c r="I133" s="19"/>
      <c r="J133" s="19"/>
    </row>
    <row r="134" spans="1:10" ht="16" customHeight="1">
      <c r="A134" s="19"/>
      <c r="B134" s="13" t="s">
        <v>276</v>
      </c>
      <c r="C134" s="168"/>
      <c r="D134" s="13" t="s">
        <v>67</v>
      </c>
      <c r="E134" s="14">
        <v>12</v>
      </c>
      <c r="F134" s="30" t="s">
        <v>134</v>
      </c>
      <c r="G134" s="134"/>
      <c r="H134" s="18">
        <f t="shared" si="2"/>
        <v>0</v>
      </c>
      <c r="I134" s="19"/>
      <c r="J134" s="19"/>
    </row>
    <row r="135" spans="1:10" ht="16" customHeight="1">
      <c r="A135" s="19"/>
      <c r="B135" s="13" t="s">
        <v>277</v>
      </c>
      <c r="C135" s="168"/>
      <c r="D135" s="13" t="s">
        <v>37</v>
      </c>
      <c r="E135" s="14">
        <v>12</v>
      </c>
      <c r="F135" s="30" t="s">
        <v>134</v>
      </c>
      <c r="G135" s="134"/>
      <c r="H135" s="18">
        <f t="shared" si="2"/>
        <v>0</v>
      </c>
      <c r="I135" s="19"/>
      <c r="J135" s="19"/>
    </row>
    <row r="136" spans="1:10" ht="16" customHeight="1">
      <c r="A136" s="19"/>
      <c r="B136" s="13" t="s">
        <v>278</v>
      </c>
      <c r="C136" s="168"/>
      <c r="D136" s="13" t="s">
        <v>73</v>
      </c>
      <c r="E136" s="14">
        <v>12</v>
      </c>
      <c r="F136" s="30" t="s">
        <v>134</v>
      </c>
      <c r="G136" s="134"/>
      <c r="H136" s="18">
        <f t="shared" si="2"/>
        <v>0</v>
      </c>
      <c r="I136" s="19"/>
      <c r="J136" s="19"/>
    </row>
    <row r="137" spans="1:10" ht="16" customHeight="1">
      <c r="A137" s="19"/>
      <c r="B137" s="13" t="s">
        <v>279</v>
      </c>
      <c r="C137" s="168"/>
      <c r="D137" s="13" t="s">
        <v>39</v>
      </c>
      <c r="E137" s="14">
        <v>12</v>
      </c>
      <c r="F137" s="30" t="s">
        <v>134</v>
      </c>
      <c r="G137" s="134"/>
      <c r="H137" s="18">
        <f t="shared" si="2"/>
        <v>0</v>
      </c>
      <c r="I137" s="19"/>
      <c r="J137" s="19"/>
    </row>
    <row r="138" spans="1:10" ht="16" customHeight="1">
      <c r="A138" s="19"/>
      <c r="B138" s="13" t="s">
        <v>280</v>
      </c>
      <c r="C138" s="168"/>
      <c r="D138" s="13" t="s">
        <v>169</v>
      </c>
      <c r="E138" s="14">
        <v>12</v>
      </c>
      <c r="F138" s="30" t="s">
        <v>134</v>
      </c>
      <c r="G138" s="134"/>
      <c r="H138" s="18">
        <f t="shared" si="2"/>
        <v>0</v>
      </c>
      <c r="I138" s="19"/>
      <c r="J138" s="19"/>
    </row>
    <row r="139" spans="1:10" ht="16" customHeight="1">
      <c r="A139" s="19"/>
      <c r="B139" s="11" t="s">
        <v>281</v>
      </c>
      <c r="C139" s="180" t="s">
        <v>77</v>
      </c>
      <c r="D139" s="11" t="s">
        <v>21</v>
      </c>
      <c r="E139" s="27">
        <v>13</v>
      </c>
      <c r="F139" s="31" t="s">
        <v>134</v>
      </c>
      <c r="G139" s="135"/>
      <c r="H139" s="18">
        <f t="shared" si="2"/>
        <v>0</v>
      </c>
      <c r="I139" s="19"/>
      <c r="J139" s="19"/>
    </row>
    <row r="140" spans="1:10" ht="16" customHeight="1">
      <c r="A140" s="19"/>
      <c r="B140" s="11" t="s">
        <v>282</v>
      </c>
      <c r="C140" s="180"/>
      <c r="D140" s="11" t="s">
        <v>38</v>
      </c>
      <c r="E140" s="27">
        <v>13</v>
      </c>
      <c r="F140" s="31" t="s">
        <v>134</v>
      </c>
      <c r="G140" s="135"/>
      <c r="H140" s="18">
        <f t="shared" si="2"/>
        <v>0</v>
      </c>
      <c r="I140" s="19"/>
      <c r="J140" s="19"/>
    </row>
    <row r="141" spans="1:10" ht="16" customHeight="1">
      <c r="A141" s="19"/>
      <c r="B141" s="11" t="s">
        <v>283</v>
      </c>
      <c r="C141" s="180"/>
      <c r="D141" s="11" t="s">
        <v>189</v>
      </c>
      <c r="E141" s="27">
        <v>13</v>
      </c>
      <c r="F141" s="31" t="s">
        <v>134</v>
      </c>
      <c r="G141" s="135"/>
      <c r="H141" s="18">
        <f t="shared" si="2"/>
        <v>0</v>
      </c>
      <c r="I141" s="19"/>
      <c r="J141" s="19"/>
    </row>
    <row r="142" spans="1:10" ht="16" customHeight="1">
      <c r="A142" s="19"/>
      <c r="B142" s="11" t="s">
        <v>284</v>
      </c>
      <c r="C142" s="180"/>
      <c r="D142" s="11" t="s">
        <v>37</v>
      </c>
      <c r="E142" s="27">
        <v>13</v>
      </c>
      <c r="F142" s="31" t="s">
        <v>134</v>
      </c>
      <c r="G142" s="135"/>
      <c r="H142" s="18">
        <f t="shared" si="2"/>
        <v>0</v>
      </c>
      <c r="I142" s="19"/>
      <c r="J142" s="19"/>
    </row>
    <row r="143" spans="1:10" ht="16" customHeight="1">
      <c r="A143" s="19"/>
      <c r="B143" s="11" t="s">
        <v>285</v>
      </c>
      <c r="C143" s="170"/>
      <c r="D143" s="11" t="s">
        <v>221</v>
      </c>
      <c r="E143" s="27">
        <v>13</v>
      </c>
      <c r="F143" s="31" t="s">
        <v>134</v>
      </c>
      <c r="G143" s="135"/>
      <c r="H143" s="18">
        <f t="shared" si="2"/>
        <v>0</v>
      </c>
      <c r="I143" s="19"/>
      <c r="J143" s="19"/>
    </row>
    <row r="144" spans="1:10" ht="16" customHeight="1">
      <c r="A144" s="19"/>
      <c r="B144" s="11" t="s">
        <v>286</v>
      </c>
      <c r="C144" s="170"/>
      <c r="D144" s="11" t="s">
        <v>27</v>
      </c>
      <c r="E144" s="27">
        <v>13</v>
      </c>
      <c r="F144" s="31" t="s">
        <v>134</v>
      </c>
      <c r="G144" s="135"/>
      <c r="H144" s="18">
        <f t="shared" si="2"/>
        <v>0</v>
      </c>
      <c r="I144" s="19"/>
      <c r="J144" s="19"/>
    </row>
    <row r="145" spans="1:10" ht="16" customHeight="1">
      <c r="A145" s="19"/>
      <c r="B145" s="13" t="s">
        <v>269</v>
      </c>
      <c r="C145" s="159" t="s">
        <v>42</v>
      </c>
      <c r="D145" s="13" t="s">
        <v>21</v>
      </c>
      <c r="E145" s="14">
        <v>16</v>
      </c>
      <c r="F145" s="30" t="s">
        <v>134</v>
      </c>
      <c r="G145" s="134"/>
      <c r="H145" s="18">
        <f t="shared" ref="H145:H150" si="3">SUM(E145*G145)</f>
        <v>0</v>
      </c>
      <c r="I145" s="19"/>
      <c r="J145" s="19"/>
    </row>
    <row r="146" spans="1:10" ht="16" customHeight="1">
      <c r="A146" s="19"/>
      <c r="B146" s="13" t="s">
        <v>270</v>
      </c>
      <c r="C146" s="160"/>
      <c r="D146" s="13" t="s">
        <v>27</v>
      </c>
      <c r="E146" s="14">
        <v>16</v>
      </c>
      <c r="F146" s="30" t="s">
        <v>134</v>
      </c>
      <c r="G146" s="134"/>
      <c r="H146" s="18">
        <f t="shared" si="3"/>
        <v>0</v>
      </c>
      <c r="I146" s="19"/>
      <c r="J146" s="19"/>
    </row>
    <row r="147" spans="1:10" ht="16" customHeight="1">
      <c r="A147" s="19"/>
      <c r="B147" s="13" t="s">
        <v>271</v>
      </c>
      <c r="C147" s="161"/>
      <c r="D147" s="13" t="s">
        <v>169</v>
      </c>
      <c r="E147" s="14">
        <v>16</v>
      </c>
      <c r="F147" s="30" t="s">
        <v>134</v>
      </c>
      <c r="G147" s="134"/>
      <c r="H147" s="18">
        <f t="shared" si="3"/>
        <v>0</v>
      </c>
      <c r="I147" s="19"/>
      <c r="J147" s="19"/>
    </row>
    <row r="148" spans="1:10" ht="16" customHeight="1">
      <c r="A148" s="19"/>
      <c r="B148" s="11" t="s">
        <v>272</v>
      </c>
      <c r="C148" s="162" t="s">
        <v>79</v>
      </c>
      <c r="D148" s="11" t="s">
        <v>21</v>
      </c>
      <c r="E148" s="15">
        <v>12</v>
      </c>
      <c r="F148" s="31" t="s">
        <v>134</v>
      </c>
      <c r="G148" s="135"/>
      <c r="H148" s="18">
        <f t="shared" si="3"/>
        <v>0</v>
      </c>
      <c r="I148" s="19"/>
      <c r="J148" s="19"/>
    </row>
    <row r="149" spans="1:10" ht="16" customHeight="1">
      <c r="A149" s="19"/>
      <c r="B149" s="11" t="s">
        <v>273</v>
      </c>
      <c r="C149" s="163"/>
      <c r="D149" s="11" t="s">
        <v>27</v>
      </c>
      <c r="E149" s="15">
        <v>12</v>
      </c>
      <c r="F149" s="31" t="s">
        <v>134</v>
      </c>
      <c r="G149" s="135"/>
      <c r="H149" s="18">
        <f t="shared" si="3"/>
        <v>0</v>
      </c>
      <c r="I149" s="19"/>
      <c r="J149" s="19"/>
    </row>
    <row r="150" spans="1:10" ht="16" customHeight="1">
      <c r="A150" s="19"/>
      <c r="B150" s="11" t="s">
        <v>274</v>
      </c>
      <c r="C150" s="164"/>
      <c r="D150" s="11" t="s">
        <v>35</v>
      </c>
      <c r="E150" s="15">
        <v>12</v>
      </c>
      <c r="F150" s="31" t="s">
        <v>134</v>
      </c>
      <c r="G150" s="135"/>
      <c r="H150" s="18">
        <f t="shared" si="3"/>
        <v>0</v>
      </c>
      <c r="I150" s="19"/>
      <c r="J150" s="19"/>
    </row>
    <row r="151" spans="1:10" ht="16" customHeight="1">
      <c r="A151" s="19"/>
      <c r="B151" s="13" t="s">
        <v>287</v>
      </c>
      <c r="C151" s="159" t="s">
        <v>78</v>
      </c>
      <c r="D151" s="13" t="s">
        <v>21</v>
      </c>
      <c r="E151" s="52">
        <v>13</v>
      </c>
      <c r="F151" s="30" t="s">
        <v>134</v>
      </c>
      <c r="G151" s="134"/>
      <c r="H151" s="18">
        <f t="shared" si="2"/>
        <v>0</v>
      </c>
      <c r="I151" s="19"/>
      <c r="J151" s="19"/>
    </row>
    <row r="152" spans="1:10" ht="16" customHeight="1">
      <c r="A152" s="19"/>
      <c r="B152" s="13" t="s">
        <v>288</v>
      </c>
      <c r="C152" s="160"/>
      <c r="D152" s="13" t="s">
        <v>290</v>
      </c>
      <c r="E152" s="14">
        <v>13</v>
      </c>
      <c r="F152" s="30" t="s">
        <v>134</v>
      </c>
      <c r="G152" s="134"/>
      <c r="H152" s="18">
        <f t="shared" si="2"/>
        <v>0</v>
      </c>
      <c r="I152" s="19"/>
      <c r="J152" s="19"/>
    </row>
    <row r="153" spans="1:10" ht="16" customHeight="1">
      <c r="A153" s="19"/>
      <c r="B153" s="13" t="s">
        <v>289</v>
      </c>
      <c r="C153" s="161"/>
      <c r="D153" s="13" t="s">
        <v>38</v>
      </c>
      <c r="E153" s="14">
        <v>13</v>
      </c>
      <c r="F153" s="30" t="s">
        <v>134</v>
      </c>
      <c r="G153" s="134"/>
      <c r="H153" s="18">
        <f t="shared" si="2"/>
        <v>0</v>
      </c>
      <c r="I153" s="19"/>
      <c r="J153" s="19"/>
    </row>
    <row r="154" spans="1:10" ht="16" customHeight="1">
      <c r="A154" s="19"/>
      <c r="B154" s="11" t="s">
        <v>293</v>
      </c>
      <c r="C154" s="180" t="s">
        <v>291</v>
      </c>
      <c r="D154" s="11" t="s">
        <v>21</v>
      </c>
      <c r="E154" s="15">
        <v>13</v>
      </c>
      <c r="F154" s="31" t="s">
        <v>134</v>
      </c>
      <c r="G154" s="135"/>
      <c r="H154" s="18">
        <f t="shared" si="2"/>
        <v>0</v>
      </c>
      <c r="I154" s="19"/>
      <c r="J154" s="19"/>
    </row>
    <row r="155" spans="1:10" ht="16" customHeight="1">
      <c r="A155" s="19"/>
      <c r="B155" s="11" t="s">
        <v>294</v>
      </c>
      <c r="C155" s="180"/>
      <c r="D155" s="11" t="s">
        <v>37</v>
      </c>
      <c r="E155" s="15">
        <v>13</v>
      </c>
      <c r="F155" s="31" t="s">
        <v>134</v>
      </c>
      <c r="G155" s="135"/>
      <c r="H155" s="18">
        <f t="shared" si="2"/>
        <v>0</v>
      </c>
      <c r="I155" s="19"/>
      <c r="J155" s="19"/>
    </row>
    <row r="156" spans="1:10" ht="16" customHeight="1">
      <c r="A156" s="19"/>
      <c r="B156" s="11" t="s">
        <v>295</v>
      </c>
      <c r="C156" s="170"/>
      <c r="D156" s="11" t="s">
        <v>292</v>
      </c>
      <c r="E156" s="15">
        <v>13</v>
      </c>
      <c r="F156" s="31" t="s">
        <v>134</v>
      </c>
      <c r="G156" s="135"/>
      <c r="H156" s="18">
        <f t="shared" si="2"/>
        <v>0</v>
      </c>
      <c r="I156" s="19"/>
      <c r="J156" s="19"/>
    </row>
    <row r="157" spans="1:10" ht="16" customHeight="1">
      <c r="A157" s="19"/>
      <c r="B157" s="13" t="s">
        <v>297</v>
      </c>
      <c r="C157" s="168" t="s">
        <v>296</v>
      </c>
      <c r="D157" s="13" t="s">
        <v>21</v>
      </c>
      <c r="E157" s="14">
        <v>13</v>
      </c>
      <c r="F157" s="30" t="s">
        <v>134</v>
      </c>
      <c r="G157" s="134"/>
      <c r="H157" s="18">
        <f t="shared" si="2"/>
        <v>0</v>
      </c>
      <c r="I157" s="19"/>
      <c r="J157" s="19"/>
    </row>
    <row r="158" spans="1:10" ht="16" customHeight="1">
      <c r="A158" s="19"/>
      <c r="B158" s="13" t="s">
        <v>298</v>
      </c>
      <c r="C158" s="170"/>
      <c r="D158" s="13" t="s">
        <v>37</v>
      </c>
      <c r="E158" s="14">
        <v>13</v>
      </c>
      <c r="F158" s="30" t="s">
        <v>134</v>
      </c>
      <c r="G158" s="134"/>
      <c r="H158" s="18">
        <f t="shared" si="2"/>
        <v>0</v>
      </c>
      <c r="I158" s="19"/>
      <c r="J158" s="19"/>
    </row>
    <row r="159" spans="1:10" ht="16" customHeight="1">
      <c r="A159" s="19"/>
      <c r="B159" s="13" t="s">
        <v>299</v>
      </c>
      <c r="C159" s="170"/>
      <c r="D159" s="13" t="s">
        <v>27</v>
      </c>
      <c r="E159" s="14">
        <v>13</v>
      </c>
      <c r="F159" s="30" t="s">
        <v>134</v>
      </c>
      <c r="G159" s="134"/>
      <c r="H159" s="18">
        <f t="shared" si="2"/>
        <v>0</v>
      </c>
      <c r="I159" s="19"/>
      <c r="J159" s="19"/>
    </row>
    <row r="160" spans="1:10" ht="16" customHeight="1">
      <c r="A160" s="19"/>
      <c r="B160" s="11" t="s">
        <v>300</v>
      </c>
      <c r="C160" s="162" t="s">
        <v>84</v>
      </c>
      <c r="D160" s="11" t="s">
        <v>30</v>
      </c>
      <c r="E160" s="15">
        <v>16</v>
      </c>
      <c r="F160" s="31" t="s">
        <v>134</v>
      </c>
      <c r="G160" s="135"/>
      <c r="H160" s="18">
        <f t="shared" si="2"/>
        <v>0</v>
      </c>
      <c r="I160" s="19"/>
      <c r="J160" s="19"/>
    </row>
    <row r="161" spans="1:10" ht="16" customHeight="1">
      <c r="A161" s="19"/>
      <c r="B161" s="11" t="s">
        <v>301</v>
      </c>
      <c r="C161" s="178"/>
      <c r="D161" s="11" t="s">
        <v>268</v>
      </c>
      <c r="E161" s="15">
        <v>16</v>
      </c>
      <c r="F161" s="31" t="s">
        <v>134</v>
      </c>
      <c r="G161" s="135"/>
      <c r="H161" s="18">
        <f t="shared" si="2"/>
        <v>0</v>
      </c>
      <c r="I161" s="19"/>
      <c r="J161" s="19"/>
    </row>
    <row r="162" spans="1:10" ht="16" customHeight="1">
      <c r="A162" s="19"/>
      <c r="B162" s="13" t="s">
        <v>303</v>
      </c>
      <c r="C162" s="159" t="s">
        <v>302</v>
      </c>
      <c r="D162" s="13" t="s">
        <v>21</v>
      </c>
      <c r="E162" s="14">
        <v>17</v>
      </c>
      <c r="F162" s="30" t="s">
        <v>134</v>
      </c>
      <c r="G162" s="134"/>
      <c r="H162" s="18">
        <f t="shared" si="2"/>
        <v>0</v>
      </c>
      <c r="I162" s="19"/>
      <c r="J162" s="19"/>
    </row>
    <row r="163" spans="1:10" ht="16" customHeight="1">
      <c r="A163" s="19"/>
      <c r="B163" s="13" t="s">
        <v>304</v>
      </c>
      <c r="C163" s="198"/>
      <c r="D163" s="13" t="s">
        <v>27</v>
      </c>
      <c r="E163" s="14">
        <v>17</v>
      </c>
      <c r="F163" s="30" t="s">
        <v>134</v>
      </c>
      <c r="G163" s="134"/>
      <c r="H163" s="18">
        <f t="shared" si="2"/>
        <v>0</v>
      </c>
      <c r="I163" s="19"/>
      <c r="J163" s="19"/>
    </row>
    <row r="164" spans="1:10" ht="16" customHeight="1">
      <c r="A164" s="19"/>
      <c r="B164" s="196" t="s">
        <v>98</v>
      </c>
      <c r="C164" s="197"/>
      <c r="D164" s="197"/>
      <c r="E164" s="197"/>
      <c r="F164" s="197"/>
      <c r="G164" s="197"/>
      <c r="H164" s="197"/>
      <c r="I164" s="19"/>
      <c r="J164" s="19"/>
    </row>
    <row r="165" spans="1:10" ht="16" customHeight="1">
      <c r="A165" s="19"/>
      <c r="B165" s="56" t="s">
        <v>305</v>
      </c>
      <c r="C165" s="172" t="s">
        <v>80</v>
      </c>
      <c r="D165" s="56" t="s">
        <v>21</v>
      </c>
      <c r="E165" s="57">
        <v>11</v>
      </c>
      <c r="F165" s="98" t="s">
        <v>134</v>
      </c>
      <c r="G165" s="136"/>
      <c r="H165" s="62">
        <f>SUM(E165*G165)</f>
        <v>0</v>
      </c>
      <c r="I165" s="19"/>
      <c r="J165" s="19"/>
    </row>
    <row r="166" spans="1:10" ht="16" customHeight="1">
      <c r="A166" s="19"/>
      <c r="B166" s="56" t="s">
        <v>306</v>
      </c>
      <c r="C166" s="172"/>
      <c r="D166" s="56" t="s">
        <v>37</v>
      </c>
      <c r="E166" s="57">
        <v>11</v>
      </c>
      <c r="F166" s="98" t="s">
        <v>134</v>
      </c>
      <c r="G166" s="136"/>
      <c r="H166" s="62">
        <f t="shared" ref="H166:H190" si="4">SUM(E166*G166)</f>
        <v>0</v>
      </c>
      <c r="I166" s="19"/>
      <c r="J166" s="19"/>
    </row>
    <row r="167" spans="1:10" ht="16" customHeight="1">
      <c r="A167" s="19"/>
      <c r="B167" s="56" t="s">
        <v>307</v>
      </c>
      <c r="C167" s="172"/>
      <c r="D167" s="56" t="s">
        <v>23</v>
      </c>
      <c r="E167" s="57">
        <v>11</v>
      </c>
      <c r="F167" s="98" t="s">
        <v>134</v>
      </c>
      <c r="G167" s="136"/>
      <c r="H167" s="62">
        <f t="shared" si="4"/>
        <v>0</v>
      </c>
      <c r="I167" s="19"/>
      <c r="J167" s="19"/>
    </row>
    <row r="168" spans="1:10" ht="16" customHeight="1">
      <c r="A168" s="19"/>
      <c r="B168" s="56" t="s">
        <v>308</v>
      </c>
      <c r="C168" s="172"/>
      <c r="D168" s="56" t="s">
        <v>207</v>
      </c>
      <c r="E168" s="57">
        <v>11</v>
      </c>
      <c r="F168" s="98" t="s">
        <v>134</v>
      </c>
      <c r="G168" s="136"/>
      <c r="H168" s="62">
        <f t="shared" si="4"/>
        <v>0</v>
      </c>
      <c r="I168" s="19"/>
      <c r="J168" s="19"/>
    </row>
    <row r="169" spans="1:10" ht="16" customHeight="1">
      <c r="A169" s="19"/>
      <c r="B169" s="56" t="s">
        <v>309</v>
      </c>
      <c r="C169" s="172"/>
      <c r="D169" s="56" t="s">
        <v>148</v>
      </c>
      <c r="E169" s="57">
        <v>11</v>
      </c>
      <c r="F169" s="98" t="s">
        <v>134</v>
      </c>
      <c r="G169" s="136"/>
      <c r="H169" s="62">
        <f t="shared" si="4"/>
        <v>0</v>
      </c>
      <c r="I169" s="19"/>
      <c r="J169" s="19"/>
    </row>
    <row r="170" spans="1:10" ht="16" customHeight="1">
      <c r="A170" s="19"/>
      <c r="B170" s="56" t="s">
        <v>310</v>
      </c>
      <c r="C170" s="172"/>
      <c r="D170" s="56" t="s">
        <v>170</v>
      </c>
      <c r="E170" s="57">
        <v>11</v>
      </c>
      <c r="F170" s="98" t="s">
        <v>134</v>
      </c>
      <c r="G170" s="136"/>
      <c r="H170" s="62">
        <f t="shared" si="4"/>
        <v>0</v>
      </c>
      <c r="I170" s="19"/>
      <c r="J170" s="19"/>
    </row>
    <row r="171" spans="1:10" ht="16" customHeight="1">
      <c r="A171" s="19"/>
      <c r="B171" s="95" t="s">
        <v>312</v>
      </c>
      <c r="C171" s="174" t="s">
        <v>311</v>
      </c>
      <c r="D171" s="95" t="s">
        <v>21</v>
      </c>
      <c r="E171" s="92">
        <v>11</v>
      </c>
      <c r="F171" s="96" t="s">
        <v>134</v>
      </c>
      <c r="G171" s="137"/>
      <c r="H171" s="62">
        <f t="shared" si="4"/>
        <v>0</v>
      </c>
      <c r="I171" s="19"/>
      <c r="J171" s="19"/>
    </row>
    <row r="172" spans="1:10" ht="16" customHeight="1">
      <c r="A172" s="19"/>
      <c r="B172" s="95" t="s">
        <v>313</v>
      </c>
      <c r="C172" s="174"/>
      <c r="D172" s="95" t="s">
        <v>27</v>
      </c>
      <c r="E172" s="92">
        <v>11</v>
      </c>
      <c r="F172" s="96" t="s">
        <v>134</v>
      </c>
      <c r="G172" s="137"/>
      <c r="H172" s="62">
        <f t="shared" si="4"/>
        <v>0</v>
      </c>
      <c r="I172" s="19"/>
      <c r="J172" s="19"/>
    </row>
    <row r="173" spans="1:10" ht="16" customHeight="1">
      <c r="A173" s="19"/>
      <c r="B173" s="95" t="s">
        <v>314</v>
      </c>
      <c r="C173" s="174"/>
      <c r="D173" s="95" t="s">
        <v>34</v>
      </c>
      <c r="E173" s="92">
        <v>11</v>
      </c>
      <c r="F173" s="96" t="s">
        <v>134</v>
      </c>
      <c r="G173" s="137"/>
      <c r="H173" s="62">
        <f t="shared" si="4"/>
        <v>0</v>
      </c>
      <c r="I173" s="19"/>
      <c r="J173" s="19"/>
    </row>
    <row r="174" spans="1:10" ht="16" customHeight="1">
      <c r="A174" s="19"/>
      <c r="B174" s="17" t="s">
        <v>316</v>
      </c>
      <c r="C174" s="180" t="s">
        <v>315</v>
      </c>
      <c r="D174" s="17" t="s">
        <v>27</v>
      </c>
      <c r="E174" s="15">
        <v>14</v>
      </c>
      <c r="F174" s="31" t="s">
        <v>134</v>
      </c>
      <c r="G174" s="135"/>
      <c r="H174" s="62">
        <f t="shared" si="4"/>
        <v>0</v>
      </c>
      <c r="I174" s="19"/>
      <c r="J174" s="19"/>
    </row>
    <row r="175" spans="1:10" ht="16" customHeight="1">
      <c r="A175" s="19"/>
      <c r="B175" s="17" t="s">
        <v>317</v>
      </c>
      <c r="C175" s="180"/>
      <c r="D175" s="17" t="s">
        <v>181</v>
      </c>
      <c r="E175" s="15">
        <v>14</v>
      </c>
      <c r="F175" s="31" t="s">
        <v>134</v>
      </c>
      <c r="G175" s="135"/>
      <c r="H175" s="62">
        <f t="shared" si="4"/>
        <v>0</v>
      </c>
      <c r="I175" s="19"/>
      <c r="J175" s="19"/>
    </row>
    <row r="176" spans="1:10" ht="16" customHeight="1">
      <c r="A176" s="19"/>
      <c r="B176" s="17" t="s">
        <v>318</v>
      </c>
      <c r="C176" s="180"/>
      <c r="D176" s="17" t="s">
        <v>169</v>
      </c>
      <c r="E176" s="15">
        <v>14</v>
      </c>
      <c r="F176" s="31" t="s">
        <v>134</v>
      </c>
      <c r="G176" s="135"/>
      <c r="H176" s="62">
        <f t="shared" si="4"/>
        <v>0</v>
      </c>
      <c r="I176" s="19"/>
      <c r="J176" s="19"/>
    </row>
    <row r="177" spans="1:10" ht="16" customHeight="1">
      <c r="A177" s="19"/>
      <c r="B177" s="95" t="s">
        <v>320</v>
      </c>
      <c r="C177" s="174" t="s">
        <v>319</v>
      </c>
      <c r="D177" s="95" t="s">
        <v>21</v>
      </c>
      <c r="E177" s="97">
        <v>16</v>
      </c>
      <c r="F177" s="96" t="s">
        <v>134</v>
      </c>
      <c r="G177" s="137"/>
      <c r="H177" s="62">
        <f t="shared" si="4"/>
        <v>0</v>
      </c>
      <c r="I177" s="19"/>
      <c r="J177" s="19"/>
    </row>
    <row r="178" spans="1:10" ht="16" customHeight="1">
      <c r="A178" s="19"/>
      <c r="B178" s="95" t="s">
        <v>321</v>
      </c>
      <c r="C178" s="174"/>
      <c r="D178" s="95" t="s">
        <v>323</v>
      </c>
      <c r="E178" s="97">
        <v>16</v>
      </c>
      <c r="F178" s="96" t="s">
        <v>134</v>
      </c>
      <c r="G178" s="137"/>
      <c r="H178" s="62">
        <f t="shared" si="4"/>
        <v>0</v>
      </c>
      <c r="I178" s="19"/>
      <c r="J178" s="19"/>
    </row>
    <row r="179" spans="1:10" ht="16" customHeight="1">
      <c r="A179" s="19"/>
      <c r="B179" s="95" t="s">
        <v>322</v>
      </c>
      <c r="C179" s="174"/>
      <c r="D179" s="95" t="s">
        <v>169</v>
      </c>
      <c r="E179" s="97">
        <v>16</v>
      </c>
      <c r="F179" s="96" t="s">
        <v>134</v>
      </c>
      <c r="G179" s="137"/>
      <c r="H179" s="62">
        <f t="shared" si="4"/>
        <v>0</v>
      </c>
      <c r="I179" s="19"/>
      <c r="J179" s="19"/>
    </row>
    <row r="180" spans="1:10" ht="16" customHeight="1">
      <c r="A180" s="19"/>
      <c r="B180" s="17" t="s">
        <v>325</v>
      </c>
      <c r="C180" s="180" t="s">
        <v>324</v>
      </c>
      <c r="D180" s="17" t="s">
        <v>21</v>
      </c>
      <c r="E180" s="94">
        <v>13</v>
      </c>
      <c r="F180" s="31" t="s">
        <v>134</v>
      </c>
      <c r="G180" s="135"/>
      <c r="H180" s="62">
        <f t="shared" si="4"/>
        <v>0</v>
      </c>
      <c r="I180" s="19"/>
      <c r="J180" s="19"/>
    </row>
    <row r="181" spans="1:10" ht="16" customHeight="1">
      <c r="A181" s="19"/>
      <c r="B181" s="17" t="s">
        <v>326</v>
      </c>
      <c r="C181" s="180"/>
      <c r="D181" s="17" t="s">
        <v>27</v>
      </c>
      <c r="E181" s="94">
        <v>13</v>
      </c>
      <c r="F181" s="31" t="s">
        <v>134</v>
      </c>
      <c r="G181" s="135"/>
      <c r="H181" s="62">
        <f t="shared" si="4"/>
        <v>0</v>
      </c>
      <c r="I181" s="19"/>
      <c r="J181" s="19"/>
    </row>
    <row r="182" spans="1:10" ht="16" customHeight="1">
      <c r="A182" s="19"/>
      <c r="B182" s="17" t="s">
        <v>327</v>
      </c>
      <c r="C182" s="180"/>
      <c r="D182" s="17" t="s">
        <v>292</v>
      </c>
      <c r="E182" s="94">
        <v>13</v>
      </c>
      <c r="F182" s="31" t="s">
        <v>134</v>
      </c>
      <c r="G182" s="135"/>
      <c r="H182" s="62">
        <f t="shared" si="4"/>
        <v>0</v>
      </c>
      <c r="I182" s="19"/>
      <c r="J182" s="19"/>
    </row>
    <row r="183" spans="1:10" ht="16" customHeight="1">
      <c r="A183" s="19"/>
      <c r="B183" s="95" t="s">
        <v>329</v>
      </c>
      <c r="C183" s="174" t="s">
        <v>328</v>
      </c>
      <c r="D183" s="95" t="s">
        <v>21</v>
      </c>
      <c r="E183" s="92">
        <v>13</v>
      </c>
      <c r="F183" s="96" t="s">
        <v>134</v>
      </c>
      <c r="G183" s="137"/>
      <c r="H183" s="62">
        <f t="shared" si="4"/>
        <v>0</v>
      </c>
      <c r="I183" s="19"/>
      <c r="J183" s="19"/>
    </row>
    <row r="184" spans="1:10" ht="16" customHeight="1">
      <c r="A184" s="19"/>
      <c r="B184" s="95" t="s">
        <v>330</v>
      </c>
      <c r="C184" s="174"/>
      <c r="D184" s="95" t="s">
        <v>169</v>
      </c>
      <c r="E184" s="92">
        <v>13</v>
      </c>
      <c r="F184" s="96" t="s">
        <v>134</v>
      </c>
      <c r="G184" s="137"/>
      <c r="H184" s="62">
        <f t="shared" si="4"/>
        <v>0</v>
      </c>
      <c r="I184" s="19"/>
      <c r="J184" s="19"/>
    </row>
    <row r="185" spans="1:10" ht="16" customHeight="1">
      <c r="A185" s="19"/>
      <c r="B185" s="95" t="s">
        <v>331</v>
      </c>
      <c r="C185" s="174"/>
      <c r="D185" s="95" t="s">
        <v>37</v>
      </c>
      <c r="E185" s="92">
        <v>13</v>
      </c>
      <c r="F185" s="96" t="s">
        <v>134</v>
      </c>
      <c r="G185" s="137"/>
      <c r="H185" s="62">
        <f t="shared" si="4"/>
        <v>0</v>
      </c>
      <c r="I185" s="19"/>
      <c r="J185" s="19"/>
    </row>
    <row r="186" spans="1:10" ht="16" customHeight="1">
      <c r="A186" s="19"/>
      <c r="B186" s="17" t="s">
        <v>333</v>
      </c>
      <c r="C186" s="180" t="s">
        <v>332</v>
      </c>
      <c r="D186" s="17" t="s">
        <v>21</v>
      </c>
      <c r="E186" s="15">
        <v>13</v>
      </c>
      <c r="F186" s="31" t="s">
        <v>134</v>
      </c>
      <c r="G186" s="135"/>
      <c r="H186" s="62">
        <f t="shared" si="4"/>
        <v>0</v>
      </c>
      <c r="I186" s="19"/>
      <c r="J186" s="19"/>
    </row>
    <row r="187" spans="1:10" ht="16" customHeight="1">
      <c r="A187" s="19"/>
      <c r="B187" s="17" t="s">
        <v>334</v>
      </c>
      <c r="C187" s="180"/>
      <c r="D187" s="17" t="s">
        <v>38</v>
      </c>
      <c r="E187" s="15">
        <v>13</v>
      </c>
      <c r="F187" s="31" t="s">
        <v>134</v>
      </c>
      <c r="G187" s="135"/>
      <c r="H187" s="62">
        <f t="shared" si="4"/>
        <v>0</v>
      </c>
      <c r="I187" s="19"/>
      <c r="J187" s="19"/>
    </row>
    <row r="188" spans="1:10" ht="16" customHeight="1">
      <c r="A188" s="19"/>
      <c r="B188" s="17" t="s">
        <v>335</v>
      </c>
      <c r="C188" s="180"/>
      <c r="D188" s="17" t="s">
        <v>30</v>
      </c>
      <c r="E188" s="15">
        <v>13</v>
      </c>
      <c r="F188" s="31" t="s">
        <v>134</v>
      </c>
      <c r="G188" s="135"/>
      <c r="H188" s="62">
        <f t="shared" si="4"/>
        <v>0</v>
      </c>
      <c r="I188" s="19"/>
      <c r="J188" s="19"/>
    </row>
    <row r="189" spans="1:10" ht="16" customHeight="1">
      <c r="A189" s="19"/>
      <c r="B189" s="95" t="s">
        <v>336</v>
      </c>
      <c r="C189" s="174" t="s">
        <v>82</v>
      </c>
      <c r="D189" s="95" t="s">
        <v>41</v>
      </c>
      <c r="E189" s="97">
        <v>17</v>
      </c>
      <c r="F189" s="96" t="s">
        <v>134</v>
      </c>
      <c r="G189" s="137"/>
      <c r="H189" s="62">
        <f t="shared" si="4"/>
        <v>0</v>
      </c>
      <c r="I189" s="19"/>
      <c r="J189" s="19"/>
    </row>
    <row r="190" spans="1:10" ht="16" customHeight="1">
      <c r="A190" s="19"/>
      <c r="B190" s="95" t="s">
        <v>337</v>
      </c>
      <c r="C190" s="174"/>
      <c r="D190" s="95" t="s">
        <v>21</v>
      </c>
      <c r="E190" s="97">
        <v>17</v>
      </c>
      <c r="F190" s="96" t="s">
        <v>134</v>
      </c>
      <c r="G190" s="137"/>
      <c r="H190" s="62">
        <f t="shared" si="4"/>
        <v>0</v>
      </c>
      <c r="I190" s="19"/>
      <c r="J190" s="19"/>
    </row>
    <row r="191" spans="1:10" ht="19">
      <c r="A191" s="19"/>
      <c r="B191" s="186" t="s">
        <v>85</v>
      </c>
      <c r="C191" s="187"/>
      <c r="D191" s="187"/>
      <c r="E191" s="187"/>
      <c r="F191" s="187"/>
      <c r="G191" s="187"/>
      <c r="H191" s="187"/>
      <c r="I191" s="19"/>
      <c r="J191" s="19"/>
    </row>
    <row r="192" spans="1:10">
      <c r="A192" s="19"/>
      <c r="B192" s="71" t="s">
        <v>13</v>
      </c>
      <c r="C192" s="71" t="s">
        <v>14</v>
      </c>
      <c r="D192" s="71" t="s">
        <v>15</v>
      </c>
      <c r="E192" s="72" t="s">
        <v>16</v>
      </c>
      <c r="F192" s="72" t="s">
        <v>17</v>
      </c>
      <c r="G192" s="138" t="s">
        <v>47</v>
      </c>
      <c r="H192" s="73" t="s">
        <v>19</v>
      </c>
      <c r="I192" s="19"/>
      <c r="J192" s="19"/>
    </row>
    <row r="193" spans="1:10" s="19" customFormat="1" ht="16" customHeight="1">
      <c r="B193" s="17" t="s">
        <v>338</v>
      </c>
      <c r="C193" s="180" t="s">
        <v>86</v>
      </c>
      <c r="D193" s="17" t="s">
        <v>21</v>
      </c>
      <c r="E193" s="15">
        <v>10</v>
      </c>
      <c r="F193" s="31" t="s">
        <v>134</v>
      </c>
      <c r="G193" s="135"/>
      <c r="H193" s="18">
        <f>SUM(E193*G193)</f>
        <v>0</v>
      </c>
    </row>
    <row r="194" spans="1:10" s="19" customFormat="1" ht="16" customHeight="1">
      <c r="B194" s="17" t="s">
        <v>339</v>
      </c>
      <c r="C194" s="180"/>
      <c r="D194" s="17" t="s">
        <v>169</v>
      </c>
      <c r="E194" s="15">
        <v>10</v>
      </c>
      <c r="F194" s="31" t="s">
        <v>134</v>
      </c>
      <c r="G194" s="135"/>
      <c r="H194" s="18">
        <f t="shared" ref="H194:H208" si="5">SUM(E194*G194)</f>
        <v>0</v>
      </c>
    </row>
    <row r="195" spans="1:10" s="19" customFormat="1" ht="16" customHeight="1">
      <c r="B195" s="17" t="s">
        <v>340</v>
      </c>
      <c r="C195" s="180"/>
      <c r="D195" s="17" t="s">
        <v>170</v>
      </c>
      <c r="E195" s="15">
        <v>10</v>
      </c>
      <c r="F195" s="31" t="s">
        <v>134</v>
      </c>
      <c r="G195" s="135"/>
      <c r="H195" s="18">
        <f t="shared" si="5"/>
        <v>0</v>
      </c>
    </row>
    <row r="196" spans="1:10" s="19" customFormat="1" ht="16" customHeight="1">
      <c r="B196" s="17" t="s">
        <v>341</v>
      </c>
      <c r="C196" s="180"/>
      <c r="D196" s="17" t="s">
        <v>41</v>
      </c>
      <c r="E196" s="15">
        <v>10</v>
      </c>
      <c r="F196" s="31" t="s">
        <v>134</v>
      </c>
      <c r="G196" s="135"/>
      <c r="H196" s="18">
        <f t="shared" si="5"/>
        <v>0</v>
      </c>
    </row>
    <row r="197" spans="1:10" s="19" customFormat="1" ht="16" customHeight="1">
      <c r="B197" s="13" t="s">
        <v>342</v>
      </c>
      <c r="C197" s="168" t="s">
        <v>87</v>
      </c>
      <c r="D197" s="13" t="s">
        <v>21</v>
      </c>
      <c r="E197" s="52">
        <v>11</v>
      </c>
      <c r="F197" s="30" t="s">
        <v>134</v>
      </c>
      <c r="G197" s="134"/>
      <c r="H197" s="18">
        <f t="shared" si="5"/>
        <v>0</v>
      </c>
    </row>
    <row r="198" spans="1:10" s="19" customFormat="1" ht="16" customHeight="1">
      <c r="B198" s="13" t="s">
        <v>343</v>
      </c>
      <c r="C198" s="168"/>
      <c r="D198" s="13" t="s">
        <v>36</v>
      </c>
      <c r="E198" s="52">
        <v>11</v>
      </c>
      <c r="F198" s="30" t="s">
        <v>134</v>
      </c>
      <c r="G198" s="134"/>
      <c r="H198" s="18">
        <f t="shared" si="5"/>
        <v>0</v>
      </c>
    </row>
    <row r="199" spans="1:10" s="19" customFormat="1" ht="16" customHeight="1">
      <c r="B199" s="13" t="s">
        <v>344</v>
      </c>
      <c r="C199" s="168"/>
      <c r="D199" s="13" t="s">
        <v>189</v>
      </c>
      <c r="E199" s="52">
        <v>11</v>
      </c>
      <c r="F199" s="30" t="s">
        <v>134</v>
      </c>
      <c r="G199" s="134"/>
      <c r="H199" s="18">
        <f t="shared" si="5"/>
        <v>0</v>
      </c>
    </row>
    <row r="200" spans="1:10" s="19" customFormat="1" ht="16" customHeight="1">
      <c r="B200" s="13" t="s">
        <v>345</v>
      </c>
      <c r="C200" s="168"/>
      <c r="D200" s="13" t="s">
        <v>73</v>
      </c>
      <c r="E200" s="52">
        <v>11</v>
      </c>
      <c r="F200" s="30" t="s">
        <v>134</v>
      </c>
      <c r="G200" s="134"/>
      <c r="H200" s="18">
        <f t="shared" si="5"/>
        <v>0</v>
      </c>
    </row>
    <row r="201" spans="1:10" s="19" customFormat="1" ht="16" customHeight="1">
      <c r="B201" s="17" t="s">
        <v>346</v>
      </c>
      <c r="C201" s="180" t="s">
        <v>88</v>
      </c>
      <c r="D201" s="17" t="s">
        <v>21</v>
      </c>
      <c r="E201" s="94">
        <v>11</v>
      </c>
      <c r="F201" s="31" t="s">
        <v>134</v>
      </c>
      <c r="G201" s="135"/>
      <c r="H201" s="18">
        <f t="shared" si="5"/>
        <v>0</v>
      </c>
    </row>
    <row r="202" spans="1:10" s="19" customFormat="1" ht="16" customHeight="1">
      <c r="B202" s="17" t="s">
        <v>347</v>
      </c>
      <c r="C202" s="180"/>
      <c r="D202" s="17" t="s">
        <v>23</v>
      </c>
      <c r="E202" s="94">
        <v>11</v>
      </c>
      <c r="F202" s="31" t="s">
        <v>134</v>
      </c>
      <c r="G202" s="135"/>
      <c r="H202" s="18">
        <f t="shared" si="5"/>
        <v>0</v>
      </c>
    </row>
    <row r="203" spans="1:10" s="19" customFormat="1" ht="16" customHeight="1">
      <c r="B203" s="17" t="s">
        <v>348</v>
      </c>
      <c r="C203" s="180"/>
      <c r="D203" s="17" t="s">
        <v>27</v>
      </c>
      <c r="E203" s="94">
        <v>11</v>
      </c>
      <c r="F203" s="31" t="s">
        <v>134</v>
      </c>
      <c r="G203" s="135"/>
      <c r="H203" s="18">
        <f t="shared" si="5"/>
        <v>0</v>
      </c>
    </row>
    <row r="204" spans="1:10" s="19" customFormat="1" ht="16" customHeight="1">
      <c r="B204" s="17" t="s">
        <v>349</v>
      </c>
      <c r="C204" s="180"/>
      <c r="D204" s="17" t="s">
        <v>25</v>
      </c>
      <c r="E204" s="94">
        <v>11</v>
      </c>
      <c r="F204" s="31" t="s">
        <v>134</v>
      </c>
      <c r="G204" s="135"/>
      <c r="H204" s="18">
        <f t="shared" si="5"/>
        <v>0</v>
      </c>
    </row>
    <row r="205" spans="1:10" ht="16" customHeight="1">
      <c r="A205" s="19"/>
      <c r="B205" s="13" t="s">
        <v>350</v>
      </c>
      <c r="C205" s="168" t="s">
        <v>354</v>
      </c>
      <c r="D205" s="13" t="s">
        <v>21</v>
      </c>
      <c r="E205" s="52">
        <v>12</v>
      </c>
      <c r="F205" s="30" t="s">
        <v>134</v>
      </c>
      <c r="G205" s="134"/>
      <c r="H205" s="18">
        <f t="shared" si="5"/>
        <v>0</v>
      </c>
      <c r="I205" s="19"/>
      <c r="J205" s="19"/>
    </row>
    <row r="206" spans="1:10" ht="16" customHeight="1">
      <c r="A206" s="19"/>
      <c r="B206" s="13" t="s">
        <v>351</v>
      </c>
      <c r="C206" s="168"/>
      <c r="D206" s="13" t="s">
        <v>290</v>
      </c>
      <c r="E206" s="52">
        <v>12</v>
      </c>
      <c r="F206" s="30" t="s">
        <v>134</v>
      </c>
      <c r="G206" s="134"/>
      <c r="H206" s="18">
        <f t="shared" si="5"/>
        <v>0</v>
      </c>
      <c r="I206" s="19"/>
      <c r="J206" s="19"/>
    </row>
    <row r="207" spans="1:10" ht="16" customHeight="1">
      <c r="A207" s="19"/>
      <c r="B207" s="13" t="s">
        <v>352</v>
      </c>
      <c r="C207" s="168"/>
      <c r="D207" s="13" t="s">
        <v>34</v>
      </c>
      <c r="E207" s="52">
        <v>12</v>
      </c>
      <c r="F207" s="30" t="s">
        <v>134</v>
      </c>
      <c r="G207" s="134"/>
      <c r="H207" s="18">
        <f t="shared" si="5"/>
        <v>0</v>
      </c>
      <c r="I207" s="19"/>
      <c r="J207" s="19"/>
    </row>
    <row r="208" spans="1:10" ht="16" customHeight="1">
      <c r="A208" s="19"/>
      <c r="B208" s="13" t="s">
        <v>353</v>
      </c>
      <c r="C208" s="168"/>
      <c r="D208" s="13" t="s">
        <v>39</v>
      </c>
      <c r="E208" s="52">
        <v>12</v>
      </c>
      <c r="F208" s="30" t="s">
        <v>134</v>
      </c>
      <c r="G208" s="134"/>
      <c r="H208" s="18">
        <f t="shared" si="5"/>
        <v>0</v>
      </c>
      <c r="I208" s="19"/>
      <c r="J208" s="19"/>
    </row>
    <row r="209" spans="1:10" ht="19">
      <c r="A209" s="19"/>
      <c r="B209" s="209" t="s">
        <v>54</v>
      </c>
      <c r="C209" s="210"/>
      <c r="D209" s="210"/>
      <c r="E209" s="210"/>
      <c r="F209" s="210"/>
      <c r="G209" s="210"/>
      <c r="H209" s="210"/>
      <c r="I209" s="19"/>
      <c r="J209" s="19"/>
    </row>
    <row r="210" spans="1:10">
      <c r="A210" s="19"/>
      <c r="B210" s="71" t="s">
        <v>13</v>
      </c>
      <c r="C210" s="71" t="s">
        <v>14</v>
      </c>
      <c r="D210" s="71" t="s">
        <v>15</v>
      </c>
      <c r="E210" s="72" t="s">
        <v>16</v>
      </c>
      <c r="F210" s="72" t="s">
        <v>17</v>
      </c>
      <c r="G210" s="138" t="s">
        <v>47</v>
      </c>
      <c r="H210" s="73" t="s">
        <v>19</v>
      </c>
      <c r="I210" s="19"/>
      <c r="J210" s="19"/>
    </row>
    <row r="211" spans="1:10" ht="16" customHeight="1">
      <c r="A211" s="19"/>
      <c r="B211" s="17" t="s">
        <v>355</v>
      </c>
      <c r="C211" s="180" t="s">
        <v>638</v>
      </c>
      <c r="D211" s="17" t="s">
        <v>21</v>
      </c>
      <c r="E211" s="94">
        <v>13</v>
      </c>
      <c r="F211" s="49" t="s">
        <v>134</v>
      </c>
      <c r="G211" s="135"/>
      <c r="H211" s="18">
        <f>SUM(E211*G211)</f>
        <v>0</v>
      </c>
      <c r="I211" s="19"/>
      <c r="J211" s="19"/>
    </row>
    <row r="212" spans="1:10" ht="16" customHeight="1">
      <c r="A212" s="19"/>
      <c r="B212" s="17" t="s">
        <v>356</v>
      </c>
      <c r="C212" s="180"/>
      <c r="D212" s="17" t="s">
        <v>27</v>
      </c>
      <c r="E212" s="94">
        <v>13</v>
      </c>
      <c r="F212" s="49" t="s">
        <v>134</v>
      </c>
      <c r="G212" s="135"/>
      <c r="H212" s="18">
        <f t="shared" ref="H212:H262" si="6">SUM(E212*G212)</f>
        <v>0</v>
      </c>
      <c r="I212" s="19"/>
      <c r="J212" s="19"/>
    </row>
    <row r="213" spans="1:10" ht="16" customHeight="1">
      <c r="A213" s="19"/>
      <c r="B213" s="17" t="s">
        <v>357</v>
      </c>
      <c r="C213" s="180"/>
      <c r="D213" s="17" t="s">
        <v>41</v>
      </c>
      <c r="E213" s="94">
        <v>13</v>
      </c>
      <c r="F213" s="49" t="s">
        <v>134</v>
      </c>
      <c r="G213" s="135"/>
      <c r="H213" s="18">
        <f t="shared" si="6"/>
        <v>0</v>
      </c>
      <c r="I213" s="19"/>
      <c r="J213" s="19"/>
    </row>
    <row r="214" spans="1:10" ht="16" customHeight="1">
      <c r="A214" s="19"/>
      <c r="B214" s="17" t="s">
        <v>358</v>
      </c>
      <c r="C214" s="180"/>
      <c r="D214" s="17" t="s">
        <v>34</v>
      </c>
      <c r="E214" s="94">
        <v>13</v>
      </c>
      <c r="F214" s="49" t="s">
        <v>134</v>
      </c>
      <c r="G214" s="135"/>
      <c r="H214" s="18">
        <f t="shared" si="6"/>
        <v>0</v>
      </c>
      <c r="I214" s="19"/>
      <c r="J214" s="19"/>
    </row>
    <row r="215" spans="1:10" ht="16" customHeight="1">
      <c r="A215" s="19"/>
      <c r="B215" s="17" t="s">
        <v>359</v>
      </c>
      <c r="C215" s="180"/>
      <c r="D215" s="17" t="s">
        <v>39</v>
      </c>
      <c r="E215" s="94">
        <v>13</v>
      </c>
      <c r="F215" s="49" t="s">
        <v>134</v>
      </c>
      <c r="G215" s="135"/>
      <c r="H215" s="18">
        <f t="shared" si="6"/>
        <v>0</v>
      </c>
      <c r="I215" s="19"/>
      <c r="J215" s="19"/>
    </row>
    <row r="216" spans="1:10" s="19" customFormat="1" ht="16" customHeight="1">
      <c r="B216" s="95" t="s">
        <v>360</v>
      </c>
      <c r="C216" s="174" t="s">
        <v>89</v>
      </c>
      <c r="D216" s="95" t="s">
        <v>21</v>
      </c>
      <c r="E216" s="92">
        <v>15</v>
      </c>
      <c r="F216" s="99" t="s">
        <v>134</v>
      </c>
      <c r="G216" s="137"/>
      <c r="H216" s="18">
        <f t="shared" si="6"/>
        <v>0</v>
      </c>
    </row>
    <row r="217" spans="1:10" s="19" customFormat="1" ht="16" customHeight="1">
      <c r="B217" s="95" t="s">
        <v>361</v>
      </c>
      <c r="C217" s="174"/>
      <c r="D217" s="95" t="s">
        <v>39</v>
      </c>
      <c r="E217" s="92">
        <v>15</v>
      </c>
      <c r="F217" s="99" t="s">
        <v>134</v>
      </c>
      <c r="G217" s="137"/>
      <c r="H217" s="18">
        <f t="shared" si="6"/>
        <v>0</v>
      </c>
    </row>
    <row r="218" spans="1:10" s="19" customFormat="1" ht="16" customHeight="1">
      <c r="B218" s="17" t="s">
        <v>362</v>
      </c>
      <c r="C218" s="180" t="s">
        <v>366</v>
      </c>
      <c r="D218" s="17" t="s">
        <v>268</v>
      </c>
      <c r="E218" s="15">
        <v>15</v>
      </c>
      <c r="F218" s="49" t="s">
        <v>134</v>
      </c>
      <c r="G218" s="135"/>
      <c r="H218" s="18">
        <f t="shared" si="6"/>
        <v>0</v>
      </c>
    </row>
    <row r="219" spans="1:10" s="19" customFormat="1" ht="16" customHeight="1">
      <c r="B219" s="17" t="s">
        <v>363</v>
      </c>
      <c r="C219" s="180"/>
      <c r="D219" s="17" t="s">
        <v>43</v>
      </c>
      <c r="E219" s="15">
        <v>15</v>
      </c>
      <c r="F219" s="49" t="s">
        <v>134</v>
      </c>
      <c r="G219" s="135"/>
      <c r="H219" s="18">
        <f t="shared" si="6"/>
        <v>0</v>
      </c>
    </row>
    <row r="220" spans="1:10" s="19" customFormat="1" ht="16" customHeight="1">
      <c r="B220" s="17" t="s">
        <v>364</v>
      </c>
      <c r="C220" s="180"/>
      <c r="D220" s="17" t="s">
        <v>37</v>
      </c>
      <c r="E220" s="15">
        <v>15</v>
      </c>
      <c r="F220" s="49" t="s">
        <v>134</v>
      </c>
      <c r="G220" s="135"/>
      <c r="H220" s="18">
        <f t="shared" si="6"/>
        <v>0</v>
      </c>
    </row>
    <row r="221" spans="1:10" s="19" customFormat="1" ht="16" customHeight="1">
      <c r="B221" s="17" t="s">
        <v>365</v>
      </c>
      <c r="C221" s="180"/>
      <c r="D221" s="17" t="s">
        <v>31</v>
      </c>
      <c r="E221" s="15">
        <v>15</v>
      </c>
      <c r="F221" s="49" t="s">
        <v>134</v>
      </c>
      <c r="G221" s="135"/>
      <c r="H221" s="18">
        <f t="shared" si="6"/>
        <v>0</v>
      </c>
    </row>
    <row r="222" spans="1:10" ht="16" customHeight="1">
      <c r="A222" s="19"/>
      <c r="B222" s="13" t="s">
        <v>368</v>
      </c>
      <c r="C222" s="188" t="s">
        <v>367</v>
      </c>
      <c r="D222" s="13" t="s">
        <v>21</v>
      </c>
      <c r="E222" s="52">
        <v>14</v>
      </c>
      <c r="F222" s="99" t="s">
        <v>134</v>
      </c>
      <c r="G222" s="137"/>
      <c r="H222" s="18">
        <f t="shared" si="6"/>
        <v>0</v>
      </c>
      <c r="I222" s="19"/>
      <c r="J222" s="19"/>
    </row>
    <row r="223" spans="1:10" ht="16" customHeight="1">
      <c r="A223" s="19"/>
      <c r="B223" s="13" t="s">
        <v>369</v>
      </c>
      <c r="C223" s="189"/>
      <c r="D223" s="13" t="s">
        <v>34</v>
      </c>
      <c r="E223" s="52">
        <v>14</v>
      </c>
      <c r="F223" s="99" t="s">
        <v>134</v>
      </c>
      <c r="G223" s="137"/>
      <c r="H223" s="18">
        <f t="shared" si="6"/>
        <v>0</v>
      </c>
      <c r="I223" s="19"/>
      <c r="J223" s="19"/>
    </row>
    <row r="224" spans="1:10" ht="16" customHeight="1">
      <c r="A224" s="19"/>
      <c r="B224" s="11" t="s">
        <v>370</v>
      </c>
      <c r="C224" s="162" t="s">
        <v>90</v>
      </c>
      <c r="D224" s="11" t="s">
        <v>21</v>
      </c>
      <c r="E224" s="15">
        <v>17</v>
      </c>
      <c r="F224" s="49" t="s">
        <v>134</v>
      </c>
      <c r="G224" s="135"/>
      <c r="H224" s="18">
        <f t="shared" si="6"/>
        <v>0</v>
      </c>
      <c r="I224" s="19"/>
      <c r="J224" s="19"/>
    </row>
    <row r="225" spans="1:10" ht="16" customHeight="1">
      <c r="A225" s="19"/>
      <c r="B225" s="11" t="s">
        <v>371</v>
      </c>
      <c r="C225" s="164"/>
      <c r="D225" s="11" t="s">
        <v>372</v>
      </c>
      <c r="E225" s="15">
        <v>17</v>
      </c>
      <c r="F225" s="49" t="s">
        <v>134</v>
      </c>
      <c r="G225" s="135"/>
      <c r="H225" s="18">
        <f t="shared" si="6"/>
        <v>0</v>
      </c>
      <c r="I225" s="19"/>
      <c r="J225" s="19"/>
    </row>
    <row r="226" spans="1:10" ht="16" customHeight="1">
      <c r="A226" s="19"/>
      <c r="B226" s="13" t="s">
        <v>373</v>
      </c>
      <c r="C226" s="168" t="s">
        <v>375</v>
      </c>
      <c r="D226" s="13" t="s">
        <v>38</v>
      </c>
      <c r="E226" s="52">
        <v>20</v>
      </c>
      <c r="F226" s="50" t="s">
        <v>134</v>
      </c>
      <c r="G226" s="134"/>
      <c r="H226" s="18">
        <f t="shared" si="6"/>
        <v>0</v>
      </c>
      <c r="I226" s="19"/>
      <c r="J226" s="19"/>
    </row>
    <row r="227" spans="1:10" ht="16" customHeight="1">
      <c r="A227" s="19"/>
      <c r="B227" s="13" t="s">
        <v>374</v>
      </c>
      <c r="C227" s="168"/>
      <c r="D227" s="13" t="s">
        <v>290</v>
      </c>
      <c r="E227" s="52">
        <v>20</v>
      </c>
      <c r="F227" s="50" t="s">
        <v>134</v>
      </c>
      <c r="G227" s="134"/>
      <c r="H227" s="18">
        <f t="shared" si="6"/>
        <v>0</v>
      </c>
      <c r="I227" s="19"/>
      <c r="J227" s="19"/>
    </row>
    <row r="228" spans="1:10" ht="16" customHeight="1">
      <c r="A228" s="19"/>
      <c r="B228" s="11" t="s">
        <v>376</v>
      </c>
      <c r="C228" s="180" t="s">
        <v>29</v>
      </c>
      <c r="D228" s="11" t="s">
        <v>41</v>
      </c>
      <c r="E228" s="15">
        <v>15</v>
      </c>
      <c r="F228" s="49" t="s">
        <v>134</v>
      </c>
      <c r="G228" s="135"/>
      <c r="H228" s="18">
        <f t="shared" si="6"/>
        <v>0</v>
      </c>
      <c r="I228" s="19"/>
      <c r="J228" s="19"/>
    </row>
    <row r="229" spans="1:10" ht="16" customHeight="1">
      <c r="A229" s="19"/>
      <c r="B229" s="11" t="s">
        <v>377</v>
      </c>
      <c r="C229" s="170"/>
      <c r="D229" s="11" t="s">
        <v>21</v>
      </c>
      <c r="E229" s="15">
        <v>15</v>
      </c>
      <c r="F229" s="49" t="s">
        <v>134</v>
      </c>
      <c r="G229" s="135"/>
      <c r="H229" s="18">
        <f t="shared" si="6"/>
        <v>0</v>
      </c>
      <c r="I229" s="19"/>
      <c r="J229" s="19"/>
    </row>
    <row r="230" spans="1:10" ht="16" customHeight="1">
      <c r="A230" s="19"/>
      <c r="B230" s="13" t="s">
        <v>378</v>
      </c>
      <c r="C230" s="168" t="s">
        <v>91</v>
      </c>
      <c r="D230" s="13" t="s">
        <v>21</v>
      </c>
      <c r="E230" s="52">
        <v>15</v>
      </c>
      <c r="F230" s="50" t="s">
        <v>134</v>
      </c>
      <c r="G230" s="134"/>
      <c r="H230" s="18">
        <f t="shared" si="6"/>
        <v>0</v>
      </c>
      <c r="I230" s="19"/>
      <c r="J230" s="19"/>
    </row>
    <row r="231" spans="1:10" ht="16" customHeight="1">
      <c r="A231" s="19"/>
      <c r="B231" s="13" t="s">
        <v>379</v>
      </c>
      <c r="C231" s="168"/>
      <c r="D231" s="13" t="s">
        <v>169</v>
      </c>
      <c r="E231" s="52">
        <v>15</v>
      </c>
      <c r="F231" s="50" t="s">
        <v>134</v>
      </c>
      <c r="G231" s="134"/>
      <c r="H231" s="18">
        <f t="shared" si="6"/>
        <v>0</v>
      </c>
      <c r="I231" s="19"/>
      <c r="J231" s="19"/>
    </row>
    <row r="232" spans="1:10" ht="16" customHeight="1">
      <c r="A232" s="19"/>
      <c r="B232" s="11" t="s">
        <v>380</v>
      </c>
      <c r="C232" s="180" t="s">
        <v>382</v>
      </c>
      <c r="D232" s="11" t="s">
        <v>34</v>
      </c>
      <c r="E232" s="15">
        <v>15</v>
      </c>
      <c r="F232" s="49" t="s">
        <v>134</v>
      </c>
      <c r="G232" s="135"/>
      <c r="H232" s="18">
        <f t="shared" si="6"/>
        <v>0</v>
      </c>
      <c r="I232" s="19"/>
      <c r="J232" s="19"/>
    </row>
    <row r="233" spans="1:10" ht="16" customHeight="1">
      <c r="A233" s="19"/>
      <c r="B233" s="11" t="s">
        <v>381</v>
      </c>
      <c r="C233" s="170"/>
      <c r="D233" s="11" t="s">
        <v>39</v>
      </c>
      <c r="E233" s="15">
        <v>15</v>
      </c>
      <c r="F233" s="49" t="s">
        <v>134</v>
      </c>
      <c r="G233" s="135"/>
      <c r="H233" s="18">
        <f t="shared" si="6"/>
        <v>0</v>
      </c>
      <c r="I233" s="19"/>
      <c r="J233" s="19"/>
    </row>
    <row r="234" spans="1:10" ht="16" customHeight="1">
      <c r="A234" s="19"/>
      <c r="B234" s="13" t="s">
        <v>384</v>
      </c>
      <c r="C234" s="168" t="s">
        <v>383</v>
      </c>
      <c r="D234" s="13" t="s">
        <v>386</v>
      </c>
      <c r="E234" s="52">
        <v>16</v>
      </c>
      <c r="F234" s="50" t="s">
        <v>134</v>
      </c>
      <c r="G234" s="134"/>
      <c r="H234" s="18">
        <f t="shared" si="6"/>
        <v>0</v>
      </c>
      <c r="I234" s="19"/>
      <c r="J234" s="19"/>
    </row>
    <row r="235" spans="1:10" ht="16" customHeight="1">
      <c r="A235" s="19"/>
      <c r="B235" s="13" t="s">
        <v>385</v>
      </c>
      <c r="C235" s="168"/>
      <c r="D235" s="13" t="s">
        <v>387</v>
      </c>
      <c r="E235" s="52">
        <v>16</v>
      </c>
      <c r="F235" s="50" t="s">
        <v>134</v>
      </c>
      <c r="G235" s="134"/>
      <c r="H235" s="18">
        <f t="shared" si="6"/>
        <v>0</v>
      </c>
      <c r="I235" s="19"/>
      <c r="J235" s="19"/>
    </row>
    <row r="236" spans="1:10" ht="16" customHeight="1">
      <c r="A236" s="19"/>
      <c r="B236" s="11" t="s">
        <v>388</v>
      </c>
      <c r="C236" s="180" t="s">
        <v>28</v>
      </c>
      <c r="D236" s="11" t="s">
        <v>21</v>
      </c>
      <c r="E236" s="27">
        <v>17</v>
      </c>
      <c r="F236" s="49" t="s">
        <v>134</v>
      </c>
      <c r="G236" s="135"/>
      <c r="H236" s="18">
        <f t="shared" si="6"/>
        <v>0</v>
      </c>
      <c r="I236" s="19"/>
      <c r="J236" s="19"/>
    </row>
    <row r="237" spans="1:10" ht="16" customHeight="1">
      <c r="A237" s="19"/>
      <c r="B237" s="11" t="s">
        <v>389</v>
      </c>
      <c r="C237" s="170"/>
      <c r="D237" s="11" t="s">
        <v>390</v>
      </c>
      <c r="E237" s="27">
        <v>17</v>
      </c>
      <c r="F237" s="49" t="s">
        <v>134</v>
      </c>
      <c r="G237" s="135"/>
      <c r="H237" s="18">
        <f t="shared" si="6"/>
        <v>0</v>
      </c>
      <c r="I237" s="19"/>
      <c r="J237" s="19"/>
    </row>
    <row r="238" spans="1:10" ht="16" customHeight="1">
      <c r="A238" s="19"/>
      <c r="B238" s="13" t="s">
        <v>392</v>
      </c>
      <c r="C238" s="174" t="s">
        <v>391</v>
      </c>
      <c r="D238" s="13" t="s">
        <v>21</v>
      </c>
      <c r="E238" s="52">
        <v>15</v>
      </c>
      <c r="F238" s="99" t="s">
        <v>134</v>
      </c>
      <c r="G238" s="137"/>
      <c r="H238" s="18">
        <f t="shared" si="6"/>
        <v>0</v>
      </c>
      <c r="I238" s="19"/>
      <c r="J238" s="19"/>
    </row>
    <row r="239" spans="1:10" ht="16" customHeight="1">
      <c r="A239" s="19"/>
      <c r="B239" s="13" t="s">
        <v>393</v>
      </c>
      <c r="C239" s="174"/>
      <c r="D239" s="13" t="s">
        <v>27</v>
      </c>
      <c r="E239" s="52">
        <v>15</v>
      </c>
      <c r="F239" s="99" t="s">
        <v>134</v>
      </c>
      <c r="G239" s="137"/>
      <c r="H239" s="18">
        <f t="shared" si="6"/>
        <v>0</v>
      </c>
      <c r="I239" s="19"/>
      <c r="J239" s="19"/>
    </row>
    <row r="240" spans="1:10" ht="16" customHeight="1">
      <c r="A240" s="19"/>
      <c r="B240" s="13" t="s">
        <v>394</v>
      </c>
      <c r="C240" s="174"/>
      <c r="D240" s="13" t="s">
        <v>41</v>
      </c>
      <c r="E240" s="52">
        <v>15</v>
      </c>
      <c r="F240" s="99" t="s">
        <v>134</v>
      </c>
      <c r="G240" s="137"/>
      <c r="H240" s="18">
        <f t="shared" si="6"/>
        <v>0</v>
      </c>
      <c r="I240" s="19"/>
      <c r="J240" s="19"/>
    </row>
    <row r="241" spans="1:10" ht="16" customHeight="1">
      <c r="A241" s="19"/>
      <c r="B241" s="13" t="s">
        <v>395</v>
      </c>
      <c r="C241" s="174"/>
      <c r="D241" s="13" t="s">
        <v>36</v>
      </c>
      <c r="E241" s="52">
        <v>15</v>
      </c>
      <c r="F241" s="99" t="s">
        <v>134</v>
      </c>
      <c r="G241" s="137"/>
      <c r="H241" s="18">
        <f t="shared" si="6"/>
        <v>0</v>
      </c>
      <c r="I241" s="19"/>
      <c r="J241" s="19"/>
    </row>
    <row r="242" spans="1:10" ht="16" customHeight="1">
      <c r="A242" s="19"/>
      <c r="B242" s="11" t="s">
        <v>396</v>
      </c>
      <c r="C242" s="162" t="s">
        <v>32</v>
      </c>
      <c r="D242" s="11" t="s">
        <v>21</v>
      </c>
      <c r="E242" s="15">
        <v>20</v>
      </c>
      <c r="F242" s="49" t="s">
        <v>134</v>
      </c>
      <c r="G242" s="135"/>
      <c r="H242" s="18">
        <f t="shared" si="6"/>
        <v>0</v>
      </c>
      <c r="I242" s="19"/>
      <c r="J242" s="19"/>
    </row>
    <row r="243" spans="1:10" ht="16" customHeight="1">
      <c r="A243" s="19"/>
      <c r="B243" s="11" t="s">
        <v>397</v>
      </c>
      <c r="C243" s="165"/>
      <c r="D243" s="11" t="s">
        <v>36</v>
      </c>
      <c r="E243" s="15">
        <v>20</v>
      </c>
      <c r="F243" s="49" t="s">
        <v>134</v>
      </c>
      <c r="G243" s="135"/>
      <c r="H243" s="18">
        <f t="shared" si="6"/>
        <v>0</v>
      </c>
      <c r="I243" s="19"/>
      <c r="J243" s="19"/>
    </row>
    <row r="244" spans="1:10" ht="16" customHeight="1">
      <c r="A244" s="19"/>
      <c r="B244" s="11" t="s">
        <v>398</v>
      </c>
      <c r="C244" s="165"/>
      <c r="D244" s="11" t="s">
        <v>37</v>
      </c>
      <c r="E244" s="15">
        <v>20</v>
      </c>
      <c r="F244" s="49" t="s">
        <v>134</v>
      </c>
      <c r="G244" s="135"/>
      <c r="H244" s="18">
        <f t="shared" si="6"/>
        <v>0</v>
      </c>
      <c r="I244" s="19"/>
      <c r="J244" s="19"/>
    </row>
    <row r="245" spans="1:10" ht="16" customHeight="1">
      <c r="A245" s="19"/>
      <c r="B245" s="11" t="s">
        <v>399</v>
      </c>
      <c r="C245" s="165"/>
      <c r="D245" s="11" t="s">
        <v>401</v>
      </c>
      <c r="E245" s="15">
        <v>20</v>
      </c>
      <c r="F245" s="49" t="s">
        <v>134</v>
      </c>
      <c r="G245" s="135"/>
      <c r="H245" s="18">
        <f t="shared" si="6"/>
        <v>0</v>
      </c>
      <c r="I245" s="19"/>
      <c r="J245" s="19"/>
    </row>
    <row r="246" spans="1:10" ht="16" customHeight="1">
      <c r="A246" s="19"/>
      <c r="B246" s="112" t="s">
        <v>400</v>
      </c>
      <c r="C246" s="165"/>
      <c r="D246" s="112" t="s">
        <v>23</v>
      </c>
      <c r="E246" s="15">
        <v>20</v>
      </c>
      <c r="F246" s="49" t="s">
        <v>134</v>
      </c>
      <c r="G246" s="135"/>
      <c r="H246" s="18">
        <f t="shared" si="6"/>
        <v>0</v>
      </c>
      <c r="I246" s="19"/>
      <c r="J246" s="19"/>
    </row>
    <row r="247" spans="1:10" ht="16" customHeight="1">
      <c r="A247" s="19"/>
      <c r="B247" s="154" t="s">
        <v>646</v>
      </c>
      <c r="C247" s="166"/>
      <c r="D247" s="154" t="s">
        <v>513</v>
      </c>
      <c r="E247" s="15">
        <v>22</v>
      </c>
      <c r="F247" s="49" t="s">
        <v>134</v>
      </c>
      <c r="G247" s="135"/>
      <c r="H247" s="18">
        <f t="shared" si="6"/>
        <v>0</v>
      </c>
      <c r="I247" s="19"/>
      <c r="J247" s="19"/>
    </row>
    <row r="248" spans="1:10" ht="16" customHeight="1">
      <c r="A248" s="19"/>
      <c r="B248" s="154" t="s">
        <v>647</v>
      </c>
      <c r="C248" s="166"/>
      <c r="D248" s="154" t="s">
        <v>487</v>
      </c>
      <c r="E248" s="15">
        <v>22</v>
      </c>
      <c r="F248" s="49" t="s">
        <v>134</v>
      </c>
      <c r="G248" s="135"/>
      <c r="H248" s="18">
        <f t="shared" si="6"/>
        <v>0</v>
      </c>
      <c r="I248" s="19"/>
      <c r="J248" s="19"/>
    </row>
    <row r="249" spans="1:10" ht="16" customHeight="1">
      <c r="A249" s="19"/>
      <c r="B249" s="154" t="s">
        <v>648</v>
      </c>
      <c r="C249" s="166"/>
      <c r="D249" s="154" t="s">
        <v>475</v>
      </c>
      <c r="E249" s="15">
        <v>22</v>
      </c>
      <c r="F249" s="49" t="s">
        <v>134</v>
      </c>
      <c r="G249" s="135"/>
      <c r="H249" s="18">
        <f t="shared" si="6"/>
        <v>0</v>
      </c>
      <c r="I249" s="19"/>
      <c r="J249" s="19"/>
    </row>
    <row r="250" spans="1:10" ht="16" customHeight="1">
      <c r="A250" s="19"/>
      <c r="B250" s="154" t="s">
        <v>649</v>
      </c>
      <c r="C250" s="167"/>
      <c r="D250" s="154" t="s">
        <v>78</v>
      </c>
      <c r="E250" s="15">
        <v>22</v>
      </c>
      <c r="F250" s="49" t="s">
        <v>134</v>
      </c>
      <c r="G250" s="135"/>
      <c r="H250" s="18">
        <f t="shared" si="6"/>
        <v>0</v>
      </c>
      <c r="I250" s="19"/>
      <c r="J250" s="19"/>
    </row>
    <row r="251" spans="1:10" ht="16" customHeight="1">
      <c r="A251" s="19"/>
      <c r="B251" s="113" t="s">
        <v>403</v>
      </c>
      <c r="C251" s="168" t="s">
        <v>402</v>
      </c>
      <c r="D251" s="113" t="s">
        <v>21</v>
      </c>
      <c r="E251" s="52">
        <v>20</v>
      </c>
      <c r="F251" s="50" t="s">
        <v>134</v>
      </c>
      <c r="G251" s="134"/>
      <c r="H251" s="18">
        <f t="shared" si="6"/>
        <v>0</v>
      </c>
      <c r="I251" s="19"/>
      <c r="J251" s="19"/>
    </row>
    <row r="252" spans="1:10" ht="16" customHeight="1">
      <c r="A252" s="19"/>
      <c r="B252" s="13" t="s">
        <v>404</v>
      </c>
      <c r="C252" s="168"/>
      <c r="D252" s="13" t="s">
        <v>241</v>
      </c>
      <c r="E252" s="52">
        <v>20</v>
      </c>
      <c r="F252" s="50" t="s">
        <v>134</v>
      </c>
      <c r="G252" s="134"/>
      <c r="H252" s="18">
        <f t="shared" si="6"/>
        <v>0</v>
      </c>
      <c r="I252" s="19"/>
      <c r="J252" s="19"/>
    </row>
    <row r="253" spans="1:10" ht="16" customHeight="1">
      <c r="A253" s="19"/>
      <c r="B253" s="11" t="s">
        <v>405</v>
      </c>
      <c r="C253" s="180" t="s">
        <v>407</v>
      </c>
      <c r="D253" s="11" t="s">
        <v>38</v>
      </c>
      <c r="E253" s="94">
        <v>16</v>
      </c>
      <c r="F253" s="49" t="s">
        <v>134</v>
      </c>
      <c r="G253" s="135"/>
      <c r="H253" s="18">
        <f t="shared" si="6"/>
        <v>0</v>
      </c>
      <c r="I253" s="19"/>
      <c r="J253" s="19"/>
    </row>
    <row r="254" spans="1:10" ht="16" customHeight="1">
      <c r="A254" s="19"/>
      <c r="B254" s="11" t="s">
        <v>406</v>
      </c>
      <c r="C254" s="170"/>
      <c r="D254" s="11" t="s">
        <v>290</v>
      </c>
      <c r="E254" s="94">
        <v>16</v>
      </c>
      <c r="F254" s="49" t="s">
        <v>134</v>
      </c>
      <c r="G254" s="135"/>
      <c r="H254" s="18">
        <f t="shared" si="6"/>
        <v>0</v>
      </c>
      <c r="I254" s="19"/>
      <c r="J254" s="19"/>
    </row>
    <row r="255" spans="1:10" ht="16" customHeight="1">
      <c r="A255" s="19"/>
      <c r="B255" s="13" t="s">
        <v>408</v>
      </c>
      <c r="C255" s="168" t="s">
        <v>410</v>
      </c>
      <c r="D255" s="13" t="s">
        <v>36</v>
      </c>
      <c r="E255" s="52">
        <v>16</v>
      </c>
      <c r="F255" s="50" t="s">
        <v>134</v>
      </c>
      <c r="G255" s="134"/>
      <c r="H255" s="18">
        <f t="shared" si="6"/>
        <v>0</v>
      </c>
      <c r="I255" s="19"/>
      <c r="J255" s="19"/>
    </row>
    <row r="256" spans="1:10" ht="16" customHeight="1">
      <c r="A256" s="19"/>
      <c r="B256" s="13" t="s">
        <v>409</v>
      </c>
      <c r="C256" s="168"/>
      <c r="D256" s="13" t="s">
        <v>169</v>
      </c>
      <c r="E256" s="52">
        <v>16</v>
      </c>
      <c r="F256" s="50" t="s">
        <v>134</v>
      </c>
      <c r="G256" s="134"/>
      <c r="H256" s="18">
        <f t="shared" si="6"/>
        <v>0</v>
      </c>
      <c r="I256" s="19"/>
      <c r="J256" s="19"/>
    </row>
    <row r="257" spans="1:10" ht="16" customHeight="1">
      <c r="A257" s="19"/>
      <c r="B257" s="11" t="s">
        <v>411</v>
      </c>
      <c r="C257" s="180" t="s">
        <v>413</v>
      </c>
      <c r="D257" s="11" t="s">
        <v>38</v>
      </c>
      <c r="E257" s="27">
        <v>15</v>
      </c>
      <c r="F257" s="49" t="s">
        <v>134</v>
      </c>
      <c r="G257" s="135"/>
      <c r="H257" s="18">
        <f t="shared" si="6"/>
        <v>0</v>
      </c>
      <c r="I257" s="19"/>
      <c r="J257" s="19"/>
    </row>
    <row r="258" spans="1:10" ht="16" customHeight="1">
      <c r="A258" s="19"/>
      <c r="B258" s="11" t="s">
        <v>412</v>
      </c>
      <c r="C258" s="170"/>
      <c r="D258" s="11" t="s">
        <v>36</v>
      </c>
      <c r="E258" s="27">
        <v>15</v>
      </c>
      <c r="F258" s="49" t="s">
        <v>134</v>
      </c>
      <c r="G258" s="135"/>
      <c r="H258" s="18">
        <f t="shared" si="6"/>
        <v>0</v>
      </c>
      <c r="I258" s="19"/>
      <c r="J258" s="19"/>
    </row>
    <row r="259" spans="1:10" ht="16" customHeight="1">
      <c r="A259" s="19"/>
      <c r="B259" s="13" t="s">
        <v>414</v>
      </c>
      <c r="C259" s="168" t="s">
        <v>416</v>
      </c>
      <c r="D259" s="13" t="s">
        <v>43</v>
      </c>
      <c r="E259" s="52">
        <v>16</v>
      </c>
      <c r="F259" s="50" t="s">
        <v>134</v>
      </c>
      <c r="G259" s="134"/>
      <c r="H259" s="18">
        <f t="shared" si="6"/>
        <v>0</v>
      </c>
      <c r="I259" s="19"/>
      <c r="J259" s="19"/>
    </row>
    <row r="260" spans="1:10" ht="16" customHeight="1">
      <c r="A260" s="19"/>
      <c r="B260" s="13" t="s">
        <v>415</v>
      </c>
      <c r="C260" s="168"/>
      <c r="D260" s="13" t="s">
        <v>417</v>
      </c>
      <c r="E260" s="52">
        <v>16</v>
      </c>
      <c r="F260" s="50" t="s">
        <v>134</v>
      </c>
      <c r="G260" s="134"/>
      <c r="H260" s="18">
        <f t="shared" si="6"/>
        <v>0</v>
      </c>
      <c r="I260" s="19"/>
      <c r="J260" s="19"/>
    </row>
    <row r="261" spans="1:10" ht="16" customHeight="1">
      <c r="A261" s="19"/>
      <c r="B261" s="11" t="s">
        <v>418</v>
      </c>
      <c r="C261" s="180" t="s">
        <v>420</v>
      </c>
      <c r="D261" s="11" t="s">
        <v>38</v>
      </c>
      <c r="E261" s="94">
        <v>16</v>
      </c>
      <c r="F261" s="49" t="s">
        <v>134</v>
      </c>
      <c r="G261" s="135"/>
      <c r="H261" s="18">
        <f t="shared" si="6"/>
        <v>0</v>
      </c>
      <c r="I261" s="19"/>
      <c r="J261" s="19"/>
    </row>
    <row r="262" spans="1:10" ht="16" customHeight="1">
      <c r="A262" s="19"/>
      <c r="B262" s="11" t="s">
        <v>419</v>
      </c>
      <c r="C262" s="170"/>
      <c r="D262" s="11" t="s">
        <v>390</v>
      </c>
      <c r="E262" s="94">
        <v>16</v>
      </c>
      <c r="F262" s="49" t="s">
        <v>134</v>
      </c>
      <c r="G262" s="135"/>
      <c r="H262" s="18">
        <f t="shared" si="6"/>
        <v>0</v>
      </c>
      <c r="I262" s="19"/>
      <c r="J262" s="19"/>
    </row>
    <row r="263" spans="1:10" ht="17" thickBot="1">
      <c r="A263" s="24"/>
      <c r="B263" s="29"/>
      <c r="C263" s="58"/>
      <c r="D263" s="211" t="s">
        <v>636</v>
      </c>
      <c r="E263" s="211"/>
      <c r="F263" s="212"/>
      <c r="G263" s="125">
        <f>SUM(G30:G39,G41:G97,G99:G163,G165:G190,G193:G208,G211:G262)</f>
        <v>0</v>
      </c>
      <c r="H263" s="70"/>
      <c r="I263" s="19"/>
      <c r="J263" s="19"/>
    </row>
    <row r="264" spans="1:10" ht="30" customHeight="1">
      <c r="A264" s="19"/>
      <c r="B264" s="206" t="s">
        <v>92</v>
      </c>
      <c r="C264" s="207"/>
      <c r="D264" s="207"/>
      <c r="E264" s="207"/>
      <c r="F264" s="207"/>
      <c r="G264" s="207"/>
      <c r="H264" s="208"/>
      <c r="I264" s="19"/>
      <c r="J264" s="19"/>
    </row>
    <row r="265" spans="1:10">
      <c r="A265" s="19"/>
      <c r="B265" s="63" t="s">
        <v>13</v>
      </c>
      <c r="C265" s="64" t="s">
        <v>14</v>
      </c>
      <c r="D265" s="64" t="s">
        <v>15</v>
      </c>
      <c r="E265" s="122" t="s">
        <v>16</v>
      </c>
      <c r="F265" s="122" t="s">
        <v>48</v>
      </c>
      <c r="G265" s="139" t="s">
        <v>47</v>
      </c>
      <c r="H265" s="123" t="s">
        <v>19</v>
      </c>
      <c r="I265" s="19"/>
      <c r="J265" s="19"/>
    </row>
    <row r="266" spans="1:10" ht="18" customHeight="1">
      <c r="A266" s="19"/>
      <c r="B266" s="11" t="s">
        <v>421</v>
      </c>
      <c r="C266" s="170" t="s">
        <v>93</v>
      </c>
      <c r="D266" s="11" t="s">
        <v>426</v>
      </c>
      <c r="E266" s="57">
        <v>65</v>
      </c>
      <c r="F266" s="61" t="s">
        <v>49</v>
      </c>
      <c r="G266" s="136"/>
      <c r="H266" s="62">
        <f>SUM(E266*G266)</f>
        <v>0</v>
      </c>
      <c r="I266" s="19"/>
      <c r="J266" s="19"/>
    </row>
    <row r="267" spans="1:10" ht="18" customHeight="1">
      <c r="A267" s="19"/>
      <c r="B267" s="11" t="s">
        <v>422</v>
      </c>
      <c r="C267" s="170"/>
      <c r="D267" s="11" t="s">
        <v>426</v>
      </c>
      <c r="E267" s="57">
        <v>65</v>
      </c>
      <c r="F267" s="61" t="s">
        <v>50</v>
      </c>
      <c r="G267" s="136"/>
      <c r="H267" s="62">
        <f t="shared" ref="H267:H330" si="7">SUM(E267*G267)</f>
        <v>0</v>
      </c>
      <c r="I267" s="19"/>
      <c r="J267" s="19"/>
    </row>
    <row r="268" spans="1:10" ht="18" customHeight="1">
      <c r="A268" s="19"/>
      <c r="B268" s="11" t="s">
        <v>423</v>
      </c>
      <c r="C268" s="170"/>
      <c r="D268" s="11" t="s">
        <v>426</v>
      </c>
      <c r="E268" s="57">
        <v>65</v>
      </c>
      <c r="F268" s="61" t="s">
        <v>51</v>
      </c>
      <c r="G268" s="136"/>
      <c r="H268" s="62">
        <f t="shared" si="7"/>
        <v>0</v>
      </c>
      <c r="I268" s="19"/>
      <c r="J268" s="19"/>
    </row>
    <row r="269" spans="1:10" ht="18" customHeight="1">
      <c r="A269" s="19"/>
      <c r="B269" s="11" t="s">
        <v>424</v>
      </c>
      <c r="C269" s="170"/>
      <c r="D269" s="11" t="s">
        <v>426</v>
      </c>
      <c r="E269" s="57">
        <v>65</v>
      </c>
      <c r="F269" s="61" t="s">
        <v>52</v>
      </c>
      <c r="G269" s="136"/>
      <c r="H269" s="62">
        <f t="shared" si="7"/>
        <v>0</v>
      </c>
      <c r="I269" s="19"/>
      <c r="J269" s="19"/>
    </row>
    <row r="270" spans="1:10" ht="18" customHeight="1">
      <c r="A270" s="19"/>
      <c r="B270" s="11" t="s">
        <v>425</v>
      </c>
      <c r="C270" s="170"/>
      <c r="D270" s="11" t="s">
        <v>426</v>
      </c>
      <c r="E270" s="57">
        <v>65</v>
      </c>
      <c r="F270" s="61" t="s">
        <v>18</v>
      </c>
      <c r="G270" s="136"/>
      <c r="H270" s="62">
        <f t="shared" si="7"/>
        <v>0</v>
      </c>
      <c r="I270" s="19"/>
      <c r="J270" s="19"/>
    </row>
    <row r="271" spans="1:10" ht="18" customHeight="1">
      <c r="A271" s="19"/>
      <c r="B271" s="116" t="s">
        <v>427</v>
      </c>
      <c r="C271" s="170"/>
      <c r="D271" s="116" t="s">
        <v>431</v>
      </c>
      <c r="E271" s="124">
        <v>65</v>
      </c>
      <c r="F271" s="117" t="s">
        <v>49</v>
      </c>
      <c r="G271" s="140"/>
      <c r="H271" s="62">
        <f t="shared" si="7"/>
        <v>0</v>
      </c>
      <c r="I271" s="19"/>
      <c r="J271" s="19"/>
    </row>
    <row r="272" spans="1:10" ht="18" customHeight="1">
      <c r="A272" s="19"/>
      <c r="B272" s="116" t="s">
        <v>428</v>
      </c>
      <c r="C272" s="170"/>
      <c r="D272" s="116" t="s">
        <v>431</v>
      </c>
      <c r="E272" s="124">
        <v>65</v>
      </c>
      <c r="F272" s="117" t="s">
        <v>50</v>
      </c>
      <c r="G272" s="140"/>
      <c r="H272" s="62">
        <f t="shared" si="7"/>
        <v>0</v>
      </c>
      <c r="I272" s="19"/>
      <c r="J272" s="19"/>
    </row>
    <row r="273" spans="1:10" ht="18" customHeight="1">
      <c r="A273" s="19"/>
      <c r="B273" s="116" t="s">
        <v>429</v>
      </c>
      <c r="C273" s="170"/>
      <c r="D273" s="116" t="s">
        <v>431</v>
      </c>
      <c r="E273" s="124">
        <v>65</v>
      </c>
      <c r="F273" s="117" t="s">
        <v>51</v>
      </c>
      <c r="G273" s="140"/>
      <c r="H273" s="62">
        <f t="shared" si="7"/>
        <v>0</v>
      </c>
      <c r="I273" s="19"/>
      <c r="J273" s="19"/>
    </row>
    <row r="274" spans="1:10" ht="18" customHeight="1">
      <c r="A274" s="19"/>
      <c r="B274" s="116" t="s">
        <v>430</v>
      </c>
      <c r="C274" s="170"/>
      <c r="D274" s="116" t="s">
        <v>431</v>
      </c>
      <c r="E274" s="124">
        <v>65</v>
      </c>
      <c r="F274" s="117" t="s">
        <v>52</v>
      </c>
      <c r="G274" s="140"/>
      <c r="H274" s="62">
        <f t="shared" si="7"/>
        <v>0</v>
      </c>
      <c r="I274" s="19"/>
      <c r="J274" s="19"/>
    </row>
    <row r="275" spans="1:10" ht="18" customHeight="1">
      <c r="A275" s="19"/>
      <c r="B275" s="116" t="s">
        <v>637</v>
      </c>
      <c r="C275" s="170"/>
      <c r="D275" s="116" t="s">
        <v>431</v>
      </c>
      <c r="E275" s="124">
        <v>65</v>
      </c>
      <c r="F275" s="117" t="s">
        <v>18</v>
      </c>
      <c r="G275" s="140"/>
      <c r="H275" s="62">
        <f t="shared" si="7"/>
        <v>0</v>
      </c>
      <c r="I275" s="19"/>
      <c r="J275" s="19"/>
    </row>
    <row r="276" spans="1:10" ht="18" customHeight="1">
      <c r="A276" s="19"/>
      <c r="B276" s="11" t="s">
        <v>432</v>
      </c>
      <c r="C276" s="171"/>
      <c r="D276" s="11" t="s">
        <v>437</v>
      </c>
      <c r="E276" s="57">
        <v>65</v>
      </c>
      <c r="F276" s="61" t="s">
        <v>49</v>
      </c>
      <c r="G276" s="136"/>
      <c r="H276" s="62">
        <f t="shared" si="7"/>
        <v>0</v>
      </c>
      <c r="I276" s="19"/>
      <c r="J276" s="19"/>
    </row>
    <row r="277" spans="1:10" ht="18" customHeight="1">
      <c r="A277" s="19"/>
      <c r="B277" s="11" t="s">
        <v>433</v>
      </c>
      <c r="C277" s="171"/>
      <c r="D277" s="11" t="s">
        <v>437</v>
      </c>
      <c r="E277" s="57">
        <v>65</v>
      </c>
      <c r="F277" s="61" t="s">
        <v>50</v>
      </c>
      <c r="G277" s="136"/>
      <c r="H277" s="62">
        <f t="shared" si="7"/>
        <v>0</v>
      </c>
      <c r="I277" s="19"/>
      <c r="J277" s="19"/>
    </row>
    <row r="278" spans="1:10" ht="18" customHeight="1">
      <c r="A278" s="19"/>
      <c r="B278" s="11" t="s">
        <v>434</v>
      </c>
      <c r="C278" s="171"/>
      <c r="D278" s="11" t="s">
        <v>437</v>
      </c>
      <c r="E278" s="57">
        <v>65</v>
      </c>
      <c r="F278" s="61" t="s">
        <v>51</v>
      </c>
      <c r="G278" s="136"/>
      <c r="H278" s="62">
        <f t="shared" si="7"/>
        <v>0</v>
      </c>
      <c r="I278" s="19"/>
      <c r="J278" s="19"/>
    </row>
    <row r="279" spans="1:10" ht="18" customHeight="1">
      <c r="A279" s="19"/>
      <c r="B279" s="11" t="s">
        <v>435</v>
      </c>
      <c r="C279" s="171"/>
      <c r="D279" s="11" t="s">
        <v>437</v>
      </c>
      <c r="E279" s="57">
        <v>65</v>
      </c>
      <c r="F279" s="61" t="s">
        <v>52</v>
      </c>
      <c r="G279" s="136"/>
      <c r="H279" s="62">
        <f t="shared" si="7"/>
        <v>0</v>
      </c>
      <c r="I279" s="19"/>
      <c r="J279" s="19"/>
    </row>
    <row r="280" spans="1:10" ht="18" customHeight="1">
      <c r="A280" s="19"/>
      <c r="B280" s="11" t="s">
        <v>436</v>
      </c>
      <c r="C280" s="171"/>
      <c r="D280" s="11" t="s">
        <v>437</v>
      </c>
      <c r="E280" s="57">
        <v>65</v>
      </c>
      <c r="F280" s="61" t="s">
        <v>18</v>
      </c>
      <c r="G280" s="136"/>
      <c r="H280" s="62">
        <f t="shared" si="7"/>
        <v>0</v>
      </c>
      <c r="I280" s="19"/>
      <c r="J280" s="19"/>
    </row>
    <row r="281" spans="1:10" ht="18" customHeight="1">
      <c r="A281" s="19"/>
      <c r="B281" s="116" t="s">
        <v>439</v>
      </c>
      <c r="C281" s="171"/>
      <c r="D281" s="116" t="s">
        <v>438</v>
      </c>
      <c r="E281" s="124">
        <v>65</v>
      </c>
      <c r="F281" s="117" t="s">
        <v>49</v>
      </c>
      <c r="G281" s="140"/>
      <c r="H281" s="62">
        <f t="shared" si="7"/>
        <v>0</v>
      </c>
      <c r="I281" s="19"/>
      <c r="J281" s="19"/>
    </row>
    <row r="282" spans="1:10" ht="18" customHeight="1">
      <c r="A282" s="19"/>
      <c r="B282" s="116" t="s">
        <v>440</v>
      </c>
      <c r="C282" s="171"/>
      <c r="D282" s="116" t="s">
        <v>438</v>
      </c>
      <c r="E282" s="124">
        <v>65</v>
      </c>
      <c r="F282" s="117" t="s">
        <v>50</v>
      </c>
      <c r="G282" s="140"/>
      <c r="H282" s="62">
        <f t="shared" si="7"/>
        <v>0</v>
      </c>
      <c r="I282" s="19"/>
      <c r="J282" s="19"/>
    </row>
    <row r="283" spans="1:10" ht="18" customHeight="1">
      <c r="A283" s="19"/>
      <c r="B283" s="116" t="s">
        <v>441</v>
      </c>
      <c r="C283" s="171"/>
      <c r="D283" s="116" t="s">
        <v>438</v>
      </c>
      <c r="E283" s="124">
        <v>65</v>
      </c>
      <c r="F283" s="117" t="s">
        <v>51</v>
      </c>
      <c r="G283" s="140"/>
      <c r="H283" s="62">
        <f t="shared" si="7"/>
        <v>0</v>
      </c>
      <c r="I283" s="19"/>
      <c r="J283" s="19"/>
    </row>
    <row r="284" spans="1:10" ht="18" customHeight="1">
      <c r="A284" s="19"/>
      <c r="B284" s="116" t="s">
        <v>442</v>
      </c>
      <c r="C284" s="171"/>
      <c r="D284" s="116" t="s">
        <v>438</v>
      </c>
      <c r="E284" s="124">
        <v>65</v>
      </c>
      <c r="F284" s="117" t="s">
        <v>52</v>
      </c>
      <c r="G284" s="140"/>
      <c r="H284" s="62">
        <f t="shared" si="7"/>
        <v>0</v>
      </c>
      <c r="I284" s="19"/>
      <c r="J284" s="19"/>
    </row>
    <row r="285" spans="1:10" ht="18" customHeight="1">
      <c r="A285" s="19"/>
      <c r="B285" s="116" t="s">
        <v>443</v>
      </c>
      <c r="C285" s="171"/>
      <c r="D285" s="116" t="s">
        <v>438</v>
      </c>
      <c r="E285" s="124">
        <v>65</v>
      </c>
      <c r="F285" s="117" t="s">
        <v>18</v>
      </c>
      <c r="G285" s="140"/>
      <c r="H285" s="62">
        <f t="shared" si="7"/>
        <v>0</v>
      </c>
      <c r="I285" s="19"/>
      <c r="J285" s="19"/>
    </row>
    <row r="286" spans="1:10" ht="18" customHeight="1">
      <c r="A286" s="19"/>
      <c r="B286" s="11" t="s">
        <v>444</v>
      </c>
      <c r="C286" s="171"/>
      <c r="D286" s="11" t="s">
        <v>449</v>
      </c>
      <c r="E286" s="57">
        <v>65</v>
      </c>
      <c r="F286" s="61" t="s">
        <v>49</v>
      </c>
      <c r="G286" s="136"/>
      <c r="H286" s="62">
        <f t="shared" si="7"/>
        <v>0</v>
      </c>
      <c r="I286" s="19"/>
      <c r="J286" s="19"/>
    </row>
    <row r="287" spans="1:10" ht="18" customHeight="1">
      <c r="A287" s="19"/>
      <c r="B287" s="11" t="s">
        <v>445</v>
      </c>
      <c r="C287" s="171"/>
      <c r="D287" s="11" t="s">
        <v>449</v>
      </c>
      <c r="E287" s="57">
        <v>65</v>
      </c>
      <c r="F287" s="61" t="s">
        <v>50</v>
      </c>
      <c r="G287" s="136"/>
      <c r="H287" s="62">
        <f t="shared" si="7"/>
        <v>0</v>
      </c>
      <c r="I287" s="19"/>
      <c r="J287" s="19"/>
    </row>
    <row r="288" spans="1:10" ht="18" customHeight="1">
      <c r="A288" s="19"/>
      <c r="B288" s="11" t="s">
        <v>446</v>
      </c>
      <c r="C288" s="171"/>
      <c r="D288" s="11" t="s">
        <v>449</v>
      </c>
      <c r="E288" s="57">
        <v>65</v>
      </c>
      <c r="F288" s="61" t="s">
        <v>51</v>
      </c>
      <c r="G288" s="136"/>
      <c r="H288" s="62">
        <f t="shared" si="7"/>
        <v>0</v>
      </c>
      <c r="I288" s="19"/>
      <c r="J288" s="19"/>
    </row>
    <row r="289" spans="1:10" ht="18" customHeight="1">
      <c r="A289" s="19"/>
      <c r="B289" s="11" t="s">
        <v>447</v>
      </c>
      <c r="C289" s="171"/>
      <c r="D289" s="11" t="s">
        <v>449</v>
      </c>
      <c r="E289" s="57">
        <v>65</v>
      </c>
      <c r="F289" s="61" t="s">
        <v>52</v>
      </c>
      <c r="G289" s="136"/>
      <c r="H289" s="62">
        <f t="shared" si="7"/>
        <v>0</v>
      </c>
      <c r="I289" s="19"/>
      <c r="J289" s="19"/>
    </row>
    <row r="290" spans="1:10" ht="18" customHeight="1">
      <c r="A290" s="19"/>
      <c r="B290" s="11" t="s">
        <v>448</v>
      </c>
      <c r="C290" s="171"/>
      <c r="D290" s="11" t="s">
        <v>449</v>
      </c>
      <c r="E290" s="57">
        <v>65</v>
      </c>
      <c r="F290" s="61" t="s">
        <v>18</v>
      </c>
      <c r="G290" s="136"/>
      <c r="H290" s="62">
        <f t="shared" si="7"/>
        <v>0</v>
      </c>
      <c r="I290" s="19"/>
      <c r="J290" s="19"/>
    </row>
    <row r="291" spans="1:10" ht="18" customHeight="1">
      <c r="A291" s="19"/>
      <c r="B291" s="119" t="s">
        <v>450</v>
      </c>
      <c r="C291" s="213" t="s">
        <v>639</v>
      </c>
      <c r="D291" s="119" t="s">
        <v>21</v>
      </c>
      <c r="E291" s="121">
        <v>60</v>
      </c>
      <c r="F291" s="118" t="s">
        <v>49</v>
      </c>
      <c r="G291" s="141"/>
      <c r="H291" s="59">
        <f t="shared" si="7"/>
        <v>0</v>
      </c>
      <c r="I291" s="19"/>
      <c r="J291" s="19"/>
    </row>
    <row r="292" spans="1:10" ht="18" customHeight="1">
      <c r="A292" s="19"/>
      <c r="B292" s="116" t="s">
        <v>451</v>
      </c>
      <c r="C292" s="175"/>
      <c r="D292" s="116" t="s">
        <v>21</v>
      </c>
      <c r="E292" s="120">
        <v>60</v>
      </c>
      <c r="F292" s="117" t="s">
        <v>50</v>
      </c>
      <c r="G292" s="140"/>
      <c r="H292" s="59">
        <f t="shared" si="7"/>
        <v>0</v>
      </c>
      <c r="I292" s="19"/>
      <c r="J292" s="19"/>
    </row>
    <row r="293" spans="1:10" ht="18" customHeight="1">
      <c r="A293" s="19"/>
      <c r="B293" s="116" t="s">
        <v>452</v>
      </c>
      <c r="C293" s="175"/>
      <c r="D293" s="116" t="s">
        <v>21</v>
      </c>
      <c r="E293" s="120">
        <v>60</v>
      </c>
      <c r="F293" s="117" t="s">
        <v>51</v>
      </c>
      <c r="G293" s="140"/>
      <c r="H293" s="59">
        <f t="shared" si="7"/>
        <v>0</v>
      </c>
      <c r="I293" s="19"/>
      <c r="J293" s="19"/>
    </row>
    <row r="294" spans="1:10" ht="18" customHeight="1">
      <c r="A294" s="19"/>
      <c r="B294" s="116" t="s">
        <v>453</v>
      </c>
      <c r="C294" s="175"/>
      <c r="D294" s="116" t="s">
        <v>21</v>
      </c>
      <c r="E294" s="120">
        <v>60</v>
      </c>
      <c r="F294" s="117" t="s">
        <v>52</v>
      </c>
      <c r="G294" s="140"/>
      <c r="H294" s="59">
        <f t="shared" si="7"/>
        <v>0</v>
      </c>
      <c r="I294" s="19"/>
      <c r="J294" s="19"/>
    </row>
    <row r="295" spans="1:10" ht="18" customHeight="1">
      <c r="A295" s="19"/>
      <c r="B295" s="116" t="s">
        <v>454</v>
      </c>
      <c r="C295" s="175"/>
      <c r="D295" s="116" t="s">
        <v>21</v>
      </c>
      <c r="E295" s="120">
        <v>60</v>
      </c>
      <c r="F295" s="117" t="s">
        <v>18</v>
      </c>
      <c r="G295" s="140"/>
      <c r="H295" s="59">
        <f t="shared" si="7"/>
        <v>0</v>
      </c>
      <c r="I295" s="19"/>
      <c r="J295" s="19"/>
    </row>
    <row r="296" spans="1:10" ht="18" customHeight="1">
      <c r="A296" s="19"/>
      <c r="B296" s="11" t="s">
        <v>455</v>
      </c>
      <c r="C296" s="175"/>
      <c r="D296" s="11" t="s">
        <v>24</v>
      </c>
      <c r="E296" s="94">
        <v>60</v>
      </c>
      <c r="F296" s="101" t="s">
        <v>49</v>
      </c>
      <c r="G296" s="135"/>
      <c r="H296" s="59">
        <f t="shared" si="7"/>
        <v>0</v>
      </c>
      <c r="I296" s="19"/>
      <c r="J296" s="19"/>
    </row>
    <row r="297" spans="1:10" ht="18" customHeight="1">
      <c r="A297" s="19"/>
      <c r="B297" s="11" t="s">
        <v>456</v>
      </c>
      <c r="C297" s="175"/>
      <c r="D297" s="11" t="s">
        <v>24</v>
      </c>
      <c r="E297" s="94">
        <v>60</v>
      </c>
      <c r="F297" s="101" t="s">
        <v>50</v>
      </c>
      <c r="G297" s="135"/>
      <c r="H297" s="59">
        <f t="shared" si="7"/>
        <v>0</v>
      </c>
      <c r="I297" s="19"/>
      <c r="J297" s="19"/>
    </row>
    <row r="298" spans="1:10" ht="18" customHeight="1">
      <c r="A298" s="19"/>
      <c r="B298" s="11" t="s">
        <v>457</v>
      </c>
      <c r="C298" s="175"/>
      <c r="D298" s="11" t="s">
        <v>24</v>
      </c>
      <c r="E298" s="94">
        <v>60</v>
      </c>
      <c r="F298" s="101" t="s">
        <v>51</v>
      </c>
      <c r="G298" s="135"/>
      <c r="H298" s="59">
        <f t="shared" si="7"/>
        <v>0</v>
      </c>
      <c r="I298" s="19"/>
      <c r="J298" s="19"/>
    </row>
    <row r="299" spans="1:10" ht="18" customHeight="1">
      <c r="A299" s="19"/>
      <c r="B299" s="11" t="s">
        <v>458</v>
      </c>
      <c r="C299" s="175"/>
      <c r="D299" s="11" t="s">
        <v>24</v>
      </c>
      <c r="E299" s="94">
        <v>60</v>
      </c>
      <c r="F299" s="101" t="s">
        <v>52</v>
      </c>
      <c r="G299" s="135"/>
      <c r="H299" s="59">
        <f t="shared" si="7"/>
        <v>0</v>
      </c>
      <c r="I299" s="19"/>
      <c r="J299" s="19"/>
    </row>
    <row r="300" spans="1:10" ht="18" customHeight="1">
      <c r="A300" s="19"/>
      <c r="B300" s="11" t="s">
        <v>459</v>
      </c>
      <c r="C300" s="175"/>
      <c r="D300" s="11" t="s">
        <v>24</v>
      </c>
      <c r="E300" s="102">
        <v>60</v>
      </c>
      <c r="F300" s="101" t="s">
        <v>18</v>
      </c>
      <c r="G300" s="135"/>
      <c r="H300" s="59">
        <f t="shared" si="7"/>
        <v>0</v>
      </c>
      <c r="I300" s="19"/>
      <c r="J300" s="19"/>
    </row>
    <row r="301" spans="1:10" ht="18" customHeight="1">
      <c r="A301" s="19"/>
      <c r="B301" s="116" t="s">
        <v>460</v>
      </c>
      <c r="C301" s="172" t="s">
        <v>640</v>
      </c>
      <c r="D301" s="116" t="s">
        <v>41</v>
      </c>
      <c r="E301" s="120">
        <v>60</v>
      </c>
      <c r="F301" s="117" t="s">
        <v>49</v>
      </c>
      <c r="G301" s="140"/>
      <c r="H301" s="59">
        <f t="shared" si="7"/>
        <v>0</v>
      </c>
      <c r="I301" s="19"/>
      <c r="J301" s="19"/>
    </row>
    <row r="302" spans="1:10" ht="18" customHeight="1">
      <c r="A302" s="19"/>
      <c r="B302" s="116" t="s">
        <v>461</v>
      </c>
      <c r="C302" s="173"/>
      <c r="D302" s="116" t="s">
        <v>41</v>
      </c>
      <c r="E302" s="120">
        <v>60</v>
      </c>
      <c r="F302" s="117" t="s">
        <v>50</v>
      </c>
      <c r="G302" s="140"/>
      <c r="H302" s="59">
        <f t="shared" si="7"/>
        <v>0</v>
      </c>
      <c r="I302" s="19"/>
      <c r="J302" s="19"/>
    </row>
    <row r="303" spans="1:10" ht="18" customHeight="1">
      <c r="A303" s="19"/>
      <c r="B303" s="116" t="s">
        <v>462</v>
      </c>
      <c r="C303" s="173"/>
      <c r="D303" s="116" t="s">
        <v>41</v>
      </c>
      <c r="E303" s="120">
        <v>60</v>
      </c>
      <c r="F303" s="117" t="s">
        <v>51</v>
      </c>
      <c r="G303" s="140"/>
      <c r="H303" s="59">
        <f t="shared" si="7"/>
        <v>0</v>
      </c>
      <c r="I303" s="19"/>
      <c r="J303" s="19"/>
    </row>
    <row r="304" spans="1:10" ht="18" customHeight="1">
      <c r="A304" s="19"/>
      <c r="B304" s="116" t="s">
        <v>463</v>
      </c>
      <c r="C304" s="173"/>
      <c r="D304" s="116" t="s">
        <v>41</v>
      </c>
      <c r="E304" s="120">
        <v>60</v>
      </c>
      <c r="F304" s="117" t="s">
        <v>52</v>
      </c>
      <c r="G304" s="140"/>
      <c r="H304" s="59">
        <f t="shared" si="7"/>
        <v>0</v>
      </c>
      <c r="I304" s="19"/>
      <c r="J304" s="19"/>
    </row>
    <row r="305" spans="1:10" ht="18" customHeight="1">
      <c r="A305" s="19"/>
      <c r="B305" s="116" t="s">
        <v>464</v>
      </c>
      <c r="C305" s="173"/>
      <c r="D305" s="116" t="s">
        <v>41</v>
      </c>
      <c r="E305" s="120">
        <v>60</v>
      </c>
      <c r="F305" s="117" t="s">
        <v>18</v>
      </c>
      <c r="G305" s="140"/>
      <c r="H305" s="59">
        <f t="shared" si="7"/>
        <v>0</v>
      </c>
      <c r="I305" s="19"/>
      <c r="J305" s="19"/>
    </row>
    <row r="306" spans="1:10" ht="18" customHeight="1">
      <c r="A306" s="19"/>
      <c r="B306" s="11" t="s">
        <v>465</v>
      </c>
      <c r="C306" s="173"/>
      <c r="D306" s="11" t="s">
        <v>38</v>
      </c>
      <c r="E306" s="27">
        <v>60</v>
      </c>
      <c r="F306" s="61" t="s">
        <v>49</v>
      </c>
      <c r="G306" s="136"/>
      <c r="H306" s="59">
        <f t="shared" si="7"/>
        <v>0</v>
      </c>
      <c r="I306" s="19"/>
      <c r="J306" s="19"/>
    </row>
    <row r="307" spans="1:10" ht="18" customHeight="1">
      <c r="A307" s="19"/>
      <c r="B307" s="11" t="s">
        <v>466</v>
      </c>
      <c r="C307" s="173"/>
      <c r="D307" s="11" t="s">
        <v>38</v>
      </c>
      <c r="E307" s="27">
        <v>60</v>
      </c>
      <c r="F307" s="61" t="s">
        <v>50</v>
      </c>
      <c r="G307" s="136"/>
      <c r="H307" s="59">
        <f t="shared" si="7"/>
        <v>0</v>
      </c>
      <c r="I307" s="19"/>
      <c r="J307" s="19"/>
    </row>
    <row r="308" spans="1:10" ht="18" customHeight="1">
      <c r="A308" s="19"/>
      <c r="B308" s="11" t="s">
        <v>467</v>
      </c>
      <c r="C308" s="173"/>
      <c r="D308" s="11" t="s">
        <v>38</v>
      </c>
      <c r="E308" s="27">
        <v>60</v>
      </c>
      <c r="F308" s="61" t="s">
        <v>51</v>
      </c>
      <c r="G308" s="136"/>
      <c r="H308" s="59">
        <f t="shared" si="7"/>
        <v>0</v>
      </c>
      <c r="I308" s="19"/>
      <c r="J308" s="19"/>
    </row>
    <row r="309" spans="1:10" ht="18" customHeight="1">
      <c r="A309" s="19"/>
      <c r="B309" s="11" t="s">
        <v>468</v>
      </c>
      <c r="C309" s="173"/>
      <c r="D309" s="11" t="s">
        <v>38</v>
      </c>
      <c r="E309" s="27">
        <v>60</v>
      </c>
      <c r="F309" s="61" t="s">
        <v>52</v>
      </c>
      <c r="G309" s="136"/>
      <c r="H309" s="59">
        <f t="shared" si="7"/>
        <v>0</v>
      </c>
      <c r="I309" s="19"/>
      <c r="J309" s="19"/>
    </row>
    <row r="310" spans="1:10" ht="18" customHeight="1">
      <c r="A310" s="19"/>
      <c r="B310" s="11" t="s">
        <v>469</v>
      </c>
      <c r="C310" s="173"/>
      <c r="D310" s="11" t="s">
        <v>38</v>
      </c>
      <c r="E310" s="27">
        <v>60</v>
      </c>
      <c r="F310" s="61" t="s">
        <v>18</v>
      </c>
      <c r="G310" s="136"/>
      <c r="H310" s="59">
        <f t="shared" si="7"/>
        <v>0</v>
      </c>
      <c r="I310" s="19"/>
      <c r="J310" s="19"/>
    </row>
    <row r="311" spans="1:10" ht="18" customHeight="1">
      <c r="A311" s="19"/>
      <c r="B311" s="116" t="s">
        <v>470</v>
      </c>
      <c r="C311" s="174" t="s">
        <v>95</v>
      </c>
      <c r="D311" s="116" t="s">
        <v>475</v>
      </c>
      <c r="E311" s="120">
        <v>65</v>
      </c>
      <c r="F311" s="117" t="s">
        <v>49</v>
      </c>
      <c r="G311" s="140"/>
      <c r="H311" s="59">
        <f t="shared" si="7"/>
        <v>0</v>
      </c>
      <c r="I311" s="19"/>
      <c r="J311" s="19"/>
    </row>
    <row r="312" spans="1:10" ht="18" customHeight="1">
      <c r="A312" s="19"/>
      <c r="B312" s="116" t="s">
        <v>471</v>
      </c>
      <c r="C312" s="175"/>
      <c r="D312" s="116" t="s">
        <v>475</v>
      </c>
      <c r="E312" s="120">
        <v>65</v>
      </c>
      <c r="F312" s="117" t="s">
        <v>50</v>
      </c>
      <c r="G312" s="140"/>
      <c r="H312" s="59">
        <f t="shared" si="7"/>
        <v>0</v>
      </c>
      <c r="I312" s="19"/>
      <c r="J312" s="19"/>
    </row>
    <row r="313" spans="1:10" ht="18" customHeight="1">
      <c r="A313" s="19"/>
      <c r="B313" s="116" t="s">
        <v>472</v>
      </c>
      <c r="C313" s="175"/>
      <c r="D313" s="116" t="s">
        <v>475</v>
      </c>
      <c r="E313" s="120">
        <v>65</v>
      </c>
      <c r="F313" s="117" t="s">
        <v>51</v>
      </c>
      <c r="G313" s="140"/>
      <c r="H313" s="59">
        <f t="shared" si="7"/>
        <v>0</v>
      </c>
      <c r="I313" s="19"/>
      <c r="J313" s="19"/>
    </row>
    <row r="314" spans="1:10" ht="18" customHeight="1">
      <c r="A314" s="19"/>
      <c r="B314" s="116" t="s">
        <v>473</v>
      </c>
      <c r="C314" s="175"/>
      <c r="D314" s="116" t="s">
        <v>475</v>
      </c>
      <c r="E314" s="120">
        <v>65</v>
      </c>
      <c r="F314" s="117" t="s">
        <v>52</v>
      </c>
      <c r="G314" s="140"/>
      <c r="H314" s="59">
        <f t="shared" si="7"/>
        <v>0</v>
      </c>
      <c r="I314" s="19"/>
      <c r="J314" s="19"/>
    </row>
    <row r="315" spans="1:10" ht="18" customHeight="1">
      <c r="A315" s="19"/>
      <c r="B315" s="116" t="s">
        <v>474</v>
      </c>
      <c r="C315" s="175"/>
      <c r="D315" s="116" t="s">
        <v>475</v>
      </c>
      <c r="E315" s="120">
        <v>65</v>
      </c>
      <c r="F315" s="117" t="s">
        <v>18</v>
      </c>
      <c r="G315" s="140"/>
      <c r="H315" s="59">
        <f t="shared" si="7"/>
        <v>0</v>
      </c>
      <c r="I315" s="19"/>
      <c r="J315" s="19"/>
    </row>
    <row r="316" spans="1:10" ht="18" customHeight="1">
      <c r="A316" s="19"/>
      <c r="B316" s="11" t="s">
        <v>477</v>
      </c>
      <c r="C316" s="170" t="s">
        <v>476</v>
      </c>
      <c r="D316" s="11" t="s">
        <v>487</v>
      </c>
      <c r="E316" s="94">
        <v>55</v>
      </c>
      <c r="F316" s="61" t="s">
        <v>49</v>
      </c>
      <c r="G316" s="136"/>
      <c r="H316" s="59">
        <f t="shared" si="7"/>
        <v>0</v>
      </c>
      <c r="I316" s="19"/>
      <c r="J316" s="19"/>
    </row>
    <row r="317" spans="1:10" ht="18" customHeight="1">
      <c r="A317" s="19"/>
      <c r="B317" s="11" t="s">
        <v>478</v>
      </c>
      <c r="C317" s="171"/>
      <c r="D317" s="11" t="s">
        <v>487</v>
      </c>
      <c r="E317" s="94">
        <v>55</v>
      </c>
      <c r="F317" s="61" t="s">
        <v>50</v>
      </c>
      <c r="G317" s="136"/>
      <c r="H317" s="59">
        <f t="shared" si="7"/>
        <v>0</v>
      </c>
      <c r="I317" s="19"/>
      <c r="J317" s="19"/>
    </row>
    <row r="318" spans="1:10" ht="18" customHeight="1">
      <c r="A318" s="19"/>
      <c r="B318" s="11" t="s">
        <v>479</v>
      </c>
      <c r="C318" s="171"/>
      <c r="D318" s="11" t="s">
        <v>487</v>
      </c>
      <c r="E318" s="94">
        <v>55</v>
      </c>
      <c r="F318" s="61" t="s">
        <v>51</v>
      </c>
      <c r="G318" s="136"/>
      <c r="H318" s="59">
        <f t="shared" si="7"/>
        <v>0</v>
      </c>
      <c r="I318" s="19"/>
      <c r="J318" s="19"/>
    </row>
    <row r="319" spans="1:10" ht="18" customHeight="1">
      <c r="A319" s="19"/>
      <c r="B319" s="11" t="s">
        <v>480</v>
      </c>
      <c r="C319" s="171"/>
      <c r="D319" s="11" t="s">
        <v>487</v>
      </c>
      <c r="E319" s="94">
        <v>55</v>
      </c>
      <c r="F319" s="61" t="s">
        <v>52</v>
      </c>
      <c r="G319" s="136"/>
      <c r="H319" s="59">
        <f t="shared" si="7"/>
        <v>0</v>
      </c>
      <c r="I319" s="19"/>
      <c r="J319" s="19"/>
    </row>
    <row r="320" spans="1:10" ht="18" customHeight="1">
      <c r="A320" s="19"/>
      <c r="B320" s="11" t="s">
        <v>481</v>
      </c>
      <c r="C320" s="171"/>
      <c r="D320" s="11" t="s">
        <v>487</v>
      </c>
      <c r="E320" s="94">
        <v>55</v>
      </c>
      <c r="F320" s="61" t="s">
        <v>18</v>
      </c>
      <c r="G320" s="136"/>
      <c r="H320" s="59">
        <f t="shared" si="7"/>
        <v>0</v>
      </c>
      <c r="I320" s="19"/>
      <c r="J320" s="19"/>
    </row>
    <row r="321" spans="1:10" ht="18" customHeight="1">
      <c r="A321" s="19"/>
      <c r="B321" s="13" t="s">
        <v>482</v>
      </c>
      <c r="C321" s="171"/>
      <c r="D321" s="116" t="s">
        <v>488</v>
      </c>
      <c r="E321" s="120">
        <v>55</v>
      </c>
      <c r="F321" s="117" t="s">
        <v>49</v>
      </c>
      <c r="G321" s="140"/>
      <c r="H321" s="59">
        <f t="shared" si="7"/>
        <v>0</v>
      </c>
      <c r="I321" s="19"/>
      <c r="J321" s="19"/>
    </row>
    <row r="322" spans="1:10" ht="18" customHeight="1">
      <c r="A322" s="19"/>
      <c r="B322" s="13" t="s">
        <v>483</v>
      </c>
      <c r="C322" s="171"/>
      <c r="D322" s="116" t="s">
        <v>488</v>
      </c>
      <c r="E322" s="120">
        <v>55</v>
      </c>
      <c r="F322" s="117" t="s">
        <v>50</v>
      </c>
      <c r="G322" s="140"/>
      <c r="H322" s="59">
        <f t="shared" si="7"/>
        <v>0</v>
      </c>
      <c r="I322" s="19"/>
      <c r="J322" s="19"/>
    </row>
    <row r="323" spans="1:10" ht="18" customHeight="1">
      <c r="A323" s="19"/>
      <c r="B323" s="13" t="s">
        <v>484</v>
      </c>
      <c r="C323" s="171"/>
      <c r="D323" s="116" t="s">
        <v>488</v>
      </c>
      <c r="E323" s="120">
        <v>55</v>
      </c>
      <c r="F323" s="117" t="s">
        <v>51</v>
      </c>
      <c r="G323" s="140"/>
      <c r="H323" s="59">
        <f t="shared" si="7"/>
        <v>0</v>
      </c>
      <c r="I323" s="19"/>
      <c r="J323" s="19"/>
    </row>
    <row r="324" spans="1:10" ht="18" customHeight="1">
      <c r="A324" s="19"/>
      <c r="B324" s="13" t="s">
        <v>485</v>
      </c>
      <c r="C324" s="171"/>
      <c r="D324" s="116" t="s">
        <v>488</v>
      </c>
      <c r="E324" s="120">
        <v>55</v>
      </c>
      <c r="F324" s="117" t="s">
        <v>52</v>
      </c>
      <c r="G324" s="140"/>
      <c r="H324" s="59">
        <f t="shared" si="7"/>
        <v>0</v>
      </c>
      <c r="I324" s="19"/>
      <c r="J324" s="19"/>
    </row>
    <row r="325" spans="1:10" ht="18" customHeight="1">
      <c r="A325" s="19"/>
      <c r="B325" s="13" t="s">
        <v>486</v>
      </c>
      <c r="C325" s="171"/>
      <c r="D325" s="116" t="s">
        <v>488</v>
      </c>
      <c r="E325" s="120">
        <v>55</v>
      </c>
      <c r="F325" s="117" t="s">
        <v>18</v>
      </c>
      <c r="G325" s="140"/>
      <c r="H325" s="59">
        <f t="shared" si="7"/>
        <v>0</v>
      </c>
      <c r="I325" s="19"/>
      <c r="J325" s="19"/>
    </row>
    <row r="326" spans="1:10" ht="18" customHeight="1">
      <c r="A326" s="19"/>
      <c r="B326" s="11" t="s">
        <v>490</v>
      </c>
      <c r="C326" s="174" t="s">
        <v>489</v>
      </c>
      <c r="D326" s="11" t="s">
        <v>495</v>
      </c>
      <c r="E326" s="94">
        <v>55</v>
      </c>
      <c r="F326" s="101" t="s">
        <v>49</v>
      </c>
      <c r="G326" s="135"/>
      <c r="H326" s="59">
        <f t="shared" si="7"/>
        <v>0</v>
      </c>
      <c r="I326" s="19"/>
      <c r="J326" s="19"/>
    </row>
    <row r="327" spans="1:10" ht="18" customHeight="1">
      <c r="A327" s="19"/>
      <c r="B327" s="11" t="s">
        <v>491</v>
      </c>
      <c r="C327" s="175"/>
      <c r="D327" s="11" t="s">
        <v>495</v>
      </c>
      <c r="E327" s="94">
        <v>55</v>
      </c>
      <c r="F327" s="101" t="s">
        <v>50</v>
      </c>
      <c r="G327" s="135"/>
      <c r="H327" s="59">
        <f t="shared" si="7"/>
        <v>0</v>
      </c>
      <c r="I327" s="19"/>
      <c r="J327" s="19"/>
    </row>
    <row r="328" spans="1:10" ht="18" customHeight="1">
      <c r="A328" s="19"/>
      <c r="B328" s="11" t="s">
        <v>492</v>
      </c>
      <c r="C328" s="175"/>
      <c r="D328" s="11" t="s">
        <v>495</v>
      </c>
      <c r="E328" s="94">
        <v>55</v>
      </c>
      <c r="F328" s="101" t="s">
        <v>51</v>
      </c>
      <c r="G328" s="135"/>
      <c r="H328" s="59">
        <f t="shared" si="7"/>
        <v>0</v>
      </c>
      <c r="I328" s="19"/>
      <c r="J328" s="19"/>
    </row>
    <row r="329" spans="1:10" ht="18" customHeight="1">
      <c r="A329" s="19"/>
      <c r="B329" s="11" t="s">
        <v>493</v>
      </c>
      <c r="C329" s="175"/>
      <c r="D329" s="11" t="s">
        <v>495</v>
      </c>
      <c r="E329" s="94">
        <v>55</v>
      </c>
      <c r="F329" s="101" t="s">
        <v>52</v>
      </c>
      <c r="G329" s="135"/>
      <c r="H329" s="59">
        <f t="shared" si="7"/>
        <v>0</v>
      </c>
      <c r="I329" s="19"/>
      <c r="J329" s="19"/>
    </row>
    <row r="330" spans="1:10" ht="18" customHeight="1">
      <c r="A330" s="19"/>
      <c r="B330" s="11" t="s">
        <v>494</v>
      </c>
      <c r="C330" s="175"/>
      <c r="D330" s="11" t="s">
        <v>495</v>
      </c>
      <c r="E330" s="94">
        <v>55</v>
      </c>
      <c r="F330" s="101" t="s">
        <v>18</v>
      </c>
      <c r="G330" s="135"/>
      <c r="H330" s="59">
        <f t="shared" si="7"/>
        <v>0</v>
      </c>
      <c r="I330" s="19"/>
      <c r="J330" s="19"/>
    </row>
    <row r="331" spans="1:10" ht="18" customHeight="1">
      <c r="A331" s="19"/>
      <c r="B331" s="116" t="s">
        <v>496</v>
      </c>
      <c r="C331" s="172" t="s">
        <v>501</v>
      </c>
      <c r="D331" s="116" t="s">
        <v>78</v>
      </c>
      <c r="E331" s="120">
        <v>60</v>
      </c>
      <c r="F331" s="117" t="s">
        <v>49</v>
      </c>
      <c r="G331" s="140"/>
      <c r="H331" s="59">
        <f t="shared" ref="H331:H365" si="8">SUM(E331*G331)</f>
        <v>0</v>
      </c>
      <c r="I331" s="19"/>
      <c r="J331" s="19"/>
    </row>
    <row r="332" spans="1:10" ht="18" customHeight="1">
      <c r="A332" s="19"/>
      <c r="B332" s="116" t="s">
        <v>497</v>
      </c>
      <c r="C332" s="173"/>
      <c r="D332" s="116" t="s">
        <v>78</v>
      </c>
      <c r="E332" s="120">
        <v>60</v>
      </c>
      <c r="F332" s="117" t="s">
        <v>50</v>
      </c>
      <c r="G332" s="140"/>
      <c r="H332" s="59">
        <f t="shared" si="8"/>
        <v>0</v>
      </c>
      <c r="I332" s="19"/>
      <c r="J332" s="19"/>
    </row>
    <row r="333" spans="1:10" ht="18" customHeight="1">
      <c r="A333" s="19"/>
      <c r="B333" s="116" t="s">
        <v>498</v>
      </c>
      <c r="C333" s="173"/>
      <c r="D333" s="116" t="s">
        <v>78</v>
      </c>
      <c r="E333" s="120">
        <v>60</v>
      </c>
      <c r="F333" s="117" t="s">
        <v>51</v>
      </c>
      <c r="G333" s="140"/>
      <c r="H333" s="59">
        <f t="shared" si="8"/>
        <v>0</v>
      </c>
      <c r="I333" s="19"/>
      <c r="J333" s="19"/>
    </row>
    <row r="334" spans="1:10" ht="18" customHeight="1">
      <c r="A334" s="19"/>
      <c r="B334" s="116" t="s">
        <v>499</v>
      </c>
      <c r="C334" s="173"/>
      <c r="D334" s="116" t="s">
        <v>78</v>
      </c>
      <c r="E334" s="120">
        <v>60</v>
      </c>
      <c r="F334" s="117" t="s">
        <v>52</v>
      </c>
      <c r="G334" s="140"/>
      <c r="H334" s="59">
        <f t="shared" si="8"/>
        <v>0</v>
      </c>
      <c r="I334" s="19"/>
      <c r="J334" s="19"/>
    </row>
    <row r="335" spans="1:10" ht="18" customHeight="1">
      <c r="A335" s="19"/>
      <c r="B335" s="116" t="s">
        <v>500</v>
      </c>
      <c r="C335" s="173"/>
      <c r="D335" s="116" t="s">
        <v>78</v>
      </c>
      <c r="E335" s="120">
        <v>60</v>
      </c>
      <c r="F335" s="117" t="s">
        <v>18</v>
      </c>
      <c r="G335" s="140"/>
      <c r="H335" s="59">
        <f t="shared" si="8"/>
        <v>0</v>
      </c>
      <c r="I335" s="19"/>
      <c r="J335" s="19"/>
    </row>
    <row r="336" spans="1:10" ht="18" customHeight="1">
      <c r="A336" s="19"/>
      <c r="B336" s="11" t="s">
        <v>503</v>
      </c>
      <c r="C336" s="174" t="s">
        <v>502</v>
      </c>
      <c r="D336" s="11" t="s">
        <v>42</v>
      </c>
      <c r="E336" s="94">
        <v>55</v>
      </c>
      <c r="F336" s="61" t="s">
        <v>49</v>
      </c>
      <c r="G336" s="136"/>
      <c r="H336" s="59">
        <f t="shared" si="8"/>
        <v>0</v>
      </c>
      <c r="I336" s="19"/>
      <c r="J336" s="19"/>
    </row>
    <row r="337" spans="1:10" ht="18" customHeight="1">
      <c r="A337" s="19"/>
      <c r="B337" s="11" t="s">
        <v>504</v>
      </c>
      <c r="C337" s="175"/>
      <c r="D337" s="11" t="s">
        <v>42</v>
      </c>
      <c r="E337" s="94">
        <v>55</v>
      </c>
      <c r="F337" s="61" t="s">
        <v>50</v>
      </c>
      <c r="G337" s="136"/>
      <c r="H337" s="59">
        <f t="shared" si="8"/>
        <v>0</v>
      </c>
      <c r="I337" s="19"/>
      <c r="J337" s="19"/>
    </row>
    <row r="338" spans="1:10" ht="18" customHeight="1">
      <c r="A338" s="19"/>
      <c r="B338" s="11" t="s">
        <v>505</v>
      </c>
      <c r="C338" s="175"/>
      <c r="D338" s="11" t="s">
        <v>42</v>
      </c>
      <c r="E338" s="94">
        <v>55</v>
      </c>
      <c r="F338" s="61" t="s">
        <v>51</v>
      </c>
      <c r="G338" s="136"/>
      <c r="H338" s="59">
        <f t="shared" si="8"/>
        <v>0</v>
      </c>
      <c r="I338" s="19"/>
      <c r="J338" s="19"/>
    </row>
    <row r="339" spans="1:10" ht="18" customHeight="1">
      <c r="A339" s="19"/>
      <c r="B339" s="11" t="s">
        <v>506</v>
      </c>
      <c r="C339" s="175"/>
      <c r="D339" s="11" t="s">
        <v>42</v>
      </c>
      <c r="E339" s="94">
        <v>55</v>
      </c>
      <c r="F339" s="61" t="s">
        <v>52</v>
      </c>
      <c r="G339" s="136"/>
      <c r="H339" s="59">
        <f t="shared" si="8"/>
        <v>0</v>
      </c>
      <c r="I339" s="19"/>
      <c r="J339" s="19"/>
    </row>
    <row r="340" spans="1:10" ht="18" customHeight="1">
      <c r="A340" s="19"/>
      <c r="B340" s="11" t="s">
        <v>507</v>
      </c>
      <c r="C340" s="175"/>
      <c r="D340" s="11" t="s">
        <v>42</v>
      </c>
      <c r="E340" s="94">
        <v>55</v>
      </c>
      <c r="F340" s="61" t="s">
        <v>18</v>
      </c>
      <c r="G340" s="136"/>
      <c r="H340" s="59">
        <f t="shared" si="8"/>
        <v>0</v>
      </c>
      <c r="I340" s="19"/>
      <c r="J340" s="19"/>
    </row>
    <row r="341" spans="1:10" ht="18" customHeight="1">
      <c r="A341" s="19"/>
      <c r="B341" s="116" t="s">
        <v>508</v>
      </c>
      <c r="C341" s="175"/>
      <c r="D341" s="116" t="s">
        <v>513</v>
      </c>
      <c r="E341" s="120">
        <v>55</v>
      </c>
      <c r="F341" s="117" t="s">
        <v>49</v>
      </c>
      <c r="G341" s="140"/>
      <c r="H341" s="59">
        <f t="shared" si="8"/>
        <v>0</v>
      </c>
      <c r="I341" s="19"/>
      <c r="J341" s="19"/>
    </row>
    <row r="342" spans="1:10" ht="18" customHeight="1">
      <c r="A342" s="19"/>
      <c r="B342" s="116" t="s">
        <v>509</v>
      </c>
      <c r="C342" s="175"/>
      <c r="D342" s="116" t="s">
        <v>513</v>
      </c>
      <c r="E342" s="120">
        <v>55</v>
      </c>
      <c r="F342" s="117" t="s">
        <v>50</v>
      </c>
      <c r="G342" s="140"/>
      <c r="H342" s="59">
        <f t="shared" si="8"/>
        <v>0</v>
      </c>
      <c r="I342" s="19"/>
      <c r="J342" s="19"/>
    </row>
    <row r="343" spans="1:10" ht="18" customHeight="1">
      <c r="A343" s="19"/>
      <c r="B343" s="116" t="s">
        <v>510</v>
      </c>
      <c r="C343" s="175"/>
      <c r="D343" s="116" t="s">
        <v>513</v>
      </c>
      <c r="E343" s="120">
        <v>55</v>
      </c>
      <c r="F343" s="117" t="s">
        <v>51</v>
      </c>
      <c r="G343" s="140"/>
      <c r="H343" s="59">
        <f t="shared" si="8"/>
        <v>0</v>
      </c>
      <c r="I343" s="19"/>
      <c r="J343" s="19"/>
    </row>
    <row r="344" spans="1:10" ht="18" customHeight="1">
      <c r="A344" s="19"/>
      <c r="B344" s="116" t="s">
        <v>511</v>
      </c>
      <c r="C344" s="175"/>
      <c r="D344" s="116" t="s">
        <v>513</v>
      </c>
      <c r="E344" s="120">
        <v>55</v>
      </c>
      <c r="F344" s="117" t="s">
        <v>52</v>
      </c>
      <c r="G344" s="140"/>
      <c r="H344" s="59">
        <f t="shared" si="8"/>
        <v>0</v>
      </c>
      <c r="I344" s="19"/>
      <c r="J344" s="19"/>
    </row>
    <row r="345" spans="1:10" ht="18" customHeight="1">
      <c r="A345" s="19"/>
      <c r="B345" s="116" t="s">
        <v>512</v>
      </c>
      <c r="C345" s="175"/>
      <c r="D345" s="116" t="s">
        <v>513</v>
      </c>
      <c r="E345" s="120">
        <v>55</v>
      </c>
      <c r="F345" s="117" t="s">
        <v>18</v>
      </c>
      <c r="G345" s="140"/>
      <c r="H345" s="59">
        <f t="shared" si="8"/>
        <v>0</v>
      </c>
      <c r="I345" s="19"/>
      <c r="J345" s="19"/>
    </row>
    <row r="346" spans="1:10" ht="18" customHeight="1">
      <c r="A346" s="19"/>
      <c r="B346" s="11" t="s">
        <v>514</v>
      </c>
      <c r="C346" s="170" t="s">
        <v>524</v>
      </c>
      <c r="D346" s="11" t="s">
        <v>42</v>
      </c>
      <c r="E346" s="94">
        <v>60</v>
      </c>
      <c r="F346" s="61" t="s">
        <v>49</v>
      </c>
      <c r="G346" s="136"/>
      <c r="H346" s="59">
        <f t="shared" si="8"/>
        <v>0</v>
      </c>
      <c r="I346" s="19"/>
      <c r="J346" s="19"/>
    </row>
    <row r="347" spans="1:10" ht="18" customHeight="1">
      <c r="A347" s="19"/>
      <c r="B347" s="11" t="s">
        <v>515</v>
      </c>
      <c r="C347" s="171"/>
      <c r="D347" s="11" t="s">
        <v>42</v>
      </c>
      <c r="E347" s="94">
        <v>60</v>
      </c>
      <c r="F347" s="61" t="s">
        <v>50</v>
      </c>
      <c r="G347" s="136"/>
      <c r="H347" s="59">
        <f t="shared" si="8"/>
        <v>0</v>
      </c>
      <c r="I347" s="19"/>
      <c r="J347" s="19"/>
    </row>
    <row r="348" spans="1:10" ht="18" customHeight="1">
      <c r="A348" s="19"/>
      <c r="B348" s="11" t="s">
        <v>516</v>
      </c>
      <c r="C348" s="171"/>
      <c r="D348" s="11" t="s">
        <v>42</v>
      </c>
      <c r="E348" s="94">
        <v>60</v>
      </c>
      <c r="F348" s="61" t="s">
        <v>51</v>
      </c>
      <c r="G348" s="136"/>
      <c r="H348" s="59">
        <f t="shared" si="8"/>
        <v>0</v>
      </c>
      <c r="I348" s="19"/>
      <c r="J348" s="19"/>
    </row>
    <row r="349" spans="1:10" ht="18" customHeight="1">
      <c r="A349" s="19"/>
      <c r="B349" s="11" t="s">
        <v>517</v>
      </c>
      <c r="C349" s="171"/>
      <c r="D349" s="11" t="s">
        <v>42</v>
      </c>
      <c r="E349" s="94">
        <v>60</v>
      </c>
      <c r="F349" s="61" t="s">
        <v>52</v>
      </c>
      <c r="G349" s="136"/>
      <c r="H349" s="59">
        <f t="shared" si="8"/>
        <v>0</v>
      </c>
      <c r="I349" s="19"/>
      <c r="J349" s="19"/>
    </row>
    <row r="350" spans="1:10" ht="18" customHeight="1">
      <c r="A350" s="19"/>
      <c r="B350" s="11" t="s">
        <v>518</v>
      </c>
      <c r="C350" s="171"/>
      <c r="D350" s="11" t="s">
        <v>42</v>
      </c>
      <c r="E350" s="94">
        <v>60</v>
      </c>
      <c r="F350" s="61" t="s">
        <v>18</v>
      </c>
      <c r="G350" s="136"/>
      <c r="H350" s="59">
        <f t="shared" si="8"/>
        <v>0</v>
      </c>
      <c r="I350" s="19"/>
      <c r="J350" s="19"/>
    </row>
    <row r="351" spans="1:10" ht="18" customHeight="1">
      <c r="A351" s="19"/>
      <c r="B351" s="13" t="s">
        <v>519</v>
      </c>
      <c r="C351" s="171"/>
      <c r="D351" s="13" t="s">
        <v>475</v>
      </c>
      <c r="E351" s="52">
        <v>60</v>
      </c>
      <c r="F351" s="100" t="s">
        <v>49</v>
      </c>
      <c r="G351" s="137"/>
      <c r="H351" s="59">
        <f t="shared" si="8"/>
        <v>0</v>
      </c>
      <c r="I351" s="19"/>
      <c r="J351" s="19"/>
    </row>
    <row r="352" spans="1:10" ht="18" customHeight="1">
      <c r="A352" s="19"/>
      <c r="B352" s="13" t="s">
        <v>520</v>
      </c>
      <c r="C352" s="171"/>
      <c r="D352" s="13" t="s">
        <v>475</v>
      </c>
      <c r="E352" s="52">
        <v>60</v>
      </c>
      <c r="F352" s="100" t="s">
        <v>50</v>
      </c>
      <c r="G352" s="137"/>
      <c r="H352" s="59">
        <f t="shared" si="8"/>
        <v>0</v>
      </c>
      <c r="I352" s="19"/>
      <c r="J352" s="19"/>
    </row>
    <row r="353" spans="1:10" ht="18" customHeight="1">
      <c r="A353" s="19"/>
      <c r="B353" s="13" t="s">
        <v>521</v>
      </c>
      <c r="C353" s="171"/>
      <c r="D353" s="13" t="s">
        <v>475</v>
      </c>
      <c r="E353" s="52">
        <v>60</v>
      </c>
      <c r="F353" s="100" t="s">
        <v>51</v>
      </c>
      <c r="G353" s="137"/>
      <c r="H353" s="59">
        <f t="shared" si="8"/>
        <v>0</v>
      </c>
      <c r="I353" s="19"/>
      <c r="J353" s="19"/>
    </row>
    <row r="354" spans="1:10" ht="18" customHeight="1">
      <c r="A354" s="19"/>
      <c r="B354" s="13" t="s">
        <v>522</v>
      </c>
      <c r="C354" s="171"/>
      <c r="D354" s="13" t="s">
        <v>475</v>
      </c>
      <c r="E354" s="52">
        <v>60</v>
      </c>
      <c r="F354" s="100" t="s">
        <v>52</v>
      </c>
      <c r="G354" s="137"/>
      <c r="H354" s="59">
        <f t="shared" si="8"/>
        <v>0</v>
      </c>
      <c r="I354" s="19"/>
      <c r="J354" s="19"/>
    </row>
    <row r="355" spans="1:10" ht="18" customHeight="1">
      <c r="A355" s="19"/>
      <c r="B355" s="13" t="s">
        <v>523</v>
      </c>
      <c r="C355" s="171"/>
      <c r="D355" s="13" t="s">
        <v>475</v>
      </c>
      <c r="E355" s="52">
        <v>60</v>
      </c>
      <c r="F355" s="100" t="s">
        <v>18</v>
      </c>
      <c r="G355" s="137"/>
      <c r="H355" s="59">
        <f t="shared" si="8"/>
        <v>0</v>
      </c>
      <c r="I355" s="19"/>
      <c r="J355" s="19"/>
    </row>
    <row r="356" spans="1:10" ht="18" customHeight="1">
      <c r="A356" s="19"/>
      <c r="B356" s="11" t="s">
        <v>526</v>
      </c>
      <c r="C356" s="174" t="s">
        <v>525</v>
      </c>
      <c r="D356" s="11" t="s">
        <v>21</v>
      </c>
      <c r="E356" s="94">
        <v>55</v>
      </c>
      <c r="F356" s="61" t="s">
        <v>49</v>
      </c>
      <c r="G356" s="136"/>
      <c r="H356" s="59">
        <f t="shared" si="8"/>
        <v>0</v>
      </c>
      <c r="I356" s="19"/>
      <c r="J356" s="19"/>
    </row>
    <row r="357" spans="1:10" ht="18" customHeight="1">
      <c r="A357" s="19"/>
      <c r="B357" s="11" t="s">
        <v>527</v>
      </c>
      <c r="C357" s="175"/>
      <c r="D357" s="11" t="s">
        <v>21</v>
      </c>
      <c r="E357" s="94">
        <v>55</v>
      </c>
      <c r="F357" s="61" t="s">
        <v>50</v>
      </c>
      <c r="G357" s="136"/>
      <c r="H357" s="59">
        <f t="shared" si="8"/>
        <v>0</v>
      </c>
      <c r="I357" s="19"/>
      <c r="J357" s="19"/>
    </row>
    <row r="358" spans="1:10" ht="18" customHeight="1">
      <c r="A358" s="19"/>
      <c r="B358" s="11" t="s">
        <v>528</v>
      </c>
      <c r="C358" s="175"/>
      <c r="D358" s="11" t="s">
        <v>21</v>
      </c>
      <c r="E358" s="94">
        <v>55</v>
      </c>
      <c r="F358" s="61" t="s">
        <v>51</v>
      </c>
      <c r="G358" s="136"/>
      <c r="H358" s="59">
        <f t="shared" si="8"/>
        <v>0</v>
      </c>
      <c r="I358" s="19"/>
      <c r="J358" s="19"/>
    </row>
    <row r="359" spans="1:10" ht="18" customHeight="1">
      <c r="A359" s="19"/>
      <c r="B359" s="11" t="s">
        <v>529</v>
      </c>
      <c r="C359" s="175"/>
      <c r="D359" s="11" t="s">
        <v>21</v>
      </c>
      <c r="E359" s="94">
        <v>55</v>
      </c>
      <c r="F359" s="61" t="s">
        <v>52</v>
      </c>
      <c r="G359" s="136"/>
      <c r="H359" s="59">
        <f t="shared" si="8"/>
        <v>0</v>
      </c>
      <c r="I359" s="19"/>
      <c r="J359" s="19"/>
    </row>
    <row r="360" spans="1:10" ht="18" customHeight="1">
      <c r="A360" s="19"/>
      <c r="B360" s="11" t="s">
        <v>530</v>
      </c>
      <c r="C360" s="175"/>
      <c r="D360" s="11" t="s">
        <v>21</v>
      </c>
      <c r="E360" s="94">
        <v>55</v>
      </c>
      <c r="F360" s="61" t="s">
        <v>18</v>
      </c>
      <c r="G360" s="136"/>
      <c r="H360" s="59">
        <f t="shared" si="8"/>
        <v>0</v>
      </c>
      <c r="I360" s="19"/>
      <c r="J360" s="19"/>
    </row>
    <row r="361" spans="1:10" ht="18" customHeight="1">
      <c r="A361" s="19"/>
      <c r="B361" s="13" t="s">
        <v>531</v>
      </c>
      <c r="C361" s="175"/>
      <c r="D361" s="13" t="s">
        <v>78</v>
      </c>
      <c r="E361" s="52">
        <v>55</v>
      </c>
      <c r="F361" s="100" t="s">
        <v>49</v>
      </c>
      <c r="G361" s="137"/>
      <c r="H361" s="59">
        <f t="shared" si="8"/>
        <v>0</v>
      </c>
      <c r="I361" s="19"/>
      <c r="J361" s="19"/>
    </row>
    <row r="362" spans="1:10" ht="18" customHeight="1">
      <c r="A362" s="19"/>
      <c r="B362" s="13" t="s">
        <v>532</v>
      </c>
      <c r="C362" s="175"/>
      <c r="D362" s="13" t="s">
        <v>78</v>
      </c>
      <c r="E362" s="52">
        <v>55</v>
      </c>
      <c r="F362" s="100" t="s">
        <v>50</v>
      </c>
      <c r="G362" s="137"/>
      <c r="H362" s="59">
        <f t="shared" si="8"/>
        <v>0</v>
      </c>
      <c r="I362" s="19"/>
      <c r="J362" s="19"/>
    </row>
    <row r="363" spans="1:10" ht="18" customHeight="1">
      <c r="A363" s="19"/>
      <c r="B363" s="13" t="s">
        <v>533</v>
      </c>
      <c r="C363" s="175"/>
      <c r="D363" s="13" t="s">
        <v>78</v>
      </c>
      <c r="E363" s="52">
        <v>55</v>
      </c>
      <c r="F363" s="100" t="s">
        <v>51</v>
      </c>
      <c r="G363" s="137"/>
      <c r="H363" s="59">
        <f t="shared" si="8"/>
        <v>0</v>
      </c>
      <c r="I363" s="19"/>
      <c r="J363" s="19"/>
    </row>
    <row r="364" spans="1:10" ht="18" customHeight="1">
      <c r="A364" s="19"/>
      <c r="B364" s="13" t="s">
        <v>534</v>
      </c>
      <c r="C364" s="175"/>
      <c r="D364" s="13" t="s">
        <v>78</v>
      </c>
      <c r="E364" s="52">
        <v>55</v>
      </c>
      <c r="F364" s="100" t="s">
        <v>52</v>
      </c>
      <c r="G364" s="137"/>
      <c r="H364" s="59">
        <f t="shared" si="8"/>
        <v>0</v>
      </c>
      <c r="I364" s="19"/>
      <c r="J364" s="19"/>
    </row>
    <row r="365" spans="1:10" ht="18" customHeight="1">
      <c r="A365" s="19"/>
      <c r="B365" s="13" t="s">
        <v>535</v>
      </c>
      <c r="C365" s="175"/>
      <c r="D365" s="13" t="s">
        <v>78</v>
      </c>
      <c r="E365" s="52">
        <v>55</v>
      </c>
      <c r="F365" s="100" t="s">
        <v>18</v>
      </c>
      <c r="G365" s="137"/>
      <c r="H365" s="59">
        <f t="shared" si="8"/>
        <v>0</v>
      </c>
      <c r="I365" s="19"/>
      <c r="J365" s="19"/>
    </row>
    <row r="366" spans="1:10" ht="31" customHeight="1">
      <c r="A366" s="19"/>
      <c r="B366" s="204" t="s">
        <v>33</v>
      </c>
      <c r="C366" s="205"/>
      <c r="D366" s="205"/>
      <c r="E366" s="205"/>
      <c r="F366" s="205"/>
      <c r="G366" s="205"/>
      <c r="H366" s="205"/>
      <c r="I366" s="19"/>
      <c r="J366" s="19"/>
    </row>
    <row r="367" spans="1:10">
      <c r="A367" s="19"/>
      <c r="B367" s="8" t="s">
        <v>13</v>
      </c>
      <c r="C367" s="8" t="s">
        <v>14</v>
      </c>
      <c r="D367" s="8" t="s">
        <v>15</v>
      </c>
      <c r="E367" s="9" t="s">
        <v>16</v>
      </c>
      <c r="F367" s="9" t="s">
        <v>53</v>
      </c>
      <c r="G367" s="142" t="s">
        <v>47</v>
      </c>
      <c r="H367" s="10" t="s">
        <v>19</v>
      </c>
      <c r="I367" s="19"/>
      <c r="J367" s="19"/>
    </row>
    <row r="368" spans="1:10" ht="18" customHeight="1">
      <c r="A368" s="19"/>
      <c r="B368" s="11" t="s">
        <v>537</v>
      </c>
      <c r="C368" s="170" t="s">
        <v>536</v>
      </c>
      <c r="D368" s="11" t="s">
        <v>542</v>
      </c>
      <c r="E368" s="60">
        <v>32</v>
      </c>
      <c r="F368" s="61" t="s">
        <v>49</v>
      </c>
      <c r="G368" s="136"/>
      <c r="H368" s="12">
        <f>SUM(E368*G368)</f>
        <v>0</v>
      </c>
      <c r="I368" s="19"/>
      <c r="J368" s="19"/>
    </row>
    <row r="369" spans="1:10" ht="18" customHeight="1">
      <c r="A369" s="19"/>
      <c r="B369" s="11" t="s">
        <v>538</v>
      </c>
      <c r="C369" s="170"/>
      <c r="D369" s="11" t="s">
        <v>542</v>
      </c>
      <c r="E369" s="60">
        <v>32</v>
      </c>
      <c r="F369" s="61" t="s">
        <v>50</v>
      </c>
      <c r="G369" s="136"/>
      <c r="H369" s="12">
        <f t="shared" ref="H369:H432" si="9">SUM(E369*G369)</f>
        <v>0</v>
      </c>
      <c r="I369" s="19"/>
      <c r="J369" s="19"/>
    </row>
    <row r="370" spans="1:10" ht="18" customHeight="1">
      <c r="A370" s="19"/>
      <c r="B370" s="11" t="s">
        <v>539</v>
      </c>
      <c r="C370" s="170"/>
      <c r="D370" s="11" t="s">
        <v>542</v>
      </c>
      <c r="E370" s="60">
        <v>32</v>
      </c>
      <c r="F370" s="61" t="s">
        <v>51</v>
      </c>
      <c r="G370" s="136"/>
      <c r="H370" s="12">
        <f t="shared" si="9"/>
        <v>0</v>
      </c>
      <c r="I370" s="19"/>
      <c r="J370" s="19"/>
    </row>
    <row r="371" spans="1:10" ht="18" customHeight="1">
      <c r="A371" s="19"/>
      <c r="B371" s="11" t="s">
        <v>540</v>
      </c>
      <c r="C371" s="170"/>
      <c r="D371" s="11" t="s">
        <v>542</v>
      </c>
      <c r="E371" s="60">
        <v>32</v>
      </c>
      <c r="F371" s="61" t="s">
        <v>52</v>
      </c>
      <c r="G371" s="136"/>
      <c r="H371" s="12">
        <f t="shared" si="9"/>
        <v>0</v>
      </c>
      <c r="I371" s="19"/>
      <c r="J371" s="19"/>
    </row>
    <row r="372" spans="1:10" ht="18" customHeight="1">
      <c r="A372" s="19"/>
      <c r="B372" s="11" t="s">
        <v>541</v>
      </c>
      <c r="C372" s="170"/>
      <c r="D372" s="11" t="s">
        <v>542</v>
      </c>
      <c r="E372" s="60">
        <v>32</v>
      </c>
      <c r="F372" s="61" t="s">
        <v>18</v>
      </c>
      <c r="G372" s="136"/>
      <c r="H372" s="12">
        <f t="shared" si="9"/>
        <v>0</v>
      </c>
      <c r="I372" s="19"/>
      <c r="J372" s="19"/>
    </row>
    <row r="373" spans="1:10" ht="18" customHeight="1">
      <c r="A373" s="19"/>
      <c r="B373" s="13" t="s">
        <v>545</v>
      </c>
      <c r="C373" s="168" t="s">
        <v>543</v>
      </c>
      <c r="D373" s="13" t="s">
        <v>544</v>
      </c>
      <c r="E373" s="16">
        <v>32</v>
      </c>
      <c r="F373" s="51" t="s">
        <v>49</v>
      </c>
      <c r="G373" s="134"/>
      <c r="H373" s="12">
        <f t="shared" si="9"/>
        <v>0</v>
      </c>
      <c r="I373" s="19"/>
      <c r="J373" s="19"/>
    </row>
    <row r="374" spans="1:10" ht="18" customHeight="1">
      <c r="A374" s="19"/>
      <c r="B374" s="13" t="s">
        <v>546</v>
      </c>
      <c r="C374" s="169"/>
      <c r="D374" s="13" t="s">
        <v>544</v>
      </c>
      <c r="E374" s="16">
        <v>32</v>
      </c>
      <c r="F374" s="51" t="s">
        <v>50</v>
      </c>
      <c r="G374" s="134"/>
      <c r="H374" s="12">
        <f t="shared" si="9"/>
        <v>0</v>
      </c>
      <c r="I374" s="19"/>
      <c r="J374" s="19"/>
    </row>
    <row r="375" spans="1:10" ht="18" customHeight="1">
      <c r="A375" s="19"/>
      <c r="B375" s="13" t="s">
        <v>547</v>
      </c>
      <c r="C375" s="169"/>
      <c r="D375" s="13" t="s">
        <v>544</v>
      </c>
      <c r="E375" s="16">
        <v>32</v>
      </c>
      <c r="F375" s="51" t="s">
        <v>51</v>
      </c>
      <c r="G375" s="134"/>
      <c r="H375" s="12">
        <f t="shared" si="9"/>
        <v>0</v>
      </c>
      <c r="I375" s="19"/>
      <c r="J375" s="19"/>
    </row>
    <row r="376" spans="1:10" ht="18" customHeight="1">
      <c r="A376" s="19"/>
      <c r="B376" s="13" t="s">
        <v>548</v>
      </c>
      <c r="C376" s="169"/>
      <c r="D376" s="13" t="s">
        <v>544</v>
      </c>
      <c r="E376" s="16">
        <v>32</v>
      </c>
      <c r="F376" s="51" t="s">
        <v>52</v>
      </c>
      <c r="G376" s="134"/>
      <c r="H376" s="12">
        <f t="shared" si="9"/>
        <v>0</v>
      </c>
      <c r="I376" s="19"/>
      <c r="J376" s="19"/>
    </row>
    <row r="377" spans="1:10" ht="18" customHeight="1">
      <c r="A377" s="19"/>
      <c r="B377" s="13" t="s">
        <v>549</v>
      </c>
      <c r="C377" s="169"/>
      <c r="D377" s="13" t="s">
        <v>544</v>
      </c>
      <c r="E377" s="16">
        <v>32</v>
      </c>
      <c r="F377" s="51" t="s">
        <v>18</v>
      </c>
      <c r="G377" s="134"/>
      <c r="H377" s="12">
        <f t="shared" si="9"/>
        <v>0</v>
      </c>
      <c r="I377" s="19"/>
      <c r="J377" s="19"/>
    </row>
    <row r="378" spans="1:10" ht="18" customHeight="1">
      <c r="A378" s="19"/>
      <c r="B378" s="11" t="s">
        <v>550</v>
      </c>
      <c r="C378" s="170" t="s">
        <v>560</v>
      </c>
      <c r="D378" s="11" t="s">
        <v>644</v>
      </c>
      <c r="E378" s="60">
        <v>32</v>
      </c>
      <c r="F378" s="61" t="s">
        <v>49</v>
      </c>
      <c r="G378" s="136"/>
      <c r="H378" s="12">
        <f t="shared" si="9"/>
        <v>0</v>
      </c>
      <c r="I378" s="19"/>
      <c r="J378" s="19"/>
    </row>
    <row r="379" spans="1:10" ht="18" customHeight="1">
      <c r="A379" s="19"/>
      <c r="B379" s="11" t="s">
        <v>551</v>
      </c>
      <c r="C379" s="170"/>
      <c r="D379" s="11" t="s">
        <v>644</v>
      </c>
      <c r="E379" s="60">
        <v>32</v>
      </c>
      <c r="F379" s="61" t="s">
        <v>50</v>
      </c>
      <c r="G379" s="136"/>
      <c r="H379" s="12">
        <f t="shared" si="9"/>
        <v>0</v>
      </c>
      <c r="I379" s="19"/>
      <c r="J379" s="19"/>
    </row>
    <row r="380" spans="1:10" ht="18" customHeight="1">
      <c r="A380" s="19"/>
      <c r="B380" s="11" t="s">
        <v>552</v>
      </c>
      <c r="C380" s="170"/>
      <c r="D380" s="11" t="s">
        <v>644</v>
      </c>
      <c r="E380" s="60">
        <v>32</v>
      </c>
      <c r="F380" s="61" t="s">
        <v>51</v>
      </c>
      <c r="G380" s="136"/>
      <c r="H380" s="12">
        <f t="shared" si="9"/>
        <v>0</v>
      </c>
      <c r="I380" s="19"/>
      <c r="J380" s="19"/>
    </row>
    <row r="381" spans="1:10" ht="18" customHeight="1">
      <c r="A381" s="19"/>
      <c r="B381" s="11" t="s">
        <v>553</v>
      </c>
      <c r="C381" s="170"/>
      <c r="D381" s="11" t="s">
        <v>644</v>
      </c>
      <c r="E381" s="60">
        <v>32</v>
      </c>
      <c r="F381" s="61" t="s">
        <v>52</v>
      </c>
      <c r="G381" s="136"/>
      <c r="H381" s="12">
        <f t="shared" si="9"/>
        <v>0</v>
      </c>
      <c r="I381" s="19"/>
      <c r="J381" s="19"/>
    </row>
    <row r="382" spans="1:10" ht="18" customHeight="1">
      <c r="A382" s="19"/>
      <c r="B382" s="11" t="s">
        <v>554</v>
      </c>
      <c r="C382" s="170"/>
      <c r="D382" s="11" t="s">
        <v>644</v>
      </c>
      <c r="E382" s="60">
        <v>32</v>
      </c>
      <c r="F382" s="61" t="s">
        <v>18</v>
      </c>
      <c r="G382" s="136"/>
      <c r="H382" s="12">
        <f t="shared" si="9"/>
        <v>0</v>
      </c>
      <c r="I382" s="19"/>
      <c r="J382" s="19"/>
    </row>
    <row r="383" spans="1:10" ht="18" customHeight="1">
      <c r="A383" s="19"/>
      <c r="B383" s="13" t="s">
        <v>555</v>
      </c>
      <c r="C383" s="168" t="s">
        <v>561</v>
      </c>
      <c r="D383" s="13" t="s">
        <v>645</v>
      </c>
      <c r="E383" s="16">
        <v>32</v>
      </c>
      <c r="F383" s="51" t="s">
        <v>49</v>
      </c>
      <c r="G383" s="134"/>
      <c r="H383" s="12">
        <f t="shared" si="9"/>
        <v>0</v>
      </c>
      <c r="I383" s="19"/>
      <c r="J383" s="19"/>
    </row>
    <row r="384" spans="1:10" ht="18" customHeight="1">
      <c r="A384" s="19"/>
      <c r="B384" s="13" t="s">
        <v>556</v>
      </c>
      <c r="C384" s="169"/>
      <c r="D384" s="13" t="s">
        <v>645</v>
      </c>
      <c r="E384" s="16">
        <v>32</v>
      </c>
      <c r="F384" s="51" t="s">
        <v>50</v>
      </c>
      <c r="G384" s="134"/>
      <c r="H384" s="12">
        <f t="shared" si="9"/>
        <v>0</v>
      </c>
      <c r="I384" s="19"/>
      <c r="J384" s="19"/>
    </row>
    <row r="385" spans="1:10" ht="18" customHeight="1">
      <c r="A385" s="19"/>
      <c r="B385" s="13" t="s">
        <v>557</v>
      </c>
      <c r="C385" s="169"/>
      <c r="D385" s="13" t="s">
        <v>645</v>
      </c>
      <c r="E385" s="16">
        <v>32</v>
      </c>
      <c r="F385" s="51" t="s">
        <v>51</v>
      </c>
      <c r="G385" s="134"/>
      <c r="H385" s="12">
        <f t="shared" si="9"/>
        <v>0</v>
      </c>
      <c r="I385" s="19"/>
      <c r="J385" s="19"/>
    </row>
    <row r="386" spans="1:10" ht="18" customHeight="1">
      <c r="A386" s="19"/>
      <c r="B386" s="13" t="s">
        <v>558</v>
      </c>
      <c r="C386" s="169"/>
      <c r="D386" s="13" t="s">
        <v>645</v>
      </c>
      <c r="E386" s="16">
        <v>32</v>
      </c>
      <c r="F386" s="51" t="s">
        <v>52</v>
      </c>
      <c r="G386" s="134"/>
      <c r="H386" s="12">
        <f t="shared" si="9"/>
        <v>0</v>
      </c>
      <c r="I386" s="19"/>
      <c r="J386" s="19"/>
    </row>
    <row r="387" spans="1:10" ht="18" customHeight="1">
      <c r="A387" s="19"/>
      <c r="B387" s="13" t="s">
        <v>559</v>
      </c>
      <c r="C387" s="169"/>
      <c r="D387" s="13" t="s">
        <v>645</v>
      </c>
      <c r="E387" s="16">
        <v>32</v>
      </c>
      <c r="F387" s="51" t="s">
        <v>18</v>
      </c>
      <c r="G387" s="134"/>
      <c r="H387" s="12">
        <f t="shared" si="9"/>
        <v>0</v>
      </c>
      <c r="I387" s="19"/>
      <c r="J387" s="19"/>
    </row>
    <row r="388" spans="1:10" ht="18" customHeight="1">
      <c r="A388" s="19"/>
      <c r="B388" s="11" t="s">
        <v>564</v>
      </c>
      <c r="C388" s="170" t="s">
        <v>562</v>
      </c>
      <c r="D388" s="11" t="s">
        <v>563</v>
      </c>
      <c r="E388" s="60">
        <v>32</v>
      </c>
      <c r="F388" s="61" t="s">
        <v>49</v>
      </c>
      <c r="G388" s="136"/>
      <c r="H388" s="12">
        <f t="shared" si="9"/>
        <v>0</v>
      </c>
      <c r="I388" s="19"/>
      <c r="J388" s="19"/>
    </row>
    <row r="389" spans="1:10" ht="18" customHeight="1">
      <c r="A389" s="19"/>
      <c r="B389" s="11" t="s">
        <v>565</v>
      </c>
      <c r="C389" s="171"/>
      <c r="D389" s="11" t="s">
        <v>563</v>
      </c>
      <c r="E389" s="60">
        <v>32</v>
      </c>
      <c r="F389" s="61" t="s">
        <v>50</v>
      </c>
      <c r="G389" s="136"/>
      <c r="H389" s="12">
        <f t="shared" si="9"/>
        <v>0</v>
      </c>
      <c r="I389" s="19"/>
      <c r="J389" s="19"/>
    </row>
    <row r="390" spans="1:10" ht="18" customHeight="1">
      <c r="A390" s="19"/>
      <c r="B390" s="11" t="s">
        <v>566</v>
      </c>
      <c r="C390" s="171"/>
      <c r="D390" s="11" t="s">
        <v>563</v>
      </c>
      <c r="E390" s="60">
        <v>32</v>
      </c>
      <c r="F390" s="61" t="s">
        <v>51</v>
      </c>
      <c r="G390" s="136"/>
      <c r="H390" s="12">
        <f t="shared" si="9"/>
        <v>0</v>
      </c>
      <c r="I390" s="19"/>
      <c r="J390" s="19"/>
    </row>
    <row r="391" spans="1:10" ht="18" customHeight="1">
      <c r="A391" s="19"/>
      <c r="B391" s="11" t="s">
        <v>567</v>
      </c>
      <c r="C391" s="171"/>
      <c r="D391" s="11" t="s">
        <v>563</v>
      </c>
      <c r="E391" s="60">
        <v>32</v>
      </c>
      <c r="F391" s="61" t="s">
        <v>52</v>
      </c>
      <c r="G391" s="136"/>
      <c r="H391" s="12">
        <f t="shared" si="9"/>
        <v>0</v>
      </c>
      <c r="I391" s="19"/>
      <c r="J391" s="19"/>
    </row>
    <row r="392" spans="1:10" ht="18" customHeight="1">
      <c r="A392" s="19"/>
      <c r="B392" s="11" t="s">
        <v>568</v>
      </c>
      <c r="C392" s="171"/>
      <c r="D392" s="11" t="s">
        <v>563</v>
      </c>
      <c r="E392" s="60">
        <v>32</v>
      </c>
      <c r="F392" s="61" t="s">
        <v>18</v>
      </c>
      <c r="G392" s="136"/>
      <c r="H392" s="12">
        <f t="shared" si="9"/>
        <v>0</v>
      </c>
      <c r="I392" s="19"/>
      <c r="J392" s="19"/>
    </row>
    <row r="393" spans="1:10" ht="18" customHeight="1">
      <c r="A393" s="19"/>
      <c r="B393" s="13" t="s">
        <v>570</v>
      </c>
      <c r="C393" s="168" t="s">
        <v>569</v>
      </c>
      <c r="D393" s="13" t="s">
        <v>44</v>
      </c>
      <c r="E393" s="52">
        <v>32</v>
      </c>
      <c r="F393" s="51" t="s">
        <v>49</v>
      </c>
      <c r="G393" s="134"/>
      <c r="H393" s="12">
        <f t="shared" si="9"/>
        <v>0</v>
      </c>
      <c r="I393" s="19"/>
      <c r="J393" s="19"/>
    </row>
    <row r="394" spans="1:10" ht="18" customHeight="1">
      <c r="A394" s="19"/>
      <c r="B394" s="13" t="s">
        <v>571</v>
      </c>
      <c r="C394" s="169"/>
      <c r="D394" s="13" t="s">
        <v>44</v>
      </c>
      <c r="E394" s="52">
        <v>32</v>
      </c>
      <c r="F394" s="51" t="s">
        <v>50</v>
      </c>
      <c r="G394" s="134"/>
      <c r="H394" s="12">
        <f t="shared" si="9"/>
        <v>0</v>
      </c>
      <c r="I394" s="19"/>
      <c r="J394" s="19"/>
    </row>
    <row r="395" spans="1:10" ht="18" customHeight="1">
      <c r="A395" s="19"/>
      <c r="B395" s="13" t="s">
        <v>572</v>
      </c>
      <c r="C395" s="169"/>
      <c r="D395" s="13" t="s">
        <v>44</v>
      </c>
      <c r="E395" s="52">
        <v>32</v>
      </c>
      <c r="F395" s="51" t="s">
        <v>51</v>
      </c>
      <c r="G395" s="134"/>
      <c r="H395" s="12">
        <f t="shared" si="9"/>
        <v>0</v>
      </c>
      <c r="I395" s="19"/>
      <c r="J395" s="19"/>
    </row>
    <row r="396" spans="1:10" ht="18" customHeight="1">
      <c r="A396" s="19"/>
      <c r="B396" s="13" t="s">
        <v>573</v>
      </c>
      <c r="C396" s="169"/>
      <c r="D396" s="13" t="s">
        <v>44</v>
      </c>
      <c r="E396" s="52">
        <v>32</v>
      </c>
      <c r="F396" s="51" t="s">
        <v>52</v>
      </c>
      <c r="G396" s="134"/>
      <c r="H396" s="12">
        <f t="shared" si="9"/>
        <v>0</v>
      </c>
      <c r="I396" s="19"/>
      <c r="J396" s="19"/>
    </row>
    <row r="397" spans="1:10" ht="18" customHeight="1">
      <c r="A397" s="19"/>
      <c r="B397" s="13" t="s">
        <v>574</v>
      </c>
      <c r="C397" s="169"/>
      <c r="D397" s="13" t="s">
        <v>44</v>
      </c>
      <c r="E397" s="52">
        <v>32</v>
      </c>
      <c r="F397" s="51" t="s">
        <v>18</v>
      </c>
      <c r="G397" s="134"/>
      <c r="H397" s="12">
        <f t="shared" si="9"/>
        <v>0</v>
      </c>
      <c r="I397" s="19"/>
      <c r="J397" s="19"/>
    </row>
    <row r="398" spans="1:10" ht="18" customHeight="1">
      <c r="A398" s="19"/>
      <c r="B398" s="11" t="s">
        <v>576</v>
      </c>
      <c r="C398" s="170" t="s">
        <v>575</v>
      </c>
      <c r="D398" s="11" t="s">
        <v>207</v>
      </c>
      <c r="E398" s="27">
        <v>32</v>
      </c>
      <c r="F398" s="61" t="s">
        <v>49</v>
      </c>
      <c r="G398" s="136"/>
      <c r="H398" s="12">
        <f t="shared" si="9"/>
        <v>0</v>
      </c>
      <c r="I398" s="19"/>
      <c r="J398" s="19"/>
    </row>
    <row r="399" spans="1:10" ht="18" customHeight="1">
      <c r="A399" s="19"/>
      <c r="B399" s="11" t="s">
        <v>577</v>
      </c>
      <c r="C399" s="171"/>
      <c r="D399" s="11" t="s">
        <v>207</v>
      </c>
      <c r="E399" s="27">
        <v>32</v>
      </c>
      <c r="F399" s="61" t="s">
        <v>50</v>
      </c>
      <c r="G399" s="136"/>
      <c r="H399" s="12">
        <f t="shared" si="9"/>
        <v>0</v>
      </c>
      <c r="I399" s="19"/>
      <c r="J399" s="19"/>
    </row>
    <row r="400" spans="1:10" ht="18" customHeight="1">
      <c r="A400" s="19"/>
      <c r="B400" s="11" t="s">
        <v>578</v>
      </c>
      <c r="C400" s="171"/>
      <c r="D400" s="11" t="s">
        <v>207</v>
      </c>
      <c r="E400" s="27">
        <v>32</v>
      </c>
      <c r="F400" s="61" t="s">
        <v>51</v>
      </c>
      <c r="G400" s="136"/>
      <c r="H400" s="12">
        <f t="shared" si="9"/>
        <v>0</v>
      </c>
      <c r="I400" s="19"/>
      <c r="J400" s="19"/>
    </row>
    <row r="401" spans="1:10" ht="18" customHeight="1">
      <c r="A401" s="19"/>
      <c r="B401" s="11" t="s">
        <v>579</v>
      </c>
      <c r="C401" s="171"/>
      <c r="D401" s="11" t="s">
        <v>207</v>
      </c>
      <c r="E401" s="27">
        <v>32</v>
      </c>
      <c r="F401" s="61" t="s">
        <v>52</v>
      </c>
      <c r="G401" s="136"/>
      <c r="H401" s="12">
        <f t="shared" si="9"/>
        <v>0</v>
      </c>
      <c r="I401" s="19"/>
      <c r="J401" s="19"/>
    </row>
    <row r="402" spans="1:10" ht="18" customHeight="1">
      <c r="A402" s="19"/>
      <c r="B402" s="11" t="s">
        <v>580</v>
      </c>
      <c r="C402" s="171"/>
      <c r="D402" s="11" t="s">
        <v>207</v>
      </c>
      <c r="E402" s="27">
        <v>32</v>
      </c>
      <c r="F402" s="61" t="s">
        <v>18</v>
      </c>
      <c r="G402" s="136"/>
      <c r="H402" s="12">
        <f t="shared" si="9"/>
        <v>0</v>
      </c>
      <c r="I402" s="19"/>
      <c r="J402" s="19"/>
    </row>
    <row r="403" spans="1:10" ht="18" customHeight="1">
      <c r="A403" s="19"/>
      <c r="B403" s="13" t="s">
        <v>582</v>
      </c>
      <c r="C403" s="168" t="s">
        <v>581</v>
      </c>
      <c r="D403" s="13" t="s">
        <v>21</v>
      </c>
      <c r="E403" s="52">
        <v>32</v>
      </c>
      <c r="F403" s="51" t="s">
        <v>49</v>
      </c>
      <c r="G403" s="134"/>
      <c r="H403" s="12">
        <f t="shared" si="9"/>
        <v>0</v>
      </c>
      <c r="I403" s="19"/>
      <c r="J403" s="19"/>
    </row>
    <row r="404" spans="1:10" ht="18" customHeight="1">
      <c r="A404" s="19"/>
      <c r="B404" s="13" t="s">
        <v>583</v>
      </c>
      <c r="C404" s="169"/>
      <c r="D404" s="13" t="s">
        <v>21</v>
      </c>
      <c r="E404" s="52">
        <v>32</v>
      </c>
      <c r="F404" s="51" t="s">
        <v>50</v>
      </c>
      <c r="G404" s="134"/>
      <c r="H404" s="12">
        <f t="shared" si="9"/>
        <v>0</v>
      </c>
      <c r="I404" s="19"/>
      <c r="J404" s="19"/>
    </row>
    <row r="405" spans="1:10" ht="18" customHeight="1">
      <c r="A405" s="19"/>
      <c r="B405" s="13" t="s">
        <v>584</v>
      </c>
      <c r="C405" s="169"/>
      <c r="D405" s="13" t="s">
        <v>21</v>
      </c>
      <c r="E405" s="52">
        <v>32</v>
      </c>
      <c r="F405" s="51" t="s">
        <v>51</v>
      </c>
      <c r="G405" s="134"/>
      <c r="H405" s="12">
        <f t="shared" si="9"/>
        <v>0</v>
      </c>
      <c r="I405" s="19"/>
      <c r="J405" s="19"/>
    </row>
    <row r="406" spans="1:10" ht="18" customHeight="1">
      <c r="A406" s="19"/>
      <c r="B406" s="13" t="s">
        <v>585</v>
      </c>
      <c r="C406" s="169"/>
      <c r="D406" s="13" t="s">
        <v>21</v>
      </c>
      <c r="E406" s="52">
        <v>32</v>
      </c>
      <c r="F406" s="51" t="s">
        <v>52</v>
      </c>
      <c r="G406" s="134"/>
      <c r="H406" s="12">
        <f t="shared" si="9"/>
        <v>0</v>
      </c>
      <c r="I406" s="19"/>
      <c r="J406" s="19"/>
    </row>
    <row r="407" spans="1:10" ht="18" customHeight="1">
      <c r="A407" s="19"/>
      <c r="B407" s="13" t="s">
        <v>586</v>
      </c>
      <c r="C407" s="169"/>
      <c r="D407" s="13" t="s">
        <v>21</v>
      </c>
      <c r="E407" s="52">
        <v>32</v>
      </c>
      <c r="F407" s="51" t="s">
        <v>18</v>
      </c>
      <c r="G407" s="134"/>
      <c r="H407" s="12">
        <f t="shared" si="9"/>
        <v>0</v>
      </c>
      <c r="I407" s="19"/>
      <c r="J407" s="19"/>
    </row>
    <row r="408" spans="1:10" ht="18" customHeight="1">
      <c r="A408" s="19"/>
      <c r="B408" s="11" t="s">
        <v>588</v>
      </c>
      <c r="C408" s="170" t="s">
        <v>587</v>
      </c>
      <c r="D408" s="11" t="s">
        <v>61</v>
      </c>
      <c r="E408" s="27">
        <v>14</v>
      </c>
      <c r="F408" s="61" t="s">
        <v>49</v>
      </c>
      <c r="G408" s="136"/>
      <c r="H408" s="12">
        <f t="shared" si="9"/>
        <v>0</v>
      </c>
      <c r="I408" s="19"/>
      <c r="J408" s="19"/>
    </row>
    <row r="409" spans="1:10" ht="18" customHeight="1">
      <c r="A409" s="19"/>
      <c r="B409" s="11" t="s">
        <v>589</v>
      </c>
      <c r="C409" s="171"/>
      <c r="D409" s="11" t="s">
        <v>61</v>
      </c>
      <c r="E409" s="27">
        <v>14</v>
      </c>
      <c r="F409" s="61" t="s">
        <v>50</v>
      </c>
      <c r="G409" s="136"/>
      <c r="H409" s="12">
        <f t="shared" si="9"/>
        <v>0</v>
      </c>
      <c r="I409" s="19"/>
      <c r="J409" s="19"/>
    </row>
    <row r="410" spans="1:10" ht="18" customHeight="1">
      <c r="A410" s="19"/>
      <c r="B410" s="11" t="s">
        <v>590</v>
      </c>
      <c r="C410" s="171"/>
      <c r="D410" s="11" t="s">
        <v>61</v>
      </c>
      <c r="E410" s="27">
        <v>14</v>
      </c>
      <c r="F410" s="61" t="s">
        <v>51</v>
      </c>
      <c r="G410" s="136"/>
      <c r="H410" s="12">
        <f t="shared" si="9"/>
        <v>0</v>
      </c>
      <c r="I410" s="19"/>
      <c r="J410" s="19"/>
    </row>
    <row r="411" spans="1:10" ht="18" customHeight="1">
      <c r="A411" s="19"/>
      <c r="B411" s="11" t="s">
        <v>591</v>
      </c>
      <c r="C411" s="171"/>
      <c r="D411" s="11" t="s">
        <v>61</v>
      </c>
      <c r="E411" s="27">
        <v>14</v>
      </c>
      <c r="F411" s="61" t="s">
        <v>52</v>
      </c>
      <c r="G411" s="136"/>
      <c r="H411" s="12">
        <f t="shared" si="9"/>
        <v>0</v>
      </c>
      <c r="I411" s="19"/>
      <c r="J411" s="19"/>
    </row>
    <row r="412" spans="1:10" ht="18" customHeight="1">
      <c r="A412" s="19"/>
      <c r="B412" s="11" t="s">
        <v>592</v>
      </c>
      <c r="C412" s="171"/>
      <c r="D412" s="11" t="s">
        <v>61</v>
      </c>
      <c r="E412" s="27">
        <v>14</v>
      </c>
      <c r="F412" s="61" t="s">
        <v>18</v>
      </c>
      <c r="G412" s="136"/>
      <c r="H412" s="12">
        <f t="shared" si="9"/>
        <v>0</v>
      </c>
      <c r="I412" s="19"/>
      <c r="J412" s="19"/>
    </row>
    <row r="413" spans="1:10" ht="18" customHeight="1">
      <c r="A413" s="19"/>
      <c r="B413" s="13" t="s">
        <v>593</v>
      </c>
      <c r="C413" s="168" t="s">
        <v>618</v>
      </c>
      <c r="D413" s="13" t="s">
        <v>37</v>
      </c>
      <c r="E413" s="52">
        <v>14</v>
      </c>
      <c r="F413" s="51" t="s">
        <v>49</v>
      </c>
      <c r="G413" s="143"/>
      <c r="H413" s="12">
        <f t="shared" si="9"/>
        <v>0</v>
      </c>
      <c r="I413" s="19"/>
      <c r="J413" s="19"/>
    </row>
    <row r="414" spans="1:10" ht="18" customHeight="1">
      <c r="A414" s="19"/>
      <c r="B414" s="13" t="s">
        <v>594</v>
      </c>
      <c r="C414" s="169"/>
      <c r="D414" s="13" t="s">
        <v>37</v>
      </c>
      <c r="E414" s="52">
        <v>14</v>
      </c>
      <c r="F414" s="51" t="s">
        <v>50</v>
      </c>
      <c r="G414" s="143"/>
      <c r="H414" s="12">
        <f t="shared" si="9"/>
        <v>0</v>
      </c>
      <c r="I414" s="19"/>
      <c r="J414" s="19"/>
    </row>
    <row r="415" spans="1:10" ht="18" customHeight="1">
      <c r="A415" s="19"/>
      <c r="B415" s="13" t="s">
        <v>595</v>
      </c>
      <c r="C415" s="169"/>
      <c r="D415" s="13" t="s">
        <v>37</v>
      </c>
      <c r="E415" s="52">
        <v>14</v>
      </c>
      <c r="F415" s="51" t="s">
        <v>51</v>
      </c>
      <c r="G415" s="143"/>
      <c r="H415" s="12">
        <f t="shared" si="9"/>
        <v>0</v>
      </c>
      <c r="I415" s="19"/>
      <c r="J415" s="19"/>
    </row>
    <row r="416" spans="1:10" ht="18" customHeight="1">
      <c r="A416" s="19"/>
      <c r="B416" s="13" t="s">
        <v>596</v>
      </c>
      <c r="C416" s="169"/>
      <c r="D416" s="13" t="s">
        <v>37</v>
      </c>
      <c r="E416" s="52">
        <v>14</v>
      </c>
      <c r="F416" s="51" t="s">
        <v>52</v>
      </c>
      <c r="G416" s="143"/>
      <c r="H416" s="12">
        <f t="shared" si="9"/>
        <v>0</v>
      </c>
      <c r="I416" s="19"/>
      <c r="J416" s="19"/>
    </row>
    <row r="417" spans="1:10" ht="18" customHeight="1">
      <c r="A417" s="19"/>
      <c r="B417" s="13" t="s">
        <v>597</v>
      </c>
      <c r="C417" s="169"/>
      <c r="D417" s="13" t="s">
        <v>37</v>
      </c>
      <c r="E417" s="52">
        <v>14</v>
      </c>
      <c r="F417" s="51" t="s">
        <v>18</v>
      </c>
      <c r="G417" s="134"/>
      <c r="H417" s="12">
        <f t="shared" si="9"/>
        <v>0</v>
      </c>
      <c r="I417" s="19"/>
      <c r="J417" s="19"/>
    </row>
    <row r="418" spans="1:10" ht="18" customHeight="1">
      <c r="A418" s="19"/>
      <c r="B418" s="11" t="s">
        <v>598</v>
      </c>
      <c r="C418" s="170" t="s">
        <v>619</v>
      </c>
      <c r="D418" s="11" t="s">
        <v>34</v>
      </c>
      <c r="E418" s="27">
        <v>14</v>
      </c>
      <c r="F418" s="61" t="s">
        <v>49</v>
      </c>
      <c r="G418" s="136"/>
      <c r="H418" s="12">
        <f t="shared" si="9"/>
        <v>0</v>
      </c>
      <c r="I418" s="19"/>
      <c r="J418" s="19"/>
    </row>
    <row r="419" spans="1:10" ht="18" customHeight="1">
      <c r="A419" s="19"/>
      <c r="B419" s="11" t="s">
        <v>599</v>
      </c>
      <c r="C419" s="171"/>
      <c r="D419" s="11" t="s">
        <v>34</v>
      </c>
      <c r="E419" s="27">
        <v>14</v>
      </c>
      <c r="F419" s="61" t="s">
        <v>50</v>
      </c>
      <c r="G419" s="136"/>
      <c r="H419" s="12">
        <f t="shared" si="9"/>
        <v>0</v>
      </c>
      <c r="I419" s="19"/>
      <c r="J419" s="19"/>
    </row>
    <row r="420" spans="1:10" ht="18" customHeight="1">
      <c r="A420" s="19"/>
      <c r="B420" s="11" t="s">
        <v>600</v>
      </c>
      <c r="C420" s="171"/>
      <c r="D420" s="11" t="s">
        <v>34</v>
      </c>
      <c r="E420" s="27">
        <v>14</v>
      </c>
      <c r="F420" s="61" t="s">
        <v>51</v>
      </c>
      <c r="G420" s="136"/>
      <c r="H420" s="12">
        <f t="shared" si="9"/>
        <v>0</v>
      </c>
      <c r="I420" s="19"/>
      <c r="J420" s="19"/>
    </row>
    <row r="421" spans="1:10" ht="18" customHeight="1">
      <c r="A421" s="19"/>
      <c r="B421" s="11" t="s">
        <v>601</v>
      </c>
      <c r="C421" s="171"/>
      <c r="D421" s="11" t="s">
        <v>34</v>
      </c>
      <c r="E421" s="27">
        <v>14</v>
      </c>
      <c r="F421" s="61" t="s">
        <v>52</v>
      </c>
      <c r="G421" s="136"/>
      <c r="H421" s="12">
        <f t="shared" si="9"/>
        <v>0</v>
      </c>
      <c r="I421" s="19"/>
      <c r="J421" s="19"/>
    </row>
    <row r="422" spans="1:10" ht="18" customHeight="1">
      <c r="A422" s="19"/>
      <c r="B422" s="11" t="s">
        <v>602</v>
      </c>
      <c r="C422" s="171"/>
      <c r="D422" s="11" t="s">
        <v>34</v>
      </c>
      <c r="E422" s="27">
        <v>14</v>
      </c>
      <c r="F422" s="61" t="s">
        <v>18</v>
      </c>
      <c r="G422" s="136"/>
      <c r="H422" s="12">
        <f t="shared" si="9"/>
        <v>0</v>
      </c>
      <c r="I422" s="19"/>
      <c r="J422" s="19"/>
    </row>
    <row r="423" spans="1:10" ht="18" customHeight="1">
      <c r="A423" s="19"/>
      <c r="B423" s="13" t="s">
        <v>603</v>
      </c>
      <c r="C423" s="168" t="s">
        <v>620</v>
      </c>
      <c r="D423" s="13" t="s">
        <v>21</v>
      </c>
      <c r="E423" s="52">
        <v>14</v>
      </c>
      <c r="F423" s="51" t="s">
        <v>49</v>
      </c>
      <c r="G423" s="143"/>
      <c r="H423" s="12">
        <f t="shared" si="9"/>
        <v>0</v>
      </c>
      <c r="I423" s="19"/>
      <c r="J423" s="19"/>
    </row>
    <row r="424" spans="1:10" ht="18" customHeight="1">
      <c r="A424" s="19"/>
      <c r="B424" s="13" t="s">
        <v>604</v>
      </c>
      <c r="C424" s="169"/>
      <c r="D424" s="13" t="s">
        <v>21</v>
      </c>
      <c r="E424" s="52">
        <v>14</v>
      </c>
      <c r="F424" s="51" t="s">
        <v>50</v>
      </c>
      <c r="G424" s="143"/>
      <c r="H424" s="12">
        <f t="shared" si="9"/>
        <v>0</v>
      </c>
      <c r="I424" s="19"/>
      <c r="J424" s="19"/>
    </row>
    <row r="425" spans="1:10" ht="18" customHeight="1">
      <c r="A425" s="19"/>
      <c r="B425" s="13" t="s">
        <v>605</v>
      </c>
      <c r="C425" s="169"/>
      <c r="D425" s="13" t="s">
        <v>21</v>
      </c>
      <c r="E425" s="52">
        <v>14</v>
      </c>
      <c r="F425" s="51" t="s">
        <v>51</v>
      </c>
      <c r="G425" s="143"/>
      <c r="H425" s="12">
        <f t="shared" si="9"/>
        <v>0</v>
      </c>
      <c r="I425" s="19"/>
      <c r="J425" s="19"/>
    </row>
    <row r="426" spans="1:10" ht="18" customHeight="1">
      <c r="A426" s="19"/>
      <c r="B426" s="13" t="s">
        <v>606</v>
      </c>
      <c r="C426" s="169"/>
      <c r="D426" s="13" t="s">
        <v>21</v>
      </c>
      <c r="E426" s="52">
        <v>14</v>
      </c>
      <c r="F426" s="51" t="s">
        <v>52</v>
      </c>
      <c r="G426" s="143"/>
      <c r="H426" s="12">
        <f t="shared" si="9"/>
        <v>0</v>
      </c>
      <c r="I426" s="19"/>
      <c r="J426" s="19"/>
    </row>
    <row r="427" spans="1:10" ht="18" customHeight="1">
      <c r="A427" s="19"/>
      <c r="B427" s="13" t="s">
        <v>607</v>
      </c>
      <c r="C427" s="169"/>
      <c r="D427" s="13" t="s">
        <v>21</v>
      </c>
      <c r="E427" s="52">
        <v>14</v>
      </c>
      <c r="F427" s="51" t="s">
        <v>18</v>
      </c>
      <c r="G427" s="134"/>
      <c r="H427" s="12">
        <f t="shared" si="9"/>
        <v>0</v>
      </c>
      <c r="I427" s="19"/>
      <c r="J427" s="19"/>
    </row>
    <row r="428" spans="1:10" ht="18" customHeight="1">
      <c r="A428" s="19"/>
      <c r="B428" s="11" t="s">
        <v>608</v>
      </c>
      <c r="C428" s="170" t="s">
        <v>641</v>
      </c>
      <c r="D428" s="11" t="s">
        <v>170</v>
      </c>
      <c r="E428" s="27">
        <v>16</v>
      </c>
      <c r="F428" s="61" t="s">
        <v>49</v>
      </c>
      <c r="G428" s="136"/>
      <c r="H428" s="12">
        <f t="shared" si="9"/>
        <v>0</v>
      </c>
      <c r="I428" s="19"/>
      <c r="J428" s="19"/>
    </row>
    <row r="429" spans="1:10" ht="18" customHeight="1">
      <c r="A429" s="19"/>
      <c r="B429" s="11" t="s">
        <v>609</v>
      </c>
      <c r="C429" s="171"/>
      <c r="D429" s="11" t="s">
        <v>170</v>
      </c>
      <c r="E429" s="27">
        <v>16</v>
      </c>
      <c r="F429" s="61" t="s">
        <v>50</v>
      </c>
      <c r="G429" s="136"/>
      <c r="H429" s="12">
        <f t="shared" si="9"/>
        <v>0</v>
      </c>
      <c r="I429" s="19"/>
      <c r="J429" s="19"/>
    </row>
    <row r="430" spans="1:10" ht="18" customHeight="1">
      <c r="A430" s="19"/>
      <c r="B430" s="11" t="s">
        <v>610</v>
      </c>
      <c r="C430" s="171"/>
      <c r="D430" s="11" t="s">
        <v>170</v>
      </c>
      <c r="E430" s="27">
        <v>16</v>
      </c>
      <c r="F430" s="61" t="s">
        <v>51</v>
      </c>
      <c r="G430" s="136"/>
      <c r="H430" s="12">
        <f t="shared" si="9"/>
        <v>0</v>
      </c>
      <c r="I430" s="19"/>
      <c r="J430" s="19"/>
    </row>
    <row r="431" spans="1:10" ht="18" customHeight="1">
      <c r="A431" s="19"/>
      <c r="B431" s="11" t="s">
        <v>611</v>
      </c>
      <c r="C431" s="171"/>
      <c r="D431" s="11" t="s">
        <v>170</v>
      </c>
      <c r="E431" s="27">
        <v>16</v>
      </c>
      <c r="F431" s="61" t="s">
        <v>52</v>
      </c>
      <c r="G431" s="136"/>
      <c r="H431" s="12">
        <f t="shared" si="9"/>
        <v>0</v>
      </c>
      <c r="I431" s="19"/>
      <c r="J431" s="19"/>
    </row>
    <row r="432" spans="1:10" ht="18" customHeight="1">
      <c r="A432" s="19"/>
      <c r="B432" s="11" t="s">
        <v>612</v>
      </c>
      <c r="C432" s="171"/>
      <c r="D432" s="11" t="s">
        <v>170</v>
      </c>
      <c r="E432" s="27">
        <v>16</v>
      </c>
      <c r="F432" s="61" t="s">
        <v>18</v>
      </c>
      <c r="G432" s="136"/>
      <c r="H432" s="12">
        <f t="shared" si="9"/>
        <v>0</v>
      </c>
      <c r="I432" s="19"/>
      <c r="J432" s="19"/>
    </row>
    <row r="433" spans="1:10" ht="18" customHeight="1">
      <c r="A433" s="19"/>
      <c r="B433" s="13" t="s">
        <v>613</v>
      </c>
      <c r="C433" s="168" t="s">
        <v>621</v>
      </c>
      <c r="D433" s="13" t="s">
        <v>21</v>
      </c>
      <c r="E433" s="52">
        <v>16</v>
      </c>
      <c r="F433" s="51" t="s">
        <v>49</v>
      </c>
      <c r="G433" s="143"/>
      <c r="H433" s="12">
        <f t="shared" ref="H433:H447" si="10">SUM(E433*G433)</f>
        <v>0</v>
      </c>
      <c r="I433" s="19"/>
      <c r="J433" s="19"/>
    </row>
    <row r="434" spans="1:10" ht="18" customHeight="1">
      <c r="A434" s="19"/>
      <c r="B434" s="13" t="s">
        <v>614</v>
      </c>
      <c r="C434" s="169"/>
      <c r="D434" s="13" t="s">
        <v>21</v>
      </c>
      <c r="E434" s="52">
        <v>16</v>
      </c>
      <c r="F434" s="51" t="s">
        <v>50</v>
      </c>
      <c r="G434" s="143"/>
      <c r="H434" s="12">
        <f t="shared" si="10"/>
        <v>0</v>
      </c>
      <c r="I434" s="19"/>
      <c r="J434" s="19"/>
    </row>
    <row r="435" spans="1:10" ht="18" customHeight="1">
      <c r="A435" s="19"/>
      <c r="B435" s="13" t="s">
        <v>615</v>
      </c>
      <c r="C435" s="169"/>
      <c r="D435" s="13" t="s">
        <v>21</v>
      </c>
      <c r="E435" s="52">
        <v>16</v>
      </c>
      <c r="F435" s="51" t="s">
        <v>51</v>
      </c>
      <c r="G435" s="143"/>
      <c r="H435" s="12">
        <f t="shared" si="10"/>
        <v>0</v>
      </c>
      <c r="I435" s="19"/>
      <c r="J435" s="19"/>
    </row>
    <row r="436" spans="1:10" ht="18" customHeight="1">
      <c r="A436" s="19"/>
      <c r="B436" s="13" t="s">
        <v>616</v>
      </c>
      <c r="C436" s="169"/>
      <c r="D436" s="13" t="s">
        <v>21</v>
      </c>
      <c r="E436" s="52">
        <v>16</v>
      </c>
      <c r="F436" s="51" t="s">
        <v>52</v>
      </c>
      <c r="G436" s="143"/>
      <c r="H436" s="12">
        <f t="shared" si="10"/>
        <v>0</v>
      </c>
      <c r="I436" s="19"/>
      <c r="J436" s="19"/>
    </row>
    <row r="437" spans="1:10" ht="18" customHeight="1">
      <c r="A437" s="19"/>
      <c r="B437" s="13" t="s">
        <v>617</v>
      </c>
      <c r="C437" s="169"/>
      <c r="D437" s="13" t="s">
        <v>21</v>
      </c>
      <c r="E437" s="52">
        <v>16</v>
      </c>
      <c r="F437" s="51" t="s">
        <v>18</v>
      </c>
      <c r="G437" s="134"/>
      <c r="H437" s="12">
        <f t="shared" si="10"/>
        <v>0</v>
      </c>
      <c r="I437" s="19"/>
      <c r="J437" s="19"/>
    </row>
    <row r="438" spans="1:10" ht="18" customHeight="1">
      <c r="A438" s="19"/>
      <c r="B438" s="11" t="s">
        <v>624</v>
      </c>
      <c r="C438" s="170" t="s">
        <v>622</v>
      </c>
      <c r="D438" s="11" t="s">
        <v>44</v>
      </c>
      <c r="E438" s="27">
        <v>16</v>
      </c>
      <c r="F438" s="61" t="s">
        <v>49</v>
      </c>
      <c r="G438" s="136"/>
      <c r="H438" s="12">
        <f t="shared" si="10"/>
        <v>0</v>
      </c>
      <c r="I438" s="19"/>
      <c r="J438" s="19"/>
    </row>
    <row r="439" spans="1:10" ht="18" customHeight="1">
      <c r="A439" s="19"/>
      <c r="B439" s="11" t="s">
        <v>625</v>
      </c>
      <c r="C439" s="171"/>
      <c r="D439" s="11" t="s">
        <v>44</v>
      </c>
      <c r="E439" s="27">
        <v>16</v>
      </c>
      <c r="F439" s="61" t="s">
        <v>50</v>
      </c>
      <c r="G439" s="136"/>
      <c r="H439" s="12">
        <f t="shared" si="10"/>
        <v>0</v>
      </c>
      <c r="I439" s="19"/>
      <c r="J439" s="19"/>
    </row>
    <row r="440" spans="1:10" ht="18" customHeight="1">
      <c r="A440" s="19"/>
      <c r="B440" s="11" t="s">
        <v>626</v>
      </c>
      <c r="C440" s="171"/>
      <c r="D440" s="11" t="s">
        <v>44</v>
      </c>
      <c r="E440" s="27">
        <v>16</v>
      </c>
      <c r="F440" s="61" t="s">
        <v>51</v>
      </c>
      <c r="G440" s="136"/>
      <c r="H440" s="12">
        <f t="shared" si="10"/>
        <v>0</v>
      </c>
      <c r="I440" s="19"/>
      <c r="J440" s="19"/>
    </row>
    <row r="441" spans="1:10" ht="18" customHeight="1">
      <c r="A441" s="19"/>
      <c r="B441" s="11" t="s">
        <v>627</v>
      </c>
      <c r="C441" s="171"/>
      <c r="D441" s="11" t="s">
        <v>44</v>
      </c>
      <c r="E441" s="27">
        <v>16</v>
      </c>
      <c r="F441" s="61" t="s">
        <v>52</v>
      </c>
      <c r="G441" s="136"/>
      <c r="H441" s="12">
        <f t="shared" si="10"/>
        <v>0</v>
      </c>
      <c r="I441" s="19"/>
      <c r="J441" s="19"/>
    </row>
    <row r="442" spans="1:10" ht="18" customHeight="1">
      <c r="A442" s="19"/>
      <c r="B442" s="11" t="s">
        <v>628</v>
      </c>
      <c r="C442" s="171"/>
      <c r="D442" s="11" t="s">
        <v>44</v>
      </c>
      <c r="E442" s="27">
        <v>16</v>
      </c>
      <c r="F442" s="61" t="s">
        <v>18</v>
      </c>
      <c r="G442" s="136"/>
      <c r="H442" s="12">
        <f t="shared" si="10"/>
        <v>0</v>
      </c>
      <c r="I442" s="19"/>
      <c r="J442" s="19"/>
    </row>
    <row r="443" spans="1:10" ht="18" customHeight="1">
      <c r="A443" s="19"/>
      <c r="B443" s="13" t="s">
        <v>629</v>
      </c>
      <c r="C443" s="168" t="s">
        <v>623</v>
      </c>
      <c r="D443" s="13" t="s">
        <v>290</v>
      </c>
      <c r="E443" s="52">
        <v>16</v>
      </c>
      <c r="F443" s="51" t="s">
        <v>49</v>
      </c>
      <c r="G443" s="143"/>
      <c r="H443" s="12">
        <f t="shared" si="10"/>
        <v>0</v>
      </c>
      <c r="I443" s="19"/>
      <c r="J443" s="19"/>
    </row>
    <row r="444" spans="1:10" ht="18" customHeight="1">
      <c r="A444" s="19"/>
      <c r="B444" s="13" t="s">
        <v>630</v>
      </c>
      <c r="C444" s="169"/>
      <c r="D444" s="13" t="s">
        <v>290</v>
      </c>
      <c r="E444" s="52">
        <v>16</v>
      </c>
      <c r="F444" s="51" t="s">
        <v>50</v>
      </c>
      <c r="G444" s="143"/>
      <c r="H444" s="12">
        <f t="shared" si="10"/>
        <v>0</v>
      </c>
      <c r="I444" s="19"/>
      <c r="J444" s="19"/>
    </row>
    <row r="445" spans="1:10" ht="18" customHeight="1">
      <c r="A445" s="19"/>
      <c r="B445" s="13" t="s">
        <v>631</v>
      </c>
      <c r="C445" s="169"/>
      <c r="D445" s="13" t="s">
        <v>290</v>
      </c>
      <c r="E445" s="52">
        <v>16</v>
      </c>
      <c r="F445" s="51" t="s">
        <v>51</v>
      </c>
      <c r="G445" s="143"/>
      <c r="H445" s="12">
        <f t="shared" si="10"/>
        <v>0</v>
      </c>
      <c r="I445" s="19"/>
      <c r="J445" s="19"/>
    </row>
    <row r="446" spans="1:10" ht="18" customHeight="1">
      <c r="A446" s="19"/>
      <c r="B446" s="13" t="s">
        <v>632</v>
      </c>
      <c r="C446" s="169"/>
      <c r="D446" s="13" t="s">
        <v>290</v>
      </c>
      <c r="E446" s="52">
        <v>16</v>
      </c>
      <c r="F446" s="51" t="s">
        <v>52</v>
      </c>
      <c r="G446" s="143"/>
      <c r="H446" s="12">
        <f t="shared" si="10"/>
        <v>0</v>
      </c>
      <c r="I446" s="19"/>
      <c r="J446" s="19"/>
    </row>
    <row r="447" spans="1:10" ht="18" customHeight="1">
      <c r="A447" s="19"/>
      <c r="B447" s="13" t="s">
        <v>633</v>
      </c>
      <c r="C447" s="169"/>
      <c r="D447" s="13" t="s">
        <v>290</v>
      </c>
      <c r="E447" s="52">
        <v>16</v>
      </c>
      <c r="F447" s="51" t="s">
        <v>18</v>
      </c>
      <c r="G447" s="134"/>
      <c r="H447" s="12">
        <f t="shared" si="10"/>
        <v>0</v>
      </c>
      <c r="I447" s="19"/>
      <c r="J447" s="19"/>
    </row>
    <row r="448" spans="1:10" s="19" customFormat="1" ht="17" thickBot="1">
      <c r="E448" s="155" t="s">
        <v>58</v>
      </c>
      <c r="F448" s="156"/>
      <c r="G448" s="105">
        <f>SUM(G30:G39,G41:G97,G99:G163,G165:G190,G193:G208,G211:G262,G266:G365,G368:G447)</f>
        <v>0</v>
      </c>
      <c r="H448" s="104">
        <f>SUM(H30:H39,H41:H97,H99:H163,H165:H190,H193:H208,H211:H262,H266:H365,H368:H447)</f>
        <v>0</v>
      </c>
    </row>
    <row r="449" spans="2:12" s="19" customFormat="1">
      <c r="G449" s="144" t="s">
        <v>635</v>
      </c>
    </row>
    <row r="450" spans="2:12" s="19" customFormat="1">
      <c r="F450" s="103" t="s">
        <v>651</v>
      </c>
      <c r="G450" s="231">
        <f>SUM(G266:G365,G368:G447)</f>
        <v>0</v>
      </c>
      <c r="H450" s="232">
        <f>SUM(H266:H365,H368:H447)</f>
        <v>0</v>
      </c>
    </row>
    <row r="451" spans="2:12" s="19" customFormat="1">
      <c r="F451" s="103"/>
      <c r="G451" s="233"/>
      <c r="H451" s="229"/>
    </row>
    <row r="452" spans="2:12" s="19" customFormat="1">
      <c r="B452" s="227"/>
      <c r="C452" s="228" t="s">
        <v>663</v>
      </c>
      <c r="D452" s="227"/>
      <c r="E452" s="229"/>
      <c r="F452" s="227"/>
      <c r="G452" s="227"/>
      <c r="H452" s="230"/>
    </row>
    <row r="453" spans="2:12" s="19" customFormat="1">
      <c r="B453" s="223" t="s">
        <v>657</v>
      </c>
      <c r="C453" s="223" t="s">
        <v>654</v>
      </c>
      <c r="D453" s="223" t="s">
        <v>37</v>
      </c>
      <c r="E453" s="224">
        <v>0</v>
      </c>
      <c r="F453" s="223" t="s">
        <v>17</v>
      </c>
      <c r="G453" s="223">
        <f t="shared" ref="G453:G458" si="11">SUM(F453)</f>
        <v>0</v>
      </c>
      <c r="H453" s="225">
        <f t="shared" ref="H453:H458" si="12">SUM(E453*G453)</f>
        <v>0</v>
      </c>
      <c r="K453" s="81"/>
      <c r="L453" s="81"/>
    </row>
    <row r="454" spans="2:12" s="19" customFormat="1">
      <c r="B454" s="223" t="s">
        <v>658</v>
      </c>
      <c r="C454" s="223" t="s">
        <v>654</v>
      </c>
      <c r="D454" s="223" t="s">
        <v>38</v>
      </c>
      <c r="E454" s="224">
        <v>0</v>
      </c>
      <c r="F454" s="223" t="s">
        <v>17</v>
      </c>
      <c r="G454" s="223">
        <f t="shared" si="11"/>
        <v>0</v>
      </c>
      <c r="H454" s="225">
        <f t="shared" si="12"/>
        <v>0</v>
      </c>
      <c r="K454" s="80"/>
      <c r="L454" s="80"/>
    </row>
    <row r="455" spans="2:12" s="19" customFormat="1" ht="17" thickBot="1">
      <c r="B455" s="223" t="s">
        <v>659</v>
      </c>
      <c r="C455" s="223" t="s">
        <v>654</v>
      </c>
      <c r="D455" s="223" t="s">
        <v>148</v>
      </c>
      <c r="E455" s="224">
        <v>0</v>
      </c>
      <c r="F455" s="223" t="s">
        <v>17</v>
      </c>
      <c r="G455" s="223">
        <f t="shared" si="11"/>
        <v>0</v>
      </c>
      <c r="H455" s="225">
        <f t="shared" si="12"/>
        <v>0</v>
      </c>
      <c r="K455" s="80"/>
      <c r="L455" s="80"/>
    </row>
    <row r="456" spans="2:12" s="19" customFormat="1" ht="17" thickBot="1">
      <c r="B456" s="223" t="s">
        <v>660</v>
      </c>
      <c r="C456" s="223" t="s">
        <v>654</v>
      </c>
      <c r="D456" s="223" t="s">
        <v>25</v>
      </c>
      <c r="E456" s="224">
        <v>0</v>
      </c>
      <c r="F456" s="223" t="s">
        <v>17</v>
      </c>
      <c r="G456" s="223">
        <f t="shared" si="11"/>
        <v>0</v>
      </c>
      <c r="H456" s="225">
        <f t="shared" si="12"/>
        <v>0</v>
      </c>
      <c r="I456" s="221" t="s">
        <v>652</v>
      </c>
      <c r="J456" s="234"/>
      <c r="K456" s="235">
        <f>SUM(G263/12)</f>
        <v>0</v>
      </c>
      <c r="L456" s="80"/>
    </row>
    <row r="457" spans="2:12" s="19" customFormat="1">
      <c r="B457" s="223" t="s">
        <v>661</v>
      </c>
      <c r="C457" s="223" t="s">
        <v>654</v>
      </c>
      <c r="D457" s="223" t="s">
        <v>23</v>
      </c>
      <c r="E457" s="224">
        <v>0</v>
      </c>
      <c r="F457" s="223" t="s">
        <v>17</v>
      </c>
      <c r="G457" s="223">
        <f t="shared" si="11"/>
        <v>0</v>
      </c>
      <c r="H457" s="225">
        <f t="shared" si="12"/>
        <v>0</v>
      </c>
      <c r="I457" s="221" t="s">
        <v>653</v>
      </c>
      <c r="J457" s="222"/>
      <c r="K457" s="80"/>
      <c r="L457" s="80"/>
    </row>
    <row r="458" spans="2:12" s="19" customFormat="1">
      <c r="B458" s="223" t="s">
        <v>662</v>
      </c>
      <c r="C458" s="223" t="s">
        <v>654</v>
      </c>
      <c r="D458" s="223" t="s">
        <v>292</v>
      </c>
      <c r="E458" s="224">
        <v>0</v>
      </c>
      <c r="F458" s="223" t="s">
        <v>17</v>
      </c>
      <c r="G458" s="223">
        <f t="shared" si="11"/>
        <v>0</v>
      </c>
      <c r="H458" s="225">
        <f t="shared" si="12"/>
        <v>0</v>
      </c>
      <c r="I458" s="222" t="s">
        <v>655</v>
      </c>
      <c r="J458" s="222"/>
    </row>
    <row r="459" spans="2:12" s="19" customFormat="1" ht="17" thickBot="1">
      <c r="B459" s="227"/>
      <c r="E459" s="155" t="s">
        <v>58</v>
      </c>
      <c r="F459" s="156"/>
      <c r="G459" s="226">
        <f>SUM(G400:G450,G329:G393,G308:G325,G300:G305,G211:G297)</f>
        <v>0</v>
      </c>
      <c r="H459" s="104">
        <f>SUM(H400:H450,H329:H393,H308:H325,H300:H305,H211:H297)</f>
        <v>0</v>
      </c>
      <c r="I459" s="222" t="s">
        <v>656</v>
      </c>
      <c r="J459" s="222"/>
    </row>
    <row r="460" spans="2:12" s="19" customFormat="1"/>
    <row r="461" spans="2:12" s="19" customFormat="1"/>
    <row r="462" spans="2:12" s="19" customFormat="1"/>
    <row r="463" spans="2:12" s="19" customFormat="1"/>
    <row r="464" spans="2:12" s="19" customFormat="1">
      <c r="F464" s="220"/>
      <c r="G464" s="126"/>
    </row>
    <row r="465" spans="1:10" s="19" customFormat="1">
      <c r="B465" s="80"/>
      <c r="C465" s="80"/>
      <c r="D465" s="81" t="s">
        <v>45</v>
      </c>
      <c r="E465" s="81"/>
      <c r="F465" s="81"/>
      <c r="G465" s="145"/>
      <c r="H465" s="81"/>
    </row>
    <row r="466" spans="1:10" s="19" customFormat="1">
      <c r="B466" s="80"/>
      <c r="C466" s="80"/>
      <c r="D466" s="81" t="s">
        <v>0</v>
      </c>
      <c r="E466" s="80"/>
      <c r="F466" s="80"/>
      <c r="G466" s="146"/>
      <c r="H466" s="80"/>
    </row>
    <row r="467" spans="1:10" s="19" customFormat="1">
      <c r="B467" s="80"/>
      <c r="C467" s="80"/>
      <c r="D467" s="81" t="s">
        <v>55</v>
      </c>
      <c r="E467" s="80"/>
      <c r="F467" s="80"/>
      <c r="G467" s="146"/>
      <c r="H467" s="80"/>
    </row>
    <row r="468" spans="1:10" s="19" customFormat="1">
      <c r="B468" s="80"/>
      <c r="C468" s="80"/>
      <c r="D468" s="81" t="s">
        <v>634</v>
      </c>
      <c r="E468" s="80"/>
      <c r="F468" s="80"/>
      <c r="G468" s="146"/>
      <c r="H468" s="80"/>
    </row>
    <row r="469" spans="1:10" s="19" customFormat="1">
      <c r="B469" s="80"/>
      <c r="C469" s="80"/>
      <c r="D469" s="81" t="s">
        <v>1</v>
      </c>
      <c r="E469" s="80"/>
      <c r="F469" s="80"/>
      <c r="G469" s="146"/>
      <c r="H469" s="80"/>
    </row>
    <row r="470" spans="1:10" s="19" customFormat="1">
      <c r="A470" s="80"/>
      <c r="D470" s="103"/>
      <c r="G470" s="126"/>
      <c r="I470" s="81"/>
      <c r="J470" s="81"/>
    </row>
    <row r="471" spans="1:10" s="19" customFormat="1">
      <c r="A471" s="80"/>
      <c r="G471" s="126"/>
      <c r="I471" s="80"/>
      <c r="J471" s="80"/>
    </row>
    <row r="472" spans="1:10" s="19" customFormat="1">
      <c r="A472" s="80"/>
      <c r="G472" s="126"/>
      <c r="I472" s="80"/>
      <c r="J472" s="80"/>
    </row>
    <row r="473" spans="1:10" s="19" customFormat="1">
      <c r="A473" s="80"/>
      <c r="G473" s="126"/>
      <c r="I473" s="80"/>
      <c r="J473" s="80"/>
    </row>
    <row r="474" spans="1:10" s="19" customFormat="1">
      <c r="A474" s="80"/>
      <c r="G474" s="126"/>
      <c r="I474" s="80"/>
      <c r="J474" s="80"/>
    </row>
    <row r="475" spans="1:10" s="19" customFormat="1">
      <c r="G475" s="126"/>
    </row>
    <row r="476" spans="1:10" s="19" customFormat="1">
      <c r="G476" s="126"/>
    </row>
    <row r="477" spans="1:10" s="19" customFormat="1">
      <c r="G477" s="126"/>
    </row>
    <row r="478" spans="1:10" s="19" customFormat="1">
      <c r="G478" s="126"/>
    </row>
    <row r="479" spans="1:10" s="19" customFormat="1">
      <c r="G479" s="126"/>
    </row>
    <row r="480" spans="1:10" s="19" customFormat="1">
      <c r="G480" s="126"/>
    </row>
    <row r="481" spans="7:7" s="19" customFormat="1">
      <c r="G481" s="126"/>
    </row>
    <row r="482" spans="7:7" s="19" customFormat="1">
      <c r="G482" s="126"/>
    </row>
    <row r="483" spans="7:7" s="19" customFormat="1">
      <c r="G483" s="126"/>
    </row>
    <row r="484" spans="7:7" s="19" customFormat="1">
      <c r="G484" s="126"/>
    </row>
    <row r="485" spans="7:7" s="19" customFormat="1">
      <c r="G485" s="126"/>
    </row>
    <row r="486" spans="7:7" s="19" customFormat="1">
      <c r="G486" s="126"/>
    </row>
    <row r="487" spans="7:7" s="19" customFormat="1">
      <c r="G487" s="126"/>
    </row>
    <row r="488" spans="7:7" s="19" customFormat="1">
      <c r="G488" s="126"/>
    </row>
    <row r="489" spans="7:7" s="19" customFormat="1">
      <c r="G489" s="126"/>
    </row>
    <row r="490" spans="7:7" s="19" customFormat="1">
      <c r="G490" s="126"/>
    </row>
    <row r="491" spans="7:7" s="19" customFormat="1">
      <c r="G491" s="126"/>
    </row>
    <row r="492" spans="7:7" s="19" customFormat="1">
      <c r="G492" s="126"/>
    </row>
    <row r="493" spans="7:7" s="19" customFormat="1">
      <c r="G493" s="126"/>
    </row>
    <row r="494" spans="7:7" s="19" customFormat="1">
      <c r="G494" s="126"/>
    </row>
    <row r="495" spans="7:7" s="19" customFormat="1">
      <c r="G495" s="126"/>
    </row>
    <row r="496" spans="7:7" s="19" customFormat="1">
      <c r="G496" s="126"/>
    </row>
    <row r="497" spans="7:7" s="19" customFormat="1">
      <c r="G497" s="126"/>
    </row>
    <row r="498" spans="7:7" s="19" customFormat="1">
      <c r="G498" s="126"/>
    </row>
    <row r="499" spans="7:7" s="19" customFormat="1">
      <c r="G499" s="126"/>
    </row>
    <row r="500" spans="7:7" s="19" customFormat="1">
      <c r="G500" s="126"/>
    </row>
    <row r="501" spans="7:7" s="19" customFormat="1">
      <c r="G501" s="126"/>
    </row>
    <row r="502" spans="7:7" s="19" customFormat="1">
      <c r="G502" s="126"/>
    </row>
    <row r="503" spans="7:7" s="19" customFormat="1">
      <c r="G503" s="126"/>
    </row>
    <row r="504" spans="7:7" s="19" customFormat="1">
      <c r="G504" s="126"/>
    </row>
    <row r="505" spans="7:7" s="19" customFormat="1">
      <c r="G505" s="126"/>
    </row>
    <row r="506" spans="7:7" s="19" customFormat="1">
      <c r="G506" s="126"/>
    </row>
    <row r="507" spans="7:7" s="19" customFormat="1">
      <c r="G507" s="126"/>
    </row>
    <row r="508" spans="7:7" s="19" customFormat="1">
      <c r="G508" s="126"/>
    </row>
    <row r="509" spans="7:7" s="19" customFormat="1">
      <c r="G509" s="126"/>
    </row>
    <row r="510" spans="7:7" s="19" customFormat="1">
      <c r="G510" s="126"/>
    </row>
    <row r="511" spans="7:7" s="19" customFormat="1">
      <c r="G511" s="126"/>
    </row>
    <row r="512" spans="7:7" s="19" customFormat="1">
      <c r="G512" s="126"/>
    </row>
    <row r="513" spans="7:7" s="19" customFormat="1">
      <c r="G513" s="126"/>
    </row>
    <row r="514" spans="7:7" s="19" customFormat="1">
      <c r="G514" s="126"/>
    </row>
    <row r="515" spans="7:7" s="19" customFormat="1">
      <c r="G515" s="126"/>
    </row>
    <row r="516" spans="7:7" s="19" customFormat="1">
      <c r="G516" s="126"/>
    </row>
    <row r="517" spans="7:7" s="19" customFormat="1">
      <c r="G517" s="126"/>
    </row>
    <row r="518" spans="7:7" s="19" customFormat="1">
      <c r="G518" s="126"/>
    </row>
    <row r="519" spans="7:7" s="19" customFormat="1">
      <c r="G519" s="126"/>
    </row>
    <row r="520" spans="7:7" s="19" customFormat="1">
      <c r="G520" s="126"/>
    </row>
    <row r="521" spans="7:7" s="19" customFormat="1">
      <c r="G521" s="126"/>
    </row>
    <row r="522" spans="7:7" s="19" customFormat="1">
      <c r="G522" s="126"/>
    </row>
    <row r="523" spans="7:7" s="19" customFormat="1">
      <c r="G523" s="126"/>
    </row>
    <row r="524" spans="7:7" s="19" customFormat="1">
      <c r="G524" s="126"/>
    </row>
    <row r="525" spans="7:7" s="19" customFormat="1">
      <c r="G525" s="126"/>
    </row>
    <row r="526" spans="7:7" s="19" customFormat="1">
      <c r="G526" s="126"/>
    </row>
    <row r="527" spans="7:7" s="19" customFormat="1">
      <c r="G527" s="126"/>
    </row>
    <row r="528" spans="7:7" s="19" customFormat="1">
      <c r="G528" s="126"/>
    </row>
    <row r="529" spans="7:7" s="19" customFormat="1">
      <c r="G529" s="126"/>
    </row>
    <row r="530" spans="7:7" s="19" customFormat="1">
      <c r="G530" s="126"/>
    </row>
    <row r="531" spans="7:7" s="19" customFormat="1">
      <c r="G531" s="126"/>
    </row>
    <row r="532" spans="7:7" s="19" customFormat="1">
      <c r="G532" s="126"/>
    </row>
    <row r="533" spans="7:7" s="19" customFormat="1">
      <c r="G533" s="126"/>
    </row>
    <row r="534" spans="7:7" s="19" customFormat="1">
      <c r="G534" s="126"/>
    </row>
    <row r="535" spans="7:7" s="19" customFormat="1">
      <c r="G535" s="126"/>
    </row>
    <row r="536" spans="7:7" s="19" customFormat="1">
      <c r="G536" s="126"/>
    </row>
    <row r="537" spans="7:7" s="19" customFormat="1">
      <c r="G537" s="126"/>
    </row>
    <row r="538" spans="7:7" s="19" customFormat="1">
      <c r="G538" s="126"/>
    </row>
    <row r="539" spans="7:7" s="19" customFormat="1">
      <c r="G539" s="126"/>
    </row>
    <row r="540" spans="7:7" s="19" customFormat="1">
      <c r="G540" s="126"/>
    </row>
    <row r="541" spans="7:7" s="19" customFormat="1">
      <c r="G541" s="126"/>
    </row>
    <row r="542" spans="7:7" s="19" customFormat="1">
      <c r="G542" s="126"/>
    </row>
    <row r="543" spans="7:7" s="19" customFormat="1">
      <c r="G543" s="126"/>
    </row>
    <row r="544" spans="7:7" s="19" customFormat="1">
      <c r="G544" s="126"/>
    </row>
    <row r="545" spans="7:7" s="19" customFormat="1">
      <c r="G545" s="126"/>
    </row>
    <row r="546" spans="7:7" s="19" customFormat="1">
      <c r="G546" s="126"/>
    </row>
    <row r="547" spans="7:7" s="19" customFormat="1">
      <c r="G547" s="126"/>
    </row>
    <row r="548" spans="7:7" s="19" customFormat="1">
      <c r="G548" s="126"/>
    </row>
    <row r="549" spans="7:7" s="19" customFormat="1">
      <c r="G549" s="126"/>
    </row>
    <row r="550" spans="7:7" s="19" customFormat="1">
      <c r="G550" s="126"/>
    </row>
    <row r="551" spans="7:7" s="19" customFormat="1">
      <c r="G551" s="126"/>
    </row>
    <row r="552" spans="7:7" s="19" customFormat="1">
      <c r="G552" s="126"/>
    </row>
    <row r="553" spans="7:7" s="19" customFormat="1">
      <c r="G553" s="126"/>
    </row>
    <row r="554" spans="7:7" s="19" customFormat="1">
      <c r="G554" s="126"/>
    </row>
    <row r="555" spans="7:7" s="19" customFormat="1">
      <c r="G555" s="126"/>
    </row>
    <row r="556" spans="7:7" s="19" customFormat="1">
      <c r="G556" s="126"/>
    </row>
    <row r="557" spans="7:7" s="19" customFormat="1">
      <c r="G557" s="126"/>
    </row>
    <row r="558" spans="7:7" s="19" customFormat="1">
      <c r="G558" s="126"/>
    </row>
    <row r="559" spans="7:7" s="19" customFormat="1">
      <c r="G559" s="126"/>
    </row>
    <row r="560" spans="7:7" s="19" customFormat="1">
      <c r="G560" s="126"/>
    </row>
    <row r="561" spans="1:10" s="19" customFormat="1">
      <c r="G561" s="126"/>
    </row>
    <row r="562" spans="1:10" s="19" customFormat="1">
      <c r="G562" s="126"/>
    </row>
    <row r="563" spans="1:10" s="19" customFormat="1">
      <c r="G563" s="126"/>
    </row>
    <row r="564" spans="1:10" s="19" customFormat="1">
      <c r="G564" s="126"/>
    </row>
    <row r="565" spans="1:10" s="19" customFormat="1">
      <c r="G565" s="126"/>
    </row>
    <row r="566" spans="1:10" s="19" customFormat="1">
      <c r="G566" s="126"/>
    </row>
    <row r="567" spans="1:10" s="19" customFormat="1">
      <c r="G567" s="126"/>
    </row>
    <row r="568" spans="1:10" s="19" customFormat="1">
      <c r="G568" s="126"/>
    </row>
    <row r="569" spans="1:10" s="19" customFormat="1">
      <c r="G569" s="126"/>
    </row>
    <row r="570" spans="1:10" s="19" customFormat="1">
      <c r="G570" s="126"/>
    </row>
    <row r="571" spans="1:10" s="19" customFormat="1">
      <c r="G571" s="126"/>
    </row>
    <row r="572" spans="1:10" s="19" customFormat="1">
      <c r="G572" s="126"/>
    </row>
    <row r="573" spans="1:10" s="19" customFormat="1">
      <c r="G573" s="126"/>
    </row>
    <row r="574" spans="1:10" s="19" customFormat="1">
      <c r="G574" s="126"/>
    </row>
    <row r="575" spans="1:10">
      <c r="A575" s="19"/>
      <c r="B575" s="19"/>
      <c r="C575" s="19"/>
      <c r="D575" s="19"/>
      <c r="E575" s="19"/>
      <c r="F575" s="19"/>
      <c r="G575" s="126"/>
      <c r="H575" s="19"/>
      <c r="I575" s="19"/>
      <c r="J575" s="19"/>
    </row>
    <row r="576" spans="1:10">
      <c r="A576" s="19"/>
      <c r="B576" s="19"/>
      <c r="C576" s="19"/>
      <c r="D576" s="19"/>
      <c r="E576" s="19"/>
      <c r="F576" s="19"/>
      <c r="G576" s="126"/>
      <c r="H576" s="19"/>
      <c r="I576" s="19"/>
      <c r="J576" s="19"/>
    </row>
    <row r="577" spans="1:10">
      <c r="A577" s="19"/>
      <c r="B577" s="19"/>
      <c r="C577" s="19"/>
      <c r="D577" s="19"/>
      <c r="E577" s="19"/>
      <c r="F577" s="19"/>
      <c r="G577" s="126"/>
      <c r="H577" s="19"/>
      <c r="I577" s="19"/>
      <c r="J577" s="19"/>
    </row>
    <row r="578" spans="1:10">
      <c r="A578" s="19"/>
      <c r="B578" s="19"/>
      <c r="C578" s="19"/>
      <c r="D578" s="19"/>
      <c r="E578" s="19"/>
      <c r="F578" s="19"/>
      <c r="G578" s="126"/>
      <c r="H578" s="19"/>
      <c r="I578" s="19"/>
      <c r="J578" s="19"/>
    </row>
    <row r="579" spans="1:10">
      <c r="A579" s="19"/>
      <c r="B579" s="19"/>
      <c r="C579" s="19"/>
      <c r="D579" s="19"/>
      <c r="E579" s="19"/>
      <c r="F579" s="19"/>
      <c r="G579" s="126"/>
      <c r="H579" s="19"/>
      <c r="I579" s="19"/>
      <c r="J579" s="19"/>
    </row>
    <row r="580" spans="1:10">
      <c r="A580" s="19"/>
      <c r="B580" s="19"/>
      <c r="C580" s="19"/>
      <c r="D580" s="19"/>
      <c r="E580" s="19"/>
      <c r="F580" s="19"/>
      <c r="G580" s="126"/>
      <c r="H580" s="19"/>
      <c r="I580" s="19"/>
      <c r="J580" s="19"/>
    </row>
    <row r="581" spans="1:10">
      <c r="A581" s="19"/>
      <c r="B581" s="19"/>
      <c r="C581" s="19"/>
      <c r="D581" s="19"/>
      <c r="E581" s="19"/>
      <c r="F581" s="19"/>
      <c r="G581" s="126"/>
      <c r="H581" s="19"/>
      <c r="I581" s="19"/>
      <c r="J581" s="19"/>
    </row>
    <row r="582" spans="1:10">
      <c r="A582" s="19"/>
      <c r="B582" s="19"/>
      <c r="C582" s="19"/>
      <c r="D582" s="19"/>
      <c r="E582" s="19"/>
      <c r="F582" s="19"/>
      <c r="G582" s="126"/>
      <c r="H582" s="19"/>
      <c r="I582" s="19"/>
      <c r="J582" s="19"/>
    </row>
    <row r="583" spans="1:10">
      <c r="A583" s="19"/>
      <c r="B583" s="19"/>
      <c r="C583" s="19"/>
      <c r="D583" s="19"/>
      <c r="E583" s="19"/>
      <c r="F583" s="19"/>
      <c r="G583" s="126"/>
      <c r="H583" s="19"/>
      <c r="I583" s="19"/>
      <c r="J583" s="19"/>
    </row>
    <row r="584" spans="1:10">
      <c r="A584" s="19"/>
      <c r="B584" s="19"/>
      <c r="C584" s="19"/>
      <c r="D584" s="19"/>
      <c r="E584" s="19"/>
      <c r="F584" s="19"/>
      <c r="G584" s="126"/>
      <c r="H584" s="19"/>
      <c r="I584" s="19"/>
      <c r="J584" s="19"/>
    </row>
    <row r="585" spans="1:10">
      <c r="A585" s="19"/>
      <c r="B585" s="19"/>
      <c r="C585" s="19"/>
      <c r="D585" s="19"/>
      <c r="E585" s="19"/>
      <c r="F585" s="19"/>
      <c r="G585" s="126"/>
      <c r="H585" s="19"/>
      <c r="I585" s="19"/>
      <c r="J585" s="19"/>
    </row>
    <row r="586" spans="1:10">
      <c r="A586" s="19"/>
      <c r="I586" s="19"/>
      <c r="J586" s="19"/>
    </row>
    <row r="587" spans="1:10">
      <c r="A587" s="19"/>
      <c r="I587" s="19"/>
      <c r="J587" s="19"/>
    </row>
    <row r="588" spans="1:10">
      <c r="A588" s="19"/>
      <c r="I588" s="19"/>
      <c r="J588" s="19"/>
    </row>
    <row r="589" spans="1:10">
      <c r="A589" s="19"/>
      <c r="I589" s="19"/>
      <c r="J589" s="19"/>
    </row>
    <row r="590" spans="1:10">
      <c r="A590" s="19"/>
      <c r="I590" s="19"/>
      <c r="J590" s="19"/>
    </row>
    <row r="591" spans="1:10">
      <c r="A591" s="19"/>
      <c r="I591" s="19"/>
      <c r="J591" s="19"/>
    </row>
  </sheetData>
  <mergeCells count="108">
    <mergeCell ref="E459:F459"/>
    <mergeCell ref="B29:H29"/>
    <mergeCell ref="C224:C225"/>
    <mergeCell ref="C378:C382"/>
    <mergeCell ref="C326:C330"/>
    <mergeCell ref="B366:H366"/>
    <mergeCell ref="C368:C372"/>
    <mergeCell ref="C373:C377"/>
    <mergeCell ref="B264:H264"/>
    <mergeCell ref="B209:H209"/>
    <mergeCell ref="D263:F263"/>
    <mergeCell ref="C301:C310"/>
    <mergeCell ref="C291:C300"/>
    <mergeCell ref="C154:C156"/>
    <mergeCell ref="C311:C315"/>
    <mergeCell ref="C226:C227"/>
    <mergeCell ref="C228:C229"/>
    <mergeCell ref="C230:C231"/>
    <mergeCell ref="C216:C217"/>
    <mergeCell ref="C218:C221"/>
    <mergeCell ref="C408:C412"/>
    <mergeCell ref="C413:C417"/>
    <mergeCell ref="C383:C387"/>
    <mergeCell ref="C388:C392"/>
    <mergeCell ref="C393:C397"/>
    <mergeCell ref="C398:C402"/>
    <mergeCell ref="C403:C407"/>
    <mergeCell ref="C68:C71"/>
    <mergeCell ref="C72:C75"/>
    <mergeCell ref="C80:C82"/>
    <mergeCell ref="C83:C86"/>
    <mergeCell ref="C41:C52"/>
    <mergeCell ref="C53:C56"/>
    <mergeCell ref="C57:C60"/>
    <mergeCell ref="C61:C64"/>
    <mergeCell ref="C65:C67"/>
    <mergeCell ref="C76:C79"/>
    <mergeCell ref="C96:C97"/>
    <mergeCell ref="C162:C163"/>
    <mergeCell ref="C160:C161"/>
    <mergeCell ref="C259:C260"/>
    <mergeCell ref="C261:C262"/>
    <mergeCell ref="C266:C290"/>
    <mergeCell ref="C99:C111"/>
    <mergeCell ref="C112:C114"/>
    <mergeCell ref="C115:C120"/>
    <mergeCell ref="C121:C126"/>
    <mergeCell ref="C127:C132"/>
    <mergeCell ref="C157:C159"/>
    <mergeCell ref="C165:C170"/>
    <mergeCell ref="C171:C173"/>
    <mergeCell ref="C174:C176"/>
    <mergeCell ref="C177:C179"/>
    <mergeCell ref="C180:C182"/>
    <mergeCell ref="C183:C185"/>
    <mergeCell ref="C186:C188"/>
    <mergeCell ref="C189:C190"/>
    <mergeCell ref="C133:C138"/>
    <mergeCell ref="C139:C144"/>
    <mergeCell ref="C145:C147"/>
    <mergeCell ref="E20:G20"/>
    <mergeCell ref="F23:H23"/>
    <mergeCell ref="E13:G13"/>
    <mergeCell ref="E14:G14"/>
    <mergeCell ref="E15:G15"/>
    <mergeCell ref="E16:G16"/>
    <mergeCell ref="E17:G17"/>
    <mergeCell ref="E18:G18"/>
    <mergeCell ref="C316:C325"/>
    <mergeCell ref="B191:H191"/>
    <mergeCell ref="C193:C196"/>
    <mergeCell ref="C197:C200"/>
    <mergeCell ref="C201:C204"/>
    <mergeCell ref="C205:C208"/>
    <mergeCell ref="C211:C215"/>
    <mergeCell ref="C222:C223"/>
    <mergeCell ref="C232:C233"/>
    <mergeCell ref="C234:C235"/>
    <mergeCell ref="C236:C237"/>
    <mergeCell ref="C238:C241"/>
    <mergeCell ref="C251:C252"/>
    <mergeCell ref="C253:C254"/>
    <mergeCell ref="C255:C256"/>
    <mergeCell ref="C257:C258"/>
    <mergeCell ref="E448:F448"/>
    <mergeCell ref="E21:G21"/>
    <mergeCell ref="E22:G22"/>
    <mergeCell ref="C151:C153"/>
    <mergeCell ref="C148:C150"/>
    <mergeCell ref="C242:C250"/>
    <mergeCell ref="C423:C427"/>
    <mergeCell ref="C428:C432"/>
    <mergeCell ref="C433:C437"/>
    <mergeCell ref="C438:C442"/>
    <mergeCell ref="C443:C447"/>
    <mergeCell ref="C331:C335"/>
    <mergeCell ref="C336:C345"/>
    <mergeCell ref="C346:C355"/>
    <mergeCell ref="C356:C365"/>
    <mergeCell ref="C418:C422"/>
    <mergeCell ref="C30:C35"/>
    <mergeCell ref="C36:C39"/>
    <mergeCell ref="C87:C90"/>
    <mergeCell ref="C91:C93"/>
    <mergeCell ref="C94:C95"/>
    <mergeCell ref="B40:H40"/>
    <mergeCell ref="B98:H98"/>
    <mergeCell ref="B164:H164"/>
  </mergeCells>
  <phoneticPr fontId="26" type="noConversion"/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DF20-3840-B446-8AC3-B4EA25F7075F}">
  <dimension ref="B1:J43"/>
  <sheetViews>
    <sheetView showGridLines="0" zoomScaleNormal="100" workbookViewId="0">
      <selection activeCell="B14" sqref="B14"/>
    </sheetView>
  </sheetViews>
  <sheetFormatPr baseColWidth="10" defaultRowHeight="16"/>
  <cols>
    <col min="1" max="1" width="4.33203125" customWidth="1"/>
    <col min="2" max="2" width="123.6640625" bestFit="1" customWidth="1"/>
    <col min="3" max="3" width="13.5" bestFit="1" customWidth="1"/>
  </cols>
  <sheetData>
    <row r="1" spans="2:10">
      <c r="B1" s="236" t="s">
        <v>667</v>
      </c>
      <c r="C1" s="237" t="s">
        <v>664</v>
      </c>
      <c r="D1" s="238" t="s">
        <v>665</v>
      </c>
    </row>
    <row r="2" spans="2:10">
      <c r="B2" s="241" t="s">
        <v>669</v>
      </c>
      <c r="C2" s="239" t="s">
        <v>671</v>
      </c>
      <c r="D2" s="240">
        <v>0.02</v>
      </c>
    </row>
    <row r="3" spans="2:10">
      <c r="B3" s="242" t="s">
        <v>672</v>
      </c>
      <c r="C3" s="239" t="s">
        <v>670</v>
      </c>
      <c r="D3" s="240">
        <v>0.03</v>
      </c>
    </row>
    <row r="4" spans="2:10">
      <c r="B4" s="243" t="s">
        <v>666</v>
      </c>
      <c r="C4" s="239" t="s">
        <v>668</v>
      </c>
      <c r="D4" s="240">
        <v>0.04</v>
      </c>
    </row>
    <row r="6" spans="2:10" ht="19">
      <c r="B6" s="214" t="s">
        <v>102</v>
      </c>
      <c r="C6" s="215"/>
      <c r="D6" s="216"/>
    </row>
    <row r="7" spans="2:10" ht="19">
      <c r="B7" s="33" t="s">
        <v>103</v>
      </c>
      <c r="C7" s="34"/>
      <c r="D7" s="35"/>
    </row>
    <row r="8" spans="2:10" ht="19">
      <c r="B8" s="33" t="s">
        <v>104</v>
      </c>
      <c r="C8" s="34"/>
      <c r="D8" s="35"/>
      <c r="E8" s="32"/>
      <c r="F8" s="32"/>
      <c r="G8" s="32"/>
      <c r="H8" s="32"/>
      <c r="I8" s="32"/>
      <c r="J8" s="32"/>
    </row>
    <row r="9" spans="2:10" ht="19">
      <c r="B9" s="33" t="s">
        <v>105</v>
      </c>
      <c r="C9" s="34"/>
      <c r="D9" s="35"/>
      <c r="E9" s="32"/>
      <c r="F9" s="32"/>
      <c r="G9" s="32"/>
      <c r="H9" s="32"/>
      <c r="I9" s="32"/>
      <c r="J9" s="32"/>
    </row>
    <row r="10" spans="2:10" ht="19">
      <c r="B10" s="33" t="s">
        <v>106</v>
      </c>
      <c r="C10" s="34"/>
      <c r="D10" s="35"/>
      <c r="E10" s="32"/>
      <c r="F10" s="32"/>
      <c r="G10" s="32"/>
      <c r="H10" s="32"/>
      <c r="I10" s="32"/>
      <c r="J10" s="32"/>
    </row>
    <row r="11" spans="2:10" ht="19">
      <c r="B11" s="33" t="s">
        <v>107</v>
      </c>
      <c r="C11" s="34"/>
      <c r="D11" s="35"/>
      <c r="E11" s="32"/>
      <c r="F11" s="32"/>
      <c r="G11" s="32"/>
      <c r="H11" s="32"/>
      <c r="I11" s="32"/>
      <c r="J11" s="32"/>
    </row>
    <row r="12" spans="2:10" ht="19">
      <c r="B12" s="33" t="s">
        <v>108</v>
      </c>
      <c r="C12" s="34"/>
      <c r="D12" s="35"/>
      <c r="E12" s="32"/>
      <c r="F12" s="32"/>
      <c r="G12" s="32"/>
      <c r="H12" s="32"/>
      <c r="I12" s="32"/>
      <c r="J12" s="32"/>
    </row>
    <row r="13" spans="2:10" ht="19">
      <c r="B13" s="33" t="s">
        <v>109</v>
      </c>
      <c r="C13" s="34"/>
      <c r="D13" s="35"/>
      <c r="E13" s="32"/>
      <c r="F13" s="32"/>
      <c r="G13" s="32"/>
      <c r="H13" s="32"/>
      <c r="I13" s="32"/>
      <c r="J13" s="32"/>
    </row>
    <row r="14" spans="2:10" ht="19">
      <c r="B14" s="33" t="s">
        <v>110</v>
      </c>
      <c r="C14" s="34"/>
      <c r="D14" s="35"/>
      <c r="E14" s="32"/>
      <c r="F14" s="32"/>
      <c r="G14" s="32"/>
      <c r="H14" s="32"/>
      <c r="I14" s="32"/>
      <c r="J14" s="32"/>
    </row>
    <row r="15" spans="2:10" ht="19">
      <c r="B15" s="33" t="s">
        <v>111</v>
      </c>
      <c r="C15" s="34"/>
      <c r="D15" s="35"/>
      <c r="E15" s="32"/>
      <c r="F15" s="32"/>
      <c r="G15" s="32"/>
      <c r="H15" s="32"/>
      <c r="I15" s="32"/>
      <c r="J15" s="32"/>
    </row>
    <row r="16" spans="2:10" ht="19">
      <c r="B16" s="33" t="s">
        <v>112</v>
      </c>
      <c r="C16" s="34"/>
      <c r="D16" s="35"/>
      <c r="E16" s="32"/>
      <c r="F16" s="32"/>
      <c r="G16" s="32"/>
      <c r="H16" s="32"/>
      <c r="I16" s="32"/>
      <c r="J16" s="32"/>
    </row>
    <row r="17" spans="2:10" ht="19">
      <c r="B17" s="33" t="s">
        <v>113</v>
      </c>
      <c r="C17" s="34"/>
      <c r="D17" s="35"/>
      <c r="E17" s="32"/>
      <c r="F17" s="32"/>
      <c r="G17" s="32"/>
      <c r="H17" s="32"/>
      <c r="I17" s="32"/>
      <c r="J17" s="32"/>
    </row>
    <row r="18" spans="2:10" ht="19">
      <c r="B18" s="33" t="s">
        <v>132</v>
      </c>
      <c r="C18" s="34"/>
      <c r="D18" s="35"/>
      <c r="E18" s="32"/>
      <c r="F18" s="32"/>
      <c r="G18" s="32"/>
      <c r="H18" s="32"/>
      <c r="I18" s="32"/>
      <c r="J18" s="32"/>
    </row>
    <row r="19" spans="2:10" ht="19">
      <c r="B19" s="33" t="s">
        <v>114</v>
      </c>
      <c r="C19" s="34"/>
      <c r="D19" s="35"/>
      <c r="E19" s="32"/>
      <c r="F19" s="32"/>
      <c r="G19" s="32"/>
      <c r="H19" s="32"/>
      <c r="I19" s="32"/>
      <c r="J19" s="32"/>
    </row>
    <row r="20" spans="2:10" ht="19">
      <c r="B20" s="33" t="s">
        <v>115</v>
      </c>
      <c r="C20" s="34"/>
      <c r="D20" s="35"/>
      <c r="E20" s="32"/>
      <c r="F20" s="32"/>
      <c r="G20" s="32"/>
      <c r="H20" s="32"/>
      <c r="I20" s="32"/>
      <c r="J20" s="32"/>
    </row>
    <row r="21" spans="2:10" ht="19">
      <c r="B21" s="33" t="s">
        <v>116</v>
      </c>
      <c r="C21" s="34"/>
      <c r="D21" s="35"/>
      <c r="E21" s="32"/>
      <c r="F21" s="32"/>
      <c r="G21" s="32"/>
      <c r="H21" s="32"/>
      <c r="I21" s="32"/>
      <c r="J21" s="32"/>
    </row>
    <row r="22" spans="2:10" ht="19">
      <c r="B22" s="36" t="s">
        <v>117</v>
      </c>
      <c r="C22" s="37"/>
      <c r="D22" s="38"/>
      <c r="E22" s="32"/>
      <c r="F22" s="32"/>
      <c r="G22" s="32"/>
      <c r="H22" s="32"/>
      <c r="I22" s="32"/>
      <c r="J22" s="32"/>
    </row>
    <row r="23" spans="2:10" ht="19">
      <c r="B23" s="39"/>
      <c r="C23" s="40"/>
      <c r="D23" s="40"/>
      <c r="E23" s="32"/>
      <c r="F23" s="32"/>
      <c r="G23" s="32"/>
      <c r="H23" s="32"/>
      <c r="I23" s="32"/>
      <c r="J23" s="32"/>
    </row>
    <row r="24" spans="2:10" ht="19">
      <c r="B24" s="214" t="s">
        <v>118</v>
      </c>
      <c r="C24" s="215"/>
      <c r="D24" s="216"/>
      <c r="E24" s="32"/>
      <c r="F24" s="32"/>
      <c r="G24" s="32"/>
      <c r="H24" s="32"/>
      <c r="I24" s="32"/>
      <c r="J24" s="32"/>
    </row>
    <row r="25" spans="2:10" ht="19">
      <c r="B25" s="41" t="s">
        <v>119</v>
      </c>
      <c r="C25" s="40"/>
      <c r="D25" s="42"/>
      <c r="E25" s="32"/>
      <c r="F25" s="32"/>
      <c r="G25" s="32"/>
      <c r="H25" s="32"/>
      <c r="I25" s="32"/>
      <c r="J25" s="32"/>
    </row>
    <row r="26" spans="2:10" ht="19">
      <c r="B26" s="41" t="s">
        <v>642</v>
      </c>
      <c r="C26" s="40"/>
      <c r="D26" s="42"/>
      <c r="E26" s="32"/>
      <c r="F26" s="32"/>
      <c r="G26" s="32"/>
      <c r="H26" s="32"/>
      <c r="I26" s="32"/>
      <c r="J26" s="32"/>
    </row>
    <row r="27" spans="2:10" ht="19">
      <c r="B27" s="41" t="s">
        <v>120</v>
      </c>
      <c r="C27" s="40"/>
      <c r="D27" s="42"/>
      <c r="E27" s="32"/>
      <c r="F27" s="32"/>
      <c r="G27" s="32"/>
      <c r="H27" s="32"/>
      <c r="I27" s="32"/>
      <c r="J27" s="32"/>
    </row>
    <row r="28" spans="2:10" ht="19">
      <c r="B28" s="33" t="s">
        <v>121</v>
      </c>
      <c r="C28" s="34"/>
      <c r="D28" s="35"/>
      <c r="E28" s="32"/>
      <c r="F28" s="32"/>
      <c r="G28" s="32"/>
      <c r="H28" s="32"/>
      <c r="I28" s="32"/>
      <c r="J28" s="32"/>
    </row>
    <row r="29" spans="2:10" ht="19">
      <c r="B29" s="41" t="s">
        <v>122</v>
      </c>
      <c r="C29" s="40"/>
      <c r="D29" s="42"/>
      <c r="E29" s="32"/>
      <c r="F29" s="32"/>
      <c r="G29" s="32"/>
      <c r="H29" s="32"/>
      <c r="I29" s="32"/>
      <c r="J29" s="32"/>
    </row>
    <row r="30" spans="2:10" ht="19">
      <c r="B30" s="43" t="s">
        <v>123</v>
      </c>
      <c r="C30" s="44"/>
      <c r="D30" s="45"/>
      <c r="E30" s="32"/>
      <c r="F30" s="32"/>
      <c r="G30" s="32"/>
      <c r="H30" s="32"/>
      <c r="I30" s="32"/>
      <c r="J30" s="32"/>
    </row>
    <row r="31" spans="2:10" ht="19">
      <c r="B31" s="39"/>
      <c r="C31" s="40"/>
      <c r="D31" s="40"/>
      <c r="E31" s="32"/>
      <c r="F31" s="32"/>
      <c r="G31" s="32"/>
      <c r="H31" s="32"/>
      <c r="I31" s="32"/>
      <c r="J31" s="32"/>
    </row>
    <row r="32" spans="2:10" ht="19">
      <c r="B32" s="214" t="s">
        <v>124</v>
      </c>
      <c r="C32" s="215"/>
      <c r="D32" s="216"/>
      <c r="E32" s="32"/>
      <c r="F32" s="32"/>
      <c r="G32" s="32"/>
      <c r="H32" s="32"/>
      <c r="I32" s="32"/>
      <c r="J32" s="32"/>
    </row>
    <row r="33" spans="2:10" ht="19">
      <c r="B33" s="41" t="s">
        <v>125</v>
      </c>
      <c r="C33" s="40"/>
      <c r="D33" s="42"/>
      <c r="E33" s="32"/>
      <c r="F33" s="32"/>
      <c r="G33" s="32"/>
      <c r="H33" s="32"/>
      <c r="I33" s="32"/>
      <c r="J33" s="32"/>
    </row>
    <row r="34" spans="2:10" ht="19">
      <c r="B34" s="41" t="s">
        <v>650</v>
      </c>
      <c r="C34" s="40"/>
      <c r="D34" s="42"/>
      <c r="E34" s="32"/>
      <c r="F34" s="32"/>
      <c r="G34" s="32"/>
      <c r="H34" s="32"/>
      <c r="I34" s="32"/>
      <c r="J34" s="32"/>
    </row>
    <row r="35" spans="2:10" ht="19">
      <c r="B35" s="41" t="s">
        <v>126</v>
      </c>
      <c r="C35" s="40"/>
      <c r="D35" s="42"/>
      <c r="E35" s="32"/>
      <c r="F35" s="32"/>
      <c r="G35" s="32"/>
      <c r="H35" s="32"/>
      <c r="I35" s="32"/>
      <c r="J35" s="32"/>
    </row>
    <row r="36" spans="2:10" ht="19">
      <c r="B36" s="41" t="s">
        <v>127</v>
      </c>
      <c r="C36" s="40"/>
      <c r="D36" s="42"/>
      <c r="E36" s="32"/>
      <c r="F36" s="32"/>
      <c r="G36" s="32"/>
      <c r="H36" s="32"/>
      <c r="I36" s="32"/>
      <c r="J36" s="32"/>
    </row>
    <row r="37" spans="2:10" ht="19">
      <c r="B37" s="43" t="s">
        <v>128</v>
      </c>
      <c r="C37" s="44"/>
      <c r="D37" s="45"/>
      <c r="E37" s="32"/>
      <c r="F37" s="32"/>
      <c r="G37" s="32"/>
      <c r="H37" s="32"/>
      <c r="I37" s="32"/>
      <c r="J37" s="32"/>
    </row>
    <row r="38" spans="2:10" ht="20" thickBot="1">
      <c r="B38" s="46"/>
      <c r="C38" s="44"/>
      <c r="D38" s="44"/>
      <c r="E38" s="32"/>
      <c r="F38" s="32"/>
      <c r="G38" s="32"/>
      <c r="H38" s="32"/>
      <c r="I38" s="32"/>
      <c r="J38" s="32"/>
    </row>
    <row r="39" spans="2:10" ht="19">
      <c r="B39" s="217" t="s">
        <v>129</v>
      </c>
      <c r="C39" s="218"/>
      <c r="D39" s="219"/>
      <c r="E39" s="32"/>
      <c r="F39" s="32"/>
      <c r="G39" s="32"/>
      <c r="H39" s="32"/>
      <c r="I39" s="32"/>
      <c r="J39" s="32"/>
    </row>
    <row r="40" spans="2:10" ht="19">
      <c r="B40" s="43" t="s">
        <v>130</v>
      </c>
      <c r="C40" s="44"/>
      <c r="D40" s="45"/>
      <c r="E40" s="32"/>
      <c r="F40" s="32"/>
      <c r="G40" s="32"/>
      <c r="H40" s="32"/>
      <c r="I40" s="32"/>
      <c r="J40" s="32"/>
    </row>
    <row r="41" spans="2:10" ht="19">
      <c r="B41" s="47" t="s">
        <v>131</v>
      </c>
      <c r="C41" s="48"/>
      <c r="D41" s="48"/>
      <c r="E41" s="32"/>
      <c r="F41" s="32"/>
      <c r="G41" s="32"/>
      <c r="H41" s="32"/>
      <c r="I41" s="32"/>
      <c r="J41" s="32"/>
    </row>
    <row r="42" spans="2:10" ht="19">
      <c r="E42" s="32"/>
      <c r="F42" s="32"/>
      <c r="G42" s="32"/>
      <c r="H42" s="32"/>
      <c r="I42" s="32"/>
      <c r="J42" s="32"/>
    </row>
    <row r="43" spans="2:10" ht="19">
      <c r="E43" s="32"/>
      <c r="F43" s="32"/>
      <c r="G43" s="32"/>
      <c r="H43" s="32"/>
      <c r="I43" s="32"/>
      <c r="J43" s="32"/>
    </row>
  </sheetData>
  <mergeCells count="4">
    <mergeCell ref="B6:D6"/>
    <mergeCell ref="B24:D24"/>
    <mergeCell ref="B32:D32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Form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Alband</dc:creator>
  <cp:lastModifiedBy>Microsoft Office User</cp:lastModifiedBy>
  <dcterms:created xsi:type="dcterms:W3CDTF">2020-09-18T18:37:43Z</dcterms:created>
  <dcterms:modified xsi:type="dcterms:W3CDTF">2023-01-03T21:29:44Z</dcterms:modified>
</cp:coreProperties>
</file>
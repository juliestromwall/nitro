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it/Desktop/2027/ORDER FORMS/US/"/>
    </mc:Choice>
  </mc:AlternateContent>
  <xr:revisionPtr revIDLastSave="0" documentId="13_ncr:1_{88A061AA-3392-574C-80C4-27EA048FC601}" xr6:coauthVersionLast="47" xr6:coauthVersionMax="47" xr10:uidLastSave="{00000000-0000-0000-0000-000000000000}"/>
  <bookViews>
    <workbookView xWindow="43380" yWindow="980" windowWidth="29220" windowHeight="20220" xr2:uid="{00000000-000D-0000-FFFF-FFFF00000000}"/>
  </bookViews>
  <sheets>
    <sheet name="Summary" sheetId="2" r:id="rId1"/>
    <sheet name="Terms" sheetId="3" r:id="rId2"/>
    <sheet name="2026-2027 Nitro Packages" sheetId="1" r:id="rId3"/>
  </sheets>
  <definedNames>
    <definedName name="_xlnm.Print_Area" localSheetId="2">'2026-2027 Nitro Packages'!$A$1:$N$64</definedName>
    <definedName name="_xlnm.Print_Area" localSheetId="0">Summary!$A$1:$I$33</definedName>
    <definedName name="_xlnm.Print_Area" localSheetId="1">Terms!$B$1:$D$62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E18" i="2"/>
  <c r="F18" i="2"/>
  <c r="G18" i="2"/>
  <c r="H18" i="2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7" i="1"/>
  <c r="O53" i="1" l="1"/>
  <c r="G17" i="2" s="1"/>
  <c r="O42" i="1"/>
  <c r="F17" i="2" s="1"/>
  <c r="O34" i="1"/>
  <c r="E17" i="2" s="1"/>
  <c r="O26" i="1"/>
  <c r="D17" i="2" s="1"/>
  <c r="O64" i="1"/>
  <c r="H17" i="2" s="1"/>
  <c r="O16" i="1"/>
  <c r="C17" i="2" s="1"/>
  <c r="C18" i="2" s="1"/>
  <c r="E20" i="2" s="1"/>
  <c r="C20" i="2" l="1"/>
</calcChain>
</file>

<file path=xl/sharedStrings.xml><?xml version="1.0" encoding="utf-8"?>
<sst xmlns="http://schemas.openxmlformats.org/spreadsheetml/2006/main" count="616" uniqueCount="258">
  <si>
    <t>SKU</t>
  </si>
  <si>
    <t>2027 PRIME RAW</t>
  </si>
  <si>
    <t>N/A - Carry Over</t>
  </si>
  <si>
    <t>149</t>
  </si>
  <si>
    <t>7630349321974</t>
  </si>
  <si>
    <t>N833225-001149</t>
  </si>
  <si>
    <t>Nitro</t>
  </si>
  <si>
    <t>Mens</t>
  </si>
  <si>
    <t>152</t>
  </si>
  <si>
    <t>7630349321981</t>
  </si>
  <si>
    <t>N833225-001152</t>
  </si>
  <si>
    <t>155</t>
  </si>
  <si>
    <t>7630349321998</t>
  </si>
  <si>
    <t>N833225-001155</t>
  </si>
  <si>
    <t>158</t>
  </si>
  <si>
    <t>7630349322001</t>
  </si>
  <si>
    <t>N833225-001158</t>
  </si>
  <si>
    <t>2027 PRIME RAW WIDE</t>
  </si>
  <si>
    <t>156</t>
  </si>
  <si>
    <t>7630349322056</t>
  </si>
  <si>
    <t>N833226-001156</t>
  </si>
  <si>
    <t>160</t>
  </si>
  <si>
    <t>7630349322063</t>
  </si>
  <si>
    <t>N833226-001160</t>
  </si>
  <si>
    <t>164</t>
  </si>
  <si>
    <t>7630349322070</t>
  </si>
  <si>
    <t>N833226-001164</t>
  </si>
  <si>
    <t>2027 PRIME CHROMA</t>
  </si>
  <si>
    <t>N/A - Carry Forward</t>
  </si>
  <si>
    <t>7630349352299</t>
  </si>
  <si>
    <t>N11SB11020-101149</t>
  </si>
  <si>
    <t>7630349352305</t>
  </si>
  <si>
    <t>N11SB11020-101152</t>
  </si>
  <si>
    <t>7630349352312</t>
  </si>
  <si>
    <t>N11SB11020-101155</t>
  </si>
  <si>
    <t>7630349352336</t>
  </si>
  <si>
    <t>N11SB11020-101158</t>
  </si>
  <si>
    <t>156W</t>
  </si>
  <si>
    <t>7630349352329</t>
  </si>
  <si>
    <t>N11SB11020-101156W</t>
  </si>
  <si>
    <t>160W</t>
  </si>
  <si>
    <t>7630349352343</t>
  </si>
  <si>
    <t>N11SB11020-101160W</t>
  </si>
  <si>
    <t>164W</t>
  </si>
  <si>
    <t>7630349352350</t>
  </si>
  <si>
    <t>N11SB11020-101164W</t>
  </si>
  <si>
    <t>2027 LECTRA ABSTRACT</t>
  </si>
  <si>
    <t>138</t>
  </si>
  <si>
    <t>7630349323039</t>
  </si>
  <si>
    <t>N833241-001138</t>
  </si>
  <si>
    <t>Womens</t>
  </si>
  <si>
    <t>142</t>
  </si>
  <si>
    <t>7630349323046</t>
  </si>
  <si>
    <t>N833241-001142</t>
  </si>
  <si>
    <t>146</t>
  </si>
  <si>
    <t>7630349323053</t>
  </si>
  <si>
    <t>N833241-001146</t>
  </si>
  <si>
    <t>7630349323060</t>
  </si>
  <si>
    <t>N833241-001149</t>
  </si>
  <si>
    <t>7630349323077</t>
  </si>
  <si>
    <t>N833241-001152</t>
  </si>
  <si>
    <t>2027 LECTRA LEAF</t>
  </si>
  <si>
    <t>7630349354095</t>
  </si>
  <si>
    <t>N11SB21032-101138</t>
  </si>
  <si>
    <t>7630349354101</t>
  </si>
  <si>
    <t>N11SB21032-101142</t>
  </si>
  <si>
    <t>7630349354118</t>
  </si>
  <si>
    <t>N11SB21032-101146</t>
  </si>
  <si>
    <t>7630349354125</t>
  </si>
  <si>
    <t>N11SB21032-101149</t>
  </si>
  <si>
    <t>7630349354132</t>
  </si>
  <si>
    <t>N11SB21032-101152</t>
  </si>
  <si>
    <t>2027 RIPPER YOUTH</t>
  </si>
  <si>
    <t>132</t>
  </si>
  <si>
    <t>7630349323893</t>
  </si>
  <si>
    <t>N833253-001132</t>
  </si>
  <si>
    <t>Youth</t>
  </si>
  <si>
    <t>137</t>
  </si>
  <si>
    <t>7630349323909</t>
  </si>
  <si>
    <t>N833253-001137</t>
  </si>
  <si>
    <t>2027 RIPPER KIDS</t>
  </si>
  <si>
    <t>106</t>
  </si>
  <si>
    <t>7630349323794</t>
  </si>
  <si>
    <t>N833252-001106</t>
  </si>
  <si>
    <t>116</t>
  </si>
  <si>
    <t>7630349323800</t>
  </si>
  <si>
    <t>N833252-001116</t>
  </si>
  <si>
    <t>121</t>
  </si>
  <si>
    <t>7630349323817</t>
  </si>
  <si>
    <t>N833252-001121</t>
  </si>
  <si>
    <t>126</t>
  </si>
  <si>
    <t>7630349323824</t>
  </si>
  <si>
    <t>N833252-001126</t>
  </si>
  <si>
    <t>086</t>
  </si>
  <si>
    <t>7630349323770</t>
  </si>
  <si>
    <t>N833252-001086</t>
  </si>
  <si>
    <t>096</t>
  </si>
  <si>
    <t>7630349323787</t>
  </si>
  <si>
    <t>N833252-001096</t>
  </si>
  <si>
    <t>2027 SPIRIT YOUTH</t>
  </si>
  <si>
    <t>7630349354996</t>
  </si>
  <si>
    <t>N11SB31041-101132</t>
  </si>
  <si>
    <t>7630349355009</t>
  </si>
  <si>
    <t>N11SB31041-101137</t>
  </si>
  <si>
    <t>2027 SPIRIT KIDS</t>
  </si>
  <si>
    <t>7630349355054</t>
  </si>
  <si>
    <t>N11SB31042-101106</t>
  </si>
  <si>
    <t>7630349355061</t>
  </si>
  <si>
    <t>N11SB31042-101116</t>
  </si>
  <si>
    <t>7630349355078</t>
  </si>
  <si>
    <t>N11SB31042-101121</t>
  </si>
  <si>
    <t>7630349355085</t>
  </si>
  <si>
    <t>N11SB31042-101126</t>
  </si>
  <si>
    <t>7630349355030</t>
  </si>
  <si>
    <t>N11SB31042-101086</t>
  </si>
  <si>
    <t>7630349355047</t>
  </si>
  <si>
    <t>N11SB31042-101096</t>
  </si>
  <si>
    <t>2027 RAMBLER</t>
  </si>
  <si>
    <t>RAW</t>
  </si>
  <si>
    <t>7630349335056</t>
  </si>
  <si>
    <t>N12BG11007-102M</t>
  </si>
  <si>
    <t>Bindings</t>
  </si>
  <si>
    <t>7630349335063</t>
  </si>
  <si>
    <t>N12BG11007-102L</t>
  </si>
  <si>
    <t>2027 TALENT</t>
  </si>
  <si>
    <t>ULTRA BLACK</t>
  </si>
  <si>
    <t>7630349335094</t>
  </si>
  <si>
    <t>N12BG41008-101S</t>
  </si>
  <si>
    <t>7630349335100</t>
  </si>
  <si>
    <t>N12BG41008-101M</t>
  </si>
  <si>
    <t>7630349335117</t>
  </si>
  <si>
    <t>N12BG41008-101L</t>
  </si>
  <si>
    <t>WHITE</t>
  </si>
  <si>
    <t>7630349335124</t>
  </si>
  <si>
    <t>N12BG41008-102S</t>
  </si>
  <si>
    <t>7630349335131</t>
  </si>
  <si>
    <t>N12BG41008-102M</t>
  </si>
  <si>
    <t>2027 CHARGER MINI</t>
  </si>
  <si>
    <t>ULTRA BLACK - Carry Over</t>
  </si>
  <si>
    <t>7630349326146</t>
  </si>
  <si>
    <t>N836532-001S</t>
  </si>
  <si>
    <t>WHITE - Carry Over</t>
  </si>
  <si>
    <t>7630349326153</t>
  </si>
  <si>
    <t>N836532-002S</t>
  </si>
  <si>
    <t>2027 CHARGER MICRO</t>
  </si>
  <si>
    <t>7630349335438</t>
  </si>
  <si>
    <t>N12BG31014-101XS</t>
  </si>
  <si>
    <t>7630349335445</t>
  </si>
  <si>
    <t>N12BG31014-102XS</t>
  </si>
  <si>
    <t>2027 LIGHT SACK 165 CM</t>
  </si>
  <si>
    <t>RAVEN</t>
  </si>
  <si>
    <t>165 CM</t>
  </si>
  <si>
    <t>7630349335667</t>
  </si>
  <si>
    <t>N878093-138OS</t>
  </si>
  <si>
    <t>Gear Bags</t>
  </si>
  <si>
    <t>PRIME RAW PACKAGE</t>
  </si>
  <si>
    <t>PRIME CHROMA PACKAGE</t>
  </si>
  <si>
    <t>LECTRA ABSTRACT PACKAGE</t>
  </si>
  <si>
    <t>LECTRA LEAF PACKAGE</t>
  </si>
  <si>
    <t>DISCOUNT</t>
  </si>
  <si>
    <t>PACKAGE</t>
  </si>
  <si>
    <t>UPC</t>
  </si>
  <si>
    <t>DESCRIPTION</t>
  </si>
  <si>
    <t>SIZE</t>
  </si>
  <si>
    <t>COLOUR</t>
  </si>
  <si>
    <t>WHSL</t>
  </si>
  <si>
    <t>RETAIL</t>
  </si>
  <si>
    <t>QUANTITY</t>
  </si>
  <si>
    <t>EXT</t>
  </si>
  <si>
    <t>Unisex</t>
  </si>
  <si>
    <t>Snowboard</t>
  </si>
  <si>
    <t>RIPPER PACKAGE</t>
  </si>
  <si>
    <t>SPIRIT PACKAGE</t>
  </si>
  <si>
    <t>M (7-10.5 MENS)</t>
  </si>
  <si>
    <t>L (11-14 MENS)</t>
  </si>
  <si>
    <t>XS (12.0-2.5 KIDS)</t>
  </si>
  <si>
    <t>S (3.0-6.5 KIDS)</t>
  </si>
  <si>
    <t>S (3-6.5 MENS)</t>
  </si>
  <si>
    <t>BRAND</t>
  </si>
  <si>
    <t>GENDER</t>
  </si>
  <si>
    <t>ADULT PACKAGES MUST BE PURCHASED 1:1:1 (BOARD:BINDING:BAG)      KIDS PACKAGES PACKAGES MUST BE PURCHASED 1:1 (BOARD:BINDING)</t>
  </si>
  <si>
    <t>CATEGORY</t>
  </si>
  <si>
    <t xml:space="preserve">BILL TO : </t>
  </si>
  <si>
    <t xml:space="preserve">P.O # : </t>
  </si>
  <si>
    <t>ORDER DEADLINES :</t>
  </si>
  <si>
    <t xml:space="preserve">SHIP TO : </t>
  </si>
  <si>
    <t>Terms must be met to qualify for packages discounts</t>
  </si>
  <si>
    <t>ORDER SUMMARY :</t>
  </si>
  <si>
    <t>PRIME RAW</t>
  </si>
  <si>
    <t>PRIME CHROMA</t>
  </si>
  <si>
    <t>LECTRA LEAF</t>
  </si>
  <si>
    <t>LECTRA ABSTRACT</t>
  </si>
  <si>
    <t>RIPPER</t>
  </si>
  <si>
    <t>SPIRIT</t>
  </si>
  <si>
    <t>ORDER TOTAL :</t>
  </si>
  <si>
    <t>NOTES :</t>
  </si>
  <si>
    <t xml:space="preserve"> </t>
  </si>
  <si>
    <t xml:space="preserve">       FOUNDRY DISTRIBUTION</t>
  </si>
  <si>
    <t xml:space="preserve">          3602 Via Terra Street, Salt Lake City, Utah 84115</t>
  </si>
  <si>
    <t xml:space="preserve">           p. 801.994.6484   e. office@foundrydist.com</t>
  </si>
  <si>
    <t xml:space="preserve">       2026-2027 NITRO SNOWBOARDS PACKAGES USA BOOKING PROGRAM</t>
  </si>
  <si>
    <t xml:space="preserve">        2026-2027 NITRO US - PACKAGES</t>
  </si>
  <si>
    <t xml:space="preserve">             NITRO SNOWBOARDS - Discount Structure and Policy</t>
  </si>
  <si>
    <t>ADULT PACKAGE</t>
  </si>
  <si>
    <t>Package must be advertised above Prime $499.95, $469.95 Lectra but can't be discounted and advertised seperately</t>
  </si>
  <si>
    <t>Package must be purchased 1:1:1 (board to binding to bag)</t>
  </si>
  <si>
    <t>Packages may be sold for 20% off at any time</t>
  </si>
  <si>
    <t>MAP Guidline to be followed if these items are sold seperately</t>
  </si>
  <si>
    <t>Existing shops must increase their order from last year by 5% or more to qualify for this program.</t>
  </si>
  <si>
    <t>Preseason discount does not apply to this package buy, or dealer level, or growth discount</t>
  </si>
  <si>
    <t>KIDS PROGRAM</t>
  </si>
  <si>
    <t>Package must be advertised and sold for Normal Dealer Price</t>
  </si>
  <si>
    <t>Package must be purchased 1:1. Must submit $7,500 inline reg booking program to partake</t>
  </si>
  <si>
    <t>M.A.P POLICY</t>
  </si>
  <si>
    <t>CREDIT TERMS &amp; LIMITS</t>
  </si>
  <si>
    <t>* To receive discounts order MUST be submitted by order deadline</t>
  </si>
  <si>
    <t>* Booking terms are Net 30 from the date of delivery (On Approved Credit). If minimum booking volume is not met.</t>
  </si>
  <si>
    <t>* Booking terms are 90 days payment (On Approved Credit) If booking minimum booking volume is met.</t>
  </si>
  <si>
    <t xml:space="preserve">* After the expiration date all backorders will be shipped on regular terms. </t>
  </si>
  <si>
    <t>* To qualify for Nitro Snowboards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</si>
  <si>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</si>
  <si>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</si>
  <si>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</si>
  <si>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</si>
  <si>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Nitro Snowboards and may be rejected without cause or liability.  </t>
  </si>
  <si>
    <t>* 3% surcharge will be applied to orders purchased with credit card. Subject to ship as ready.</t>
  </si>
  <si>
    <t>* Orders submitted after the order deadline will not qualify for discounts and terms.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</si>
  <si>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</si>
  <si>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</si>
  <si>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</si>
  <si>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Nitro Snowboards Accounting Department. </t>
  </si>
  <si>
    <t>DELIVERY</t>
  </si>
  <si>
    <t>* Nitro Snowboards reserves the right to choose shipping methods.</t>
  </si>
  <si>
    <t>* Packing Slip will be attached to outside of box.  In larger orders with multiple boxes, the packing slip will be attached to the first box.</t>
  </si>
  <si>
    <t>* Nitro Snowboards reserves the right to charge a 15% re-stocking fee in the case of dealer refusal during those dates</t>
  </si>
  <si>
    <t>* Nitro Snowboards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</si>
  <si>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</si>
  <si>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</si>
  <si>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 xml:space="preserve">* All orders placed after the order deadline will be considered reorders and do not qualify for preseason discounts. </t>
  </si>
  <si>
    <t>* Nitro Snowboards reserves the right to substitute reorder products that are not available.</t>
  </si>
  <si>
    <t>* Nitro Snowboards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</si>
  <si>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</si>
  <si>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</si>
  <si>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*ALL SALES ARE SUBJECT TO TERMS AND CONDITIONS OF NITRO SNOWBOARDS AUTHORIZED DEALER APPLICATION </t>
  </si>
  <si>
    <t>March 1, 2027 - MAP Down to 20% Off</t>
  </si>
  <si>
    <t>April 1, 2027 - MAP Down to 30% Off</t>
  </si>
  <si>
    <t>May 1, 2027 - MAP Down to 40% Off</t>
  </si>
  <si>
    <t>* Dealer pricing can fluctuate according to currency, factory pricing and or freight costs to Jan 1, 2027 or earlier</t>
  </si>
  <si>
    <t>* Cancel date for product not shipped is December 31, 2026.</t>
  </si>
  <si>
    <t xml:space="preserve">* Earliest Delivery date is September 15, 2026, and latest delivery date is Dec 31st, 2026. </t>
  </si>
  <si>
    <t>S (4-7.5 WMNS)</t>
  </si>
  <si>
    <t>M (8-11.5 WMNS)</t>
  </si>
  <si>
    <t>PACKAGES: JANUARY 23 2026</t>
  </si>
  <si>
    <t xml:space="preserve">          </t>
  </si>
  <si>
    <t>EXT :</t>
  </si>
  <si>
    <t xml:space="preserve">15% DISCOUNT EXT: </t>
  </si>
  <si>
    <t>Deadline is January 23, 2026 for all orders to partake in this program - no package order will be accepted after this date</t>
  </si>
  <si>
    <t>* Please note that all order revisions or cancellations must be submitted by April 30th, 2026. Any revisions or cancellations made after this date will incur a 15% re-stocking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</si>
</sst>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7">
    <font>
      <sz val="11"/>
      <name val="Arial"/>
      <family val="1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sz val="12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0"/>
      <color indexed="9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sz val="6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indexed="8"/>
      <name val="Helv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</patternFill>
    </fill>
    <fill>
      <patternFill patternType="solid">
        <fgColor indexed="8"/>
      </patternFill>
    </fill>
    <fill>
      <patternFill patternType="solid">
        <fgColor indexed="9"/>
      </patternFill>
    </fill>
  </fills>
  <borders count="21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2">
    <xf numFmtId="0" fontId="0" fillId="0" borderId="0"/>
    <xf numFmtId="0" fontId="25" fillId="0" borderId="0" applyNumberFormat="0" applyFill="0" applyBorder="0" applyProtection="0">
      <alignment vertical="top" wrapText="1"/>
    </xf>
  </cellStyleXfs>
  <cellXfs count="18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1" fontId="5" fillId="2" borderId="5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9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right" vertical="center" wrapText="1"/>
    </xf>
    <xf numFmtId="0" fontId="8" fillId="0" borderId="0" xfId="0" applyFont="1"/>
    <xf numFmtId="0" fontId="9" fillId="2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right" vertical="center" wrapText="1"/>
    </xf>
    <xf numFmtId="0" fontId="12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center" vertical="center"/>
    </xf>
    <xf numFmtId="1" fontId="8" fillId="4" borderId="0" xfId="0" applyNumberFormat="1" applyFont="1" applyFill="1" applyAlignment="1">
      <alignment horizontal="center" vertical="center"/>
    </xf>
    <xf numFmtId="49" fontId="13" fillId="4" borderId="0" xfId="0" applyNumberFormat="1" applyFont="1" applyFill="1" applyAlignment="1">
      <alignment horizontal="right" vertical="center"/>
    </xf>
    <xf numFmtId="1" fontId="12" fillId="4" borderId="0" xfId="0" applyNumberFormat="1" applyFont="1" applyFill="1" applyAlignment="1">
      <alignment horizontal="right" vertical="center"/>
    </xf>
    <xf numFmtId="0" fontId="13" fillId="4" borderId="0" xfId="0" applyFont="1" applyFill="1" applyAlignment="1">
      <alignment horizontal="left" vertical="center" wrapText="1"/>
    </xf>
    <xf numFmtId="1" fontId="12" fillId="4" borderId="0" xfId="0" applyNumberFormat="1" applyFont="1" applyFill="1" applyAlignment="1">
      <alignment horizontal="center" vertical="center"/>
    </xf>
    <xf numFmtId="49" fontId="13" fillId="4" borderId="0" xfId="0" applyNumberFormat="1" applyFont="1" applyFill="1" applyAlignment="1">
      <alignment vertical="center"/>
    </xf>
    <xf numFmtId="49" fontId="9" fillId="4" borderId="0" xfId="0" applyNumberFormat="1" applyFont="1" applyFill="1" applyAlignment="1">
      <alignment vertical="center"/>
    </xf>
    <xf numFmtId="1" fontId="8" fillId="4" borderId="0" xfId="0" applyNumberFormat="1" applyFont="1" applyFill="1" applyAlignment="1">
      <alignment horizontal="right" vertical="center"/>
    </xf>
    <xf numFmtId="49" fontId="1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top" wrapText="1"/>
    </xf>
    <xf numFmtId="1" fontId="12" fillId="4" borderId="0" xfId="0" applyNumberFormat="1" applyFont="1" applyFill="1" applyAlignment="1">
      <alignment vertical="center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49" fontId="12" fillId="4" borderId="0" xfId="0" applyNumberFormat="1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 wrapText="1"/>
    </xf>
    <xf numFmtId="49" fontId="16" fillId="2" borderId="0" xfId="0" applyNumberFormat="1" applyFont="1" applyFill="1" applyAlignment="1">
      <alignment vertical="center" wrapText="1"/>
    </xf>
    <xf numFmtId="0" fontId="15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 wrapText="1"/>
    </xf>
    <xf numFmtId="0" fontId="17" fillId="2" borderId="0" xfId="0" applyFont="1" applyFill="1"/>
    <xf numFmtId="0" fontId="9" fillId="4" borderId="0" xfId="0" applyFont="1" applyFill="1" applyAlignment="1">
      <alignment vertical="center" wrapText="1"/>
    </xf>
    <xf numFmtId="49" fontId="18" fillId="5" borderId="10" xfId="0" applyNumberFormat="1" applyFont="1" applyFill="1" applyBorder="1" applyAlignment="1">
      <alignment horizontal="center" vertical="center" wrapText="1"/>
    </xf>
    <xf numFmtId="0" fontId="19" fillId="4" borderId="0" xfId="0" applyFont="1" applyFill="1" applyAlignment="1">
      <alignment vertical="center" wrapText="1"/>
    </xf>
    <xf numFmtId="164" fontId="9" fillId="4" borderId="11" xfId="0" applyNumberFormat="1" applyFont="1" applyFill="1" applyBorder="1" applyAlignment="1">
      <alignment horizontal="left" vertical="center" wrapText="1"/>
    </xf>
    <xf numFmtId="164" fontId="9" fillId="4" borderId="11" xfId="0" applyNumberFormat="1" applyFont="1" applyFill="1" applyBorder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164" fontId="8" fillId="4" borderId="0" xfId="0" applyNumberFormat="1" applyFont="1" applyFill="1" applyAlignment="1">
      <alignment vertical="center" wrapText="1"/>
    </xf>
    <xf numFmtId="0" fontId="20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 wrapText="1"/>
    </xf>
    <xf numFmtId="49" fontId="19" fillId="4" borderId="0" xfId="0" applyNumberFormat="1" applyFont="1" applyFill="1" applyAlignment="1">
      <alignment vertical="center" wrapText="1"/>
    </xf>
    <xf numFmtId="49" fontId="16" fillId="2" borderId="0" xfId="0" applyNumberFormat="1" applyFont="1" applyFill="1"/>
    <xf numFmtId="49" fontId="10" fillId="2" borderId="0" xfId="0" applyNumberFormat="1" applyFont="1" applyFill="1"/>
    <xf numFmtId="0" fontId="17" fillId="4" borderId="0" xfId="0" applyFont="1" applyFill="1" applyAlignment="1">
      <alignment vertical="center"/>
    </xf>
    <xf numFmtId="0" fontId="8" fillId="0" borderId="0" xfId="0" applyFont="1" applyAlignment="1">
      <alignment horizontal="right"/>
    </xf>
    <xf numFmtId="0" fontId="13" fillId="0" borderId="0" xfId="0" applyFont="1" applyAlignment="1">
      <alignment horizontal="right" vertical="center"/>
    </xf>
    <xf numFmtId="164" fontId="8" fillId="4" borderId="10" xfId="0" applyNumberFormat="1" applyFont="1" applyFill="1" applyBorder="1" applyAlignment="1">
      <alignment horizontal="center" vertical="center" wrapText="1"/>
    </xf>
    <xf numFmtId="164" fontId="8" fillId="4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7" fillId="7" borderId="5" xfId="0" applyFont="1" applyFill="1" applyBorder="1" applyAlignment="1">
      <alignment vertical="center"/>
    </xf>
    <xf numFmtId="9" fontId="7" fillId="7" borderId="5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164" fontId="7" fillId="7" borderId="5" xfId="0" applyNumberFormat="1" applyFont="1" applyFill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vertical="center" wrapText="1"/>
    </xf>
    <xf numFmtId="1" fontId="23" fillId="8" borderId="12" xfId="0" applyNumberFormat="1" applyFont="1" applyFill="1" applyBorder="1" applyAlignment="1">
      <alignment vertical="center"/>
    </xf>
    <xf numFmtId="0" fontId="0" fillId="2" borderId="0" xfId="0" applyFill="1"/>
    <xf numFmtId="0" fontId="23" fillId="2" borderId="13" xfId="0" applyFont="1" applyFill="1" applyBorder="1" applyAlignment="1">
      <alignment vertical="center" wrapText="1"/>
    </xf>
    <xf numFmtId="1" fontId="23" fillId="8" borderId="9" xfId="0" applyNumberFormat="1" applyFont="1" applyFill="1" applyBorder="1" applyAlignment="1">
      <alignment vertical="center"/>
    </xf>
    <xf numFmtId="49" fontId="1" fillId="9" borderId="7" xfId="1" applyNumberFormat="1" applyFont="1" applyFill="1" applyBorder="1" applyAlignment="1">
      <alignment vertical="center"/>
    </xf>
    <xf numFmtId="49" fontId="22" fillId="9" borderId="8" xfId="1" applyNumberFormat="1" applyFont="1" applyFill="1" applyBorder="1" applyAlignment="1">
      <alignment horizontal="center" vertical="center"/>
    </xf>
    <xf numFmtId="9" fontId="23" fillId="10" borderId="11" xfId="1" applyNumberFormat="1" applyFont="1" applyFill="1" applyBorder="1" applyAlignment="1">
      <alignment horizontal="center" vertical="center"/>
    </xf>
    <xf numFmtId="9" fontId="23" fillId="10" borderId="15" xfId="1" applyNumberFormat="1" applyFont="1" applyFill="1" applyBorder="1" applyAlignment="1">
      <alignment horizontal="center" vertical="center"/>
    </xf>
    <xf numFmtId="49" fontId="23" fillId="10" borderId="18" xfId="0" applyNumberFormat="1" applyFont="1" applyFill="1" applyBorder="1" applyAlignment="1">
      <alignment horizontal="left" vertical="center"/>
    </xf>
    <xf numFmtId="9" fontId="23" fillId="10" borderId="0" xfId="1" applyNumberFormat="1" applyFont="1" applyFill="1" applyBorder="1" applyAlignment="1">
      <alignment horizontal="center" vertical="center"/>
    </xf>
    <xf numFmtId="9" fontId="23" fillId="10" borderId="13" xfId="1" applyNumberFormat="1" applyFont="1" applyFill="1" applyBorder="1" applyAlignment="1">
      <alignment horizontal="center" vertical="center"/>
    </xf>
    <xf numFmtId="9" fontId="23" fillId="10" borderId="12" xfId="1" applyNumberFormat="1" applyFont="1" applyFill="1" applyBorder="1" applyAlignment="1">
      <alignment horizontal="center" vertical="center"/>
    </xf>
    <xf numFmtId="9" fontId="23" fillId="10" borderId="17" xfId="1" applyNumberFormat="1" applyFont="1" applyFill="1" applyBorder="1" applyAlignment="1">
      <alignment horizontal="center" vertical="center"/>
    </xf>
    <xf numFmtId="49" fontId="23" fillId="10" borderId="0" xfId="1" applyNumberFormat="1" applyFont="1" applyFill="1" applyAlignment="1">
      <alignment vertical="center"/>
    </xf>
    <xf numFmtId="1" fontId="23" fillId="10" borderId="0" xfId="1" applyNumberFormat="1" applyFont="1" applyFill="1" applyAlignment="1">
      <alignment vertical="center"/>
    </xf>
    <xf numFmtId="0" fontId="23" fillId="0" borderId="0" xfId="1" applyFont="1" applyAlignment="1">
      <alignment vertical="center" wrapText="1"/>
    </xf>
    <xf numFmtId="49" fontId="23" fillId="10" borderId="14" xfId="1" applyNumberFormat="1" applyFont="1" applyFill="1" applyBorder="1" applyAlignment="1">
      <alignment horizontal="left" vertical="center"/>
    </xf>
    <xf numFmtId="49" fontId="23" fillId="10" borderId="18" xfId="1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vertical="center" wrapText="1"/>
    </xf>
    <xf numFmtId="0" fontId="23" fillId="8" borderId="12" xfId="0" applyFont="1" applyFill="1" applyBorder="1" applyAlignment="1">
      <alignment vertical="center"/>
    </xf>
    <xf numFmtId="1" fontId="2" fillId="8" borderId="12" xfId="0" applyNumberFormat="1" applyFont="1" applyFill="1" applyBorder="1" applyAlignment="1">
      <alignment vertical="center"/>
    </xf>
    <xf numFmtId="49" fontId="22" fillId="3" borderId="7" xfId="0" applyNumberFormat="1" applyFont="1" applyFill="1" applyBorder="1" applyAlignment="1">
      <alignment vertical="center"/>
    </xf>
    <xf numFmtId="49" fontId="22" fillId="3" borderId="7" xfId="0" applyNumberFormat="1" applyFont="1" applyFill="1" applyBorder="1" applyAlignment="1">
      <alignment horizontal="left" vertical="center"/>
    </xf>
    <xf numFmtId="49" fontId="22" fillId="3" borderId="10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 wrapText="1"/>
    </xf>
    <xf numFmtId="49" fontId="23" fillId="2" borderId="14" xfId="0" applyNumberFormat="1" applyFont="1" applyFill="1" applyBorder="1" applyAlignment="1">
      <alignment horizontal="left" vertical="center"/>
    </xf>
    <xf numFmtId="49" fontId="23" fillId="2" borderId="11" xfId="0" applyNumberFormat="1" applyFont="1" applyFill="1" applyBorder="1" applyAlignment="1">
      <alignment horizontal="left" vertical="center"/>
    </xf>
    <xf numFmtId="9" fontId="23" fillId="2" borderId="15" xfId="0" applyNumberFormat="1" applyFont="1" applyFill="1" applyBorder="1" applyAlignment="1">
      <alignment horizontal="center" vertical="center"/>
    </xf>
    <xf numFmtId="49" fontId="23" fillId="2" borderId="18" xfId="0" applyNumberFormat="1" applyFont="1" applyFill="1" applyBorder="1" applyAlignment="1">
      <alignment horizontal="left" vertical="center"/>
    </xf>
    <xf numFmtId="49" fontId="23" fillId="2" borderId="0" xfId="0" applyNumberFormat="1" applyFont="1" applyFill="1" applyAlignment="1">
      <alignment horizontal="left" vertical="center"/>
    </xf>
    <xf numFmtId="9" fontId="23" fillId="2" borderId="13" xfId="0" applyNumberFormat="1" applyFont="1" applyFill="1" applyBorder="1" applyAlignment="1">
      <alignment horizontal="center" vertical="center"/>
    </xf>
    <xf numFmtId="49" fontId="23" fillId="2" borderId="16" xfId="0" applyNumberFormat="1" applyFont="1" applyFill="1" applyBorder="1" applyAlignment="1">
      <alignment horizontal="left" vertical="center"/>
    </xf>
    <xf numFmtId="49" fontId="23" fillId="2" borderId="12" xfId="0" applyNumberFormat="1" applyFont="1" applyFill="1" applyBorder="1" applyAlignment="1">
      <alignment horizontal="left" vertical="center"/>
    </xf>
    <xf numFmtId="9" fontId="23" fillId="2" borderId="17" xfId="0" applyNumberFormat="1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vertical="center"/>
    </xf>
    <xf numFmtId="1" fontId="2" fillId="8" borderId="9" xfId="0" applyNumberFormat="1" applyFont="1" applyFill="1" applyBorder="1" applyAlignment="1">
      <alignment vertical="center"/>
    </xf>
    <xf numFmtId="0" fontId="22" fillId="3" borderId="7" xfId="0" applyFont="1" applyFill="1" applyBorder="1" applyAlignment="1">
      <alignment vertical="center"/>
    </xf>
    <xf numFmtId="1" fontId="22" fillId="3" borderId="7" xfId="0" applyNumberFormat="1" applyFont="1" applyFill="1" applyBorder="1" applyAlignment="1">
      <alignment horizontal="left" vertical="center"/>
    </xf>
    <xf numFmtId="1" fontId="22" fillId="3" borderId="10" xfId="0" applyNumberFormat="1" applyFont="1" applyFill="1" applyBorder="1" applyAlignment="1">
      <alignment vertical="center"/>
    </xf>
    <xf numFmtId="0" fontId="23" fillId="8" borderId="14" xfId="0" applyFont="1" applyFill="1" applyBorder="1" applyAlignment="1">
      <alignment horizontal="left" vertical="center"/>
    </xf>
    <xf numFmtId="1" fontId="23" fillId="8" borderId="11" xfId="0" applyNumberFormat="1" applyFont="1" applyFill="1" applyBorder="1" applyAlignment="1">
      <alignment horizontal="left" vertical="center"/>
    </xf>
    <xf numFmtId="1" fontId="23" fillId="8" borderId="15" xfId="0" applyNumberFormat="1" applyFont="1" applyFill="1" applyBorder="1" applyAlignment="1">
      <alignment horizontal="left" vertical="center"/>
    </xf>
    <xf numFmtId="0" fontId="23" fillId="8" borderId="18" xfId="0" applyFont="1" applyFill="1" applyBorder="1" applyAlignment="1">
      <alignment horizontal="left" vertical="center"/>
    </xf>
    <xf numFmtId="1" fontId="23" fillId="8" borderId="0" xfId="0" applyNumberFormat="1" applyFont="1" applyFill="1" applyAlignment="1">
      <alignment horizontal="left" vertical="center"/>
    </xf>
    <xf numFmtId="1" fontId="23" fillId="8" borderId="13" xfId="0" applyNumberFormat="1" applyFont="1" applyFill="1" applyBorder="1" applyAlignment="1">
      <alignment horizontal="left" vertical="center"/>
    </xf>
    <xf numFmtId="0" fontId="23" fillId="8" borderId="18" xfId="0" applyFont="1" applyFill="1" applyBorder="1" applyAlignment="1">
      <alignment vertical="center"/>
    </xf>
    <xf numFmtId="0" fontId="23" fillId="8" borderId="16" xfId="0" applyFont="1" applyFill="1" applyBorder="1" applyAlignment="1">
      <alignment horizontal="left" vertical="center"/>
    </xf>
    <xf numFmtId="1" fontId="23" fillId="8" borderId="12" xfId="0" applyNumberFormat="1" applyFont="1" applyFill="1" applyBorder="1" applyAlignment="1">
      <alignment horizontal="left" vertical="center"/>
    </xf>
    <xf numFmtId="1" fontId="23" fillId="8" borderId="17" xfId="0" applyNumberFormat="1" applyFont="1" applyFill="1" applyBorder="1" applyAlignment="1">
      <alignment horizontal="left" vertical="center"/>
    </xf>
    <xf numFmtId="0" fontId="23" fillId="8" borderId="0" xfId="0" applyFont="1" applyFill="1" applyAlignment="1">
      <alignment vertical="center"/>
    </xf>
    <xf numFmtId="1" fontId="23" fillId="8" borderId="0" xfId="0" applyNumberFormat="1" applyFont="1" applyFill="1" applyAlignment="1">
      <alignment vertical="center"/>
    </xf>
    <xf numFmtId="0" fontId="1" fillId="3" borderId="7" xfId="0" applyFont="1" applyFill="1" applyBorder="1" applyAlignment="1">
      <alignment vertical="center"/>
    </xf>
    <xf numFmtId="1" fontId="1" fillId="3" borderId="7" xfId="0" applyNumberFormat="1" applyFont="1" applyFill="1" applyBorder="1" applyAlignment="1">
      <alignment horizontal="left" vertical="center"/>
    </xf>
    <xf numFmtId="1" fontId="1" fillId="3" borderId="10" xfId="0" applyNumberFormat="1" applyFont="1" applyFill="1" applyBorder="1" applyAlignment="1">
      <alignment vertical="center"/>
    </xf>
    <xf numFmtId="0" fontId="23" fillId="8" borderId="14" xfId="0" applyFont="1" applyFill="1" applyBorder="1" applyAlignment="1">
      <alignment vertical="center"/>
    </xf>
    <xf numFmtId="1" fontId="23" fillId="8" borderId="11" xfId="0" applyNumberFormat="1" applyFont="1" applyFill="1" applyBorder="1" applyAlignment="1">
      <alignment vertical="center"/>
    </xf>
    <xf numFmtId="1" fontId="23" fillId="8" borderId="15" xfId="0" applyNumberFormat="1" applyFont="1" applyFill="1" applyBorder="1" applyAlignment="1">
      <alignment vertical="center"/>
    </xf>
    <xf numFmtId="1" fontId="23" fillId="8" borderId="13" xfId="0" applyNumberFormat="1" applyFont="1" applyFill="1" applyBorder="1" applyAlignment="1">
      <alignment vertical="center"/>
    </xf>
    <xf numFmtId="0" fontId="23" fillId="8" borderId="16" xfId="0" applyFont="1" applyFill="1" applyBorder="1" applyAlignment="1">
      <alignment vertical="center"/>
    </xf>
    <xf numFmtId="1" fontId="23" fillId="8" borderId="17" xfId="0" applyNumberFormat="1" applyFont="1" applyFill="1" applyBorder="1" applyAlignment="1">
      <alignment vertical="center"/>
    </xf>
    <xf numFmtId="49" fontId="23" fillId="4" borderId="18" xfId="0" applyNumberFormat="1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1" fontId="1" fillId="3" borderId="19" xfId="0" applyNumberFormat="1" applyFont="1" applyFill="1" applyBorder="1" applyAlignment="1">
      <alignment horizontal="left" vertical="center"/>
    </xf>
    <xf numFmtId="1" fontId="1" fillId="3" borderId="20" xfId="0" applyNumberFormat="1" applyFont="1" applyFill="1" applyBorder="1" applyAlignment="1">
      <alignment vertical="center"/>
    </xf>
    <xf numFmtId="0" fontId="23" fillId="8" borderId="7" xfId="0" applyFont="1" applyFill="1" applyBorder="1" applyAlignment="1">
      <alignment vertical="center"/>
    </xf>
    <xf numFmtId="1" fontId="23" fillId="8" borderId="8" xfId="0" applyNumberFormat="1" applyFont="1" applyFill="1" applyBorder="1" applyAlignment="1">
      <alignment vertical="center"/>
    </xf>
    <xf numFmtId="0" fontId="23" fillId="2" borderId="0" xfId="0" applyFont="1" applyFill="1" applyAlignment="1">
      <alignment vertical="top" wrapText="1"/>
    </xf>
    <xf numFmtId="1" fontId="26" fillId="2" borderId="0" xfId="0" applyNumberFormat="1" applyFont="1" applyFill="1" applyAlignment="1">
      <alignment horizontal="left" vertical="center"/>
    </xf>
    <xf numFmtId="49" fontId="2" fillId="6" borderId="14" xfId="0" applyNumberFormat="1" applyFont="1" applyFill="1" applyBorder="1" applyAlignment="1">
      <alignment horizontal="left" vertical="center"/>
    </xf>
    <xf numFmtId="0" fontId="20" fillId="4" borderId="0" xfId="0" applyFont="1" applyFill="1" applyAlignment="1">
      <alignment vertical="center" wrapText="1"/>
    </xf>
    <xf numFmtId="1" fontId="21" fillId="4" borderId="0" xfId="0" applyNumberFormat="1" applyFont="1" applyFill="1" applyAlignment="1">
      <alignment vertical="center"/>
    </xf>
    <xf numFmtId="0" fontId="8" fillId="2" borderId="0" xfId="0" applyFont="1" applyFill="1"/>
    <xf numFmtId="0" fontId="22" fillId="4" borderId="0" xfId="0" applyFont="1" applyFill="1" applyAlignment="1">
      <alignment horizontal="left" vertical="center"/>
    </xf>
    <xf numFmtId="49" fontId="22" fillId="2" borderId="0" xfId="0" applyNumberFormat="1" applyFont="1" applyFill="1" applyAlignment="1">
      <alignment horizontal="left" vertical="center"/>
    </xf>
    <xf numFmtId="49" fontId="22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left" vertical="center"/>
    </xf>
    <xf numFmtId="49" fontId="24" fillId="4" borderId="0" xfId="0" applyNumberFormat="1" applyFont="1" applyFill="1" applyAlignment="1">
      <alignment horizontal="left" vertical="top"/>
    </xf>
    <xf numFmtId="0" fontId="23" fillId="4" borderId="0" xfId="0" applyFont="1" applyFill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0" fontId="23" fillId="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49" fontId="23" fillId="0" borderId="16" xfId="0" applyNumberFormat="1" applyFont="1" applyBorder="1" applyAlignment="1">
      <alignment horizontal="left" vertical="center"/>
    </xf>
    <xf numFmtId="49" fontId="23" fillId="0" borderId="16" xfId="1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vertical="top" wrapText="1"/>
    </xf>
    <xf numFmtId="49" fontId="4" fillId="2" borderId="0" xfId="0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horizontal="left" wrapText="1"/>
    </xf>
    <xf numFmtId="1" fontId="12" fillId="4" borderId="9" xfId="0" applyNumberFormat="1" applyFont="1" applyFill="1" applyBorder="1" applyAlignment="1">
      <alignment horizontal="center" vertical="center"/>
    </xf>
    <xf numFmtId="1" fontId="12" fillId="4" borderId="8" xfId="0" applyNumberFormat="1" applyFont="1" applyFill="1" applyBorder="1" applyAlignment="1">
      <alignment horizontal="center" vertical="center"/>
    </xf>
    <xf numFmtId="1" fontId="12" fillId="4" borderId="0" xfId="0" applyNumberFormat="1" applyFont="1" applyFill="1" applyAlignment="1">
      <alignment horizontal="left" vertical="center"/>
    </xf>
    <xf numFmtId="49" fontId="13" fillId="4" borderId="0" xfId="0" applyNumberFormat="1" applyFont="1" applyFill="1" applyAlignment="1">
      <alignment horizontal="right" vertical="center" wrapText="1"/>
    </xf>
    <xf numFmtId="0" fontId="12" fillId="4" borderId="0" xfId="0" applyFont="1" applyFill="1" applyAlignment="1">
      <alignment vertical="top" wrapText="1"/>
    </xf>
    <xf numFmtId="49" fontId="4" fillId="2" borderId="0" xfId="0" applyNumberFormat="1" applyFont="1" applyFill="1" applyAlignment="1">
      <alignment horizontal="left" vertical="center"/>
    </xf>
    <xf numFmtId="49" fontId="13" fillId="4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3" fillId="4" borderId="3" xfId="0" applyNumberFormat="1" applyFont="1" applyFill="1" applyBorder="1" applyAlignment="1">
      <alignment horizontal="center" vertical="center"/>
    </xf>
    <xf numFmtId="49" fontId="13" fillId="4" borderId="4" xfId="0" applyNumberFormat="1" applyFont="1" applyFill="1" applyBorder="1" applyAlignment="1">
      <alignment horizontal="center" vertical="center"/>
    </xf>
    <xf numFmtId="49" fontId="13" fillId="4" borderId="6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1050DDA-E510-344D-A7C2-C35A326E94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0</xdr:row>
      <xdr:rowOff>177800</xdr:rowOff>
    </xdr:from>
    <xdr:to>
      <xdr:col>1</xdr:col>
      <xdr:colOff>127001</xdr:colOff>
      <xdr:row>3</xdr:row>
      <xdr:rowOff>150959</xdr:rowOff>
    </xdr:to>
    <xdr:pic>
      <xdr:nvPicPr>
        <xdr:cNvPr id="2" name="Image" descr="Image">
          <a:extLst>
            <a:ext uri="{FF2B5EF4-FFF2-40B4-BE49-F238E27FC236}">
              <a16:creationId xmlns:a16="http://schemas.microsoft.com/office/drawing/2014/main" id="{824AEE56-4BAD-854F-8DD1-43C1F5545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177800"/>
          <a:ext cx="1003300" cy="8494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0</xdr:row>
      <xdr:rowOff>34191</xdr:rowOff>
    </xdr:from>
    <xdr:to>
      <xdr:col>1</xdr:col>
      <xdr:colOff>595922</xdr:colOff>
      <xdr:row>3</xdr:row>
      <xdr:rowOff>0</xdr:rowOff>
    </xdr:to>
    <xdr:pic>
      <xdr:nvPicPr>
        <xdr:cNvPr id="2" name="Image" descr="Image">
          <a:extLst>
            <a:ext uri="{FF2B5EF4-FFF2-40B4-BE49-F238E27FC236}">
              <a16:creationId xmlns:a16="http://schemas.microsoft.com/office/drawing/2014/main" id="{5BF4BEA3-0E9A-D942-87D4-0AAFA6FDC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200" y="326291"/>
          <a:ext cx="761022" cy="84720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1</xdr:row>
      <xdr:rowOff>76200</xdr:rowOff>
    </xdr:from>
    <xdr:to>
      <xdr:col>1</xdr:col>
      <xdr:colOff>408458</xdr:colOff>
      <xdr:row>3</xdr:row>
      <xdr:rowOff>257657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BE6E17-1424-EF4B-AD95-D28E67EA9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362573"/>
          <a:ext cx="780244" cy="7542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2F67-3340-C443-9CE2-44EA2DDED71E}">
  <sheetPr>
    <pageSetUpPr fitToPage="1"/>
  </sheetPr>
  <dimension ref="A1:O47"/>
  <sheetViews>
    <sheetView showGridLines="0" tabSelected="1" workbookViewId="0">
      <selection activeCell="J23" sqref="J23"/>
    </sheetView>
  </sheetViews>
  <sheetFormatPr baseColWidth="10" defaultColWidth="14.5" defaultRowHeight="16"/>
  <cols>
    <col min="1" max="1" width="13" style="27" customWidth="1"/>
    <col min="2" max="2" width="20" style="67" customWidth="1"/>
    <col min="3" max="8" width="20" style="27" customWidth="1"/>
    <col min="9" max="9" width="22.5" style="27" customWidth="1"/>
    <col min="10" max="10" width="10.83203125" style="27" customWidth="1"/>
    <col min="11" max="13" width="10.6640625" style="27" customWidth="1"/>
    <col min="14" max="16384" width="14.5" style="27"/>
  </cols>
  <sheetData>
    <row r="1" spans="1:15" ht="23" customHeight="1">
      <c r="A1" s="25"/>
      <c r="B1" s="26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5" ht="23" customHeight="1">
      <c r="A2" s="28"/>
      <c r="B2" s="166" t="s">
        <v>200</v>
      </c>
      <c r="C2" s="167"/>
      <c r="D2" s="167"/>
      <c r="E2" s="167"/>
      <c r="F2" s="167"/>
      <c r="G2" s="167"/>
      <c r="H2" s="167"/>
      <c r="I2" s="167"/>
      <c r="J2" s="29"/>
      <c r="K2" s="29"/>
      <c r="L2" s="29"/>
      <c r="M2" s="29"/>
    </row>
    <row r="3" spans="1:15" ht="23" customHeight="1">
      <c r="A3" s="30"/>
      <c r="B3" s="31"/>
      <c r="C3" s="32"/>
      <c r="D3" s="32"/>
      <c r="E3" s="33"/>
      <c r="F3" s="32"/>
      <c r="G3" s="33"/>
      <c r="H3" s="33"/>
      <c r="I3" s="33"/>
      <c r="J3" s="30"/>
      <c r="K3" s="30"/>
      <c r="L3" s="30"/>
      <c r="M3" s="30"/>
    </row>
    <row r="4" spans="1:15" ht="23" customHeight="1">
      <c r="A4" s="34"/>
      <c r="B4" s="35" t="s">
        <v>182</v>
      </c>
      <c r="C4" s="163"/>
      <c r="D4" s="164"/>
      <c r="E4" s="35" t="s">
        <v>183</v>
      </c>
      <c r="F4" s="163"/>
      <c r="G4" s="168"/>
      <c r="H4" s="169"/>
      <c r="I4" s="33"/>
      <c r="J4" s="30"/>
      <c r="K4" s="30"/>
      <c r="L4" s="30"/>
      <c r="M4" s="30"/>
    </row>
    <row r="5" spans="1:15" ht="23" customHeight="1">
      <c r="A5" s="34"/>
      <c r="B5" s="36"/>
      <c r="C5" s="163"/>
      <c r="D5" s="164"/>
      <c r="E5" s="37"/>
      <c r="F5" s="38"/>
      <c r="G5" s="33"/>
      <c r="H5" s="33"/>
      <c r="I5" s="33"/>
      <c r="J5" s="30"/>
      <c r="K5" s="30"/>
      <c r="L5" s="30"/>
      <c r="M5" s="30"/>
    </row>
    <row r="6" spans="1:15" ht="23" customHeight="1">
      <c r="A6" s="34"/>
      <c r="B6" s="36"/>
      <c r="C6" s="163"/>
      <c r="D6" s="164"/>
      <c r="I6" s="39"/>
      <c r="J6" s="40"/>
      <c r="K6" s="30"/>
      <c r="L6" s="30"/>
      <c r="M6" s="30"/>
    </row>
    <row r="7" spans="1:15" ht="23" customHeight="1">
      <c r="A7" s="34"/>
      <c r="B7" s="36"/>
      <c r="C7" s="163"/>
      <c r="D7" s="164"/>
      <c r="F7" s="170"/>
      <c r="G7" s="170"/>
      <c r="H7" s="170"/>
      <c r="I7" s="39"/>
      <c r="J7" s="40"/>
      <c r="K7" s="30"/>
      <c r="L7" s="30"/>
      <c r="M7" s="171"/>
      <c r="N7" s="173"/>
      <c r="O7" s="173"/>
    </row>
    <row r="8" spans="1:15" ht="23" customHeight="1">
      <c r="A8" s="41"/>
      <c r="B8" s="36"/>
      <c r="C8" s="36"/>
      <c r="D8" s="36"/>
      <c r="F8" s="174" t="s">
        <v>184</v>
      </c>
      <c r="G8" s="174"/>
      <c r="H8" s="174"/>
      <c r="I8" s="33"/>
      <c r="J8" s="30"/>
      <c r="K8" s="30"/>
      <c r="L8" s="30"/>
      <c r="M8" s="172"/>
      <c r="N8" s="43"/>
      <c r="O8" s="44"/>
    </row>
    <row r="9" spans="1:15" ht="23" customHeight="1">
      <c r="A9" s="34"/>
      <c r="B9" s="35" t="s">
        <v>185</v>
      </c>
      <c r="C9" s="163"/>
      <c r="D9" s="164"/>
      <c r="E9" s="35"/>
      <c r="F9" s="175" t="s">
        <v>252</v>
      </c>
      <c r="G9" s="175"/>
      <c r="H9" s="175"/>
      <c r="I9" s="45"/>
      <c r="J9" s="30"/>
      <c r="K9" s="30"/>
      <c r="L9" s="30"/>
      <c r="M9" s="30"/>
    </row>
    <row r="10" spans="1:15" ht="23" customHeight="1">
      <c r="A10" s="34"/>
      <c r="B10" s="36"/>
      <c r="C10" s="163"/>
      <c r="D10" s="164"/>
      <c r="E10" s="46"/>
      <c r="F10" s="165"/>
      <c r="G10" s="165"/>
      <c r="H10" s="165"/>
      <c r="I10" s="33"/>
      <c r="J10" s="30"/>
      <c r="K10" s="30"/>
      <c r="L10" s="30"/>
      <c r="M10" s="30"/>
    </row>
    <row r="11" spans="1:15" ht="23" customHeight="1">
      <c r="A11" s="34"/>
      <c r="B11" s="36"/>
      <c r="C11" s="163"/>
      <c r="D11" s="164"/>
      <c r="E11" s="47"/>
      <c r="F11" s="165" t="s">
        <v>186</v>
      </c>
      <c r="G11" s="165"/>
      <c r="H11" s="165"/>
      <c r="I11" s="33"/>
      <c r="J11" s="30"/>
      <c r="K11" s="30"/>
      <c r="L11" s="30"/>
      <c r="M11" s="30"/>
    </row>
    <row r="12" spans="1:15" ht="23" customHeight="1">
      <c r="A12" s="34"/>
      <c r="B12" s="36"/>
      <c r="C12" s="163"/>
      <c r="D12" s="164"/>
      <c r="E12" s="32"/>
      <c r="F12" s="38"/>
      <c r="G12" s="48"/>
      <c r="H12" s="48"/>
      <c r="I12" s="38"/>
      <c r="J12" s="30"/>
      <c r="K12" s="30"/>
      <c r="L12" s="30"/>
      <c r="M12" s="30"/>
    </row>
    <row r="13" spans="1:15" ht="23" customHeight="1">
      <c r="A13" s="34"/>
      <c r="B13" s="36"/>
      <c r="C13" s="38"/>
      <c r="D13" s="38"/>
      <c r="E13" s="32"/>
      <c r="F13" s="38"/>
      <c r="G13" s="48"/>
      <c r="H13" s="48"/>
      <c r="I13" s="38"/>
      <c r="J13" s="30"/>
      <c r="K13" s="30"/>
      <c r="L13" s="30"/>
      <c r="M13" s="30"/>
    </row>
    <row r="14" spans="1:15" s="53" customFormat="1" ht="23" customHeight="1">
      <c r="A14" s="49"/>
      <c r="B14" s="35" t="s">
        <v>187</v>
      </c>
      <c r="C14" s="50"/>
      <c r="D14" s="50"/>
      <c r="E14" s="51"/>
      <c r="F14" s="49"/>
      <c r="G14" s="51"/>
      <c r="H14" s="51"/>
      <c r="I14" s="51" t="s">
        <v>196</v>
      </c>
      <c r="J14" s="52"/>
      <c r="K14" s="52"/>
      <c r="L14" s="52"/>
      <c r="M14" s="52"/>
    </row>
    <row r="15" spans="1:15" ht="23" customHeight="1">
      <c r="A15" s="25"/>
      <c r="B15" s="26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5" ht="23" customHeight="1">
      <c r="A16" s="54"/>
      <c r="C16" s="55" t="s">
        <v>188</v>
      </c>
      <c r="D16" s="55" t="s">
        <v>189</v>
      </c>
      <c r="E16" s="55" t="s">
        <v>191</v>
      </c>
      <c r="F16" s="55" t="s">
        <v>190</v>
      </c>
      <c r="G16" s="55" t="s">
        <v>192</v>
      </c>
      <c r="H16" s="55" t="s">
        <v>193</v>
      </c>
      <c r="I16" s="25"/>
      <c r="J16" s="25"/>
      <c r="K16" s="25"/>
      <c r="L16" s="25"/>
      <c r="M16" s="25"/>
    </row>
    <row r="17" spans="1:13" ht="23" customHeight="1">
      <c r="A17" s="56"/>
      <c r="C17" s="69">
        <f>'2026-2027 Nitro Packages'!O16</f>
        <v>0</v>
      </c>
      <c r="D17" s="69">
        <f>'2026-2027 Nitro Packages'!O26</f>
        <v>0</v>
      </c>
      <c r="E17" s="69">
        <f>'2026-2027 Nitro Packages'!O34</f>
        <v>0</v>
      </c>
      <c r="F17" s="69">
        <f>'2026-2027 Nitro Packages'!O42</f>
        <v>0</v>
      </c>
      <c r="G17" s="69">
        <f>'2026-2027 Nitro Packages'!O53</f>
        <v>0</v>
      </c>
      <c r="H17" s="69">
        <f>'2026-2027 Nitro Packages'!O64</f>
        <v>0</v>
      </c>
      <c r="I17" s="25"/>
      <c r="J17" s="25"/>
      <c r="K17" s="25"/>
      <c r="L17" s="25"/>
      <c r="M17" s="25"/>
    </row>
    <row r="18" spans="1:13" ht="23" customHeight="1">
      <c r="A18" s="56"/>
      <c r="B18" s="68" t="s">
        <v>255</v>
      </c>
      <c r="C18" s="69">
        <f>C17*0.85</f>
        <v>0</v>
      </c>
      <c r="D18" s="69">
        <f t="shared" ref="D18:H18" si="0">D17*0.85</f>
        <v>0</v>
      </c>
      <c r="E18" s="69">
        <f t="shared" si="0"/>
        <v>0</v>
      </c>
      <c r="F18" s="69">
        <f t="shared" si="0"/>
        <v>0</v>
      </c>
      <c r="G18" s="69">
        <f t="shared" si="0"/>
        <v>0</v>
      </c>
      <c r="H18" s="69">
        <f t="shared" si="0"/>
        <v>0</v>
      </c>
      <c r="I18" s="25"/>
      <c r="J18" s="60"/>
      <c r="K18" s="25"/>
      <c r="L18" s="25"/>
      <c r="M18" s="25"/>
    </row>
    <row r="19" spans="1:13" ht="23" customHeight="1">
      <c r="A19" s="29"/>
      <c r="B19" s="26"/>
      <c r="C19" s="57"/>
      <c r="D19" s="57"/>
      <c r="E19" s="58"/>
      <c r="F19" s="57"/>
      <c r="G19" s="58"/>
      <c r="H19" s="58"/>
      <c r="I19" s="59"/>
      <c r="J19" s="30"/>
      <c r="K19" s="30"/>
      <c r="L19" s="30"/>
      <c r="M19" s="30"/>
    </row>
    <row r="20" spans="1:13" ht="23" customHeight="1">
      <c r="A20" s="25"/>
      <c r="B20" s="35" t="s">
        <v>194</v>
      </c>
      <c r="C20" s="70">
        <f>C17+D17+E17+F17+G17+H17</f>
        <v>0</v>
      </c>
      <c r="D20" s="35" t="s">
        <v>254</v>
      </c>
      <c r="E20" s="70">
        <f>C18+D18+E18+F18+G18+H18</f>
        <v>0</v>
      </c>
      <c r="F20" s="60"/>
      <c r="G20" s="60"/>
      <c r="H20" s="60"/>
      <c r="I20" s="25"/>
      <c r="J20" s="25"/>
      <c r="K20" s="25"/>
      <c r="L20" s="25"/>
      <c r="M20" s="25"/>
    </row>
    <row r="21" spans="1:13" ht="23" customHeight="1">
      <c r="A21" s="25"/>
      <c r="B21" s="26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spans="1:13" ht="23" customHeight="1">
      <c r="A22" s="54"/>
      <c r="B22" s="35" t="s">
        <v>195</v>
      </c>
      <c r="C22" s="176"/>
      <c r="D22" s="177"/>
      <c r="E22" s="177"/>
      <c r="F22" s="177"/>
      <c r="G22" s="177"/>
      <c r="H22" s="178"/>
      <c r="I22" s="61"/>
      <c r="J22" s="25"/>
      <c r="K22" s="25"/>
      <c r="L22" s="25"/>
      <c r="M22" s="25"/>
    </row>
    <row r="23" spans="1:13" ht="23" customHeight="1">
      <c r="A23" s="62"/>
      <c r="B23" s="35"/>
      <c r="C23" s="176"/>
      <c r="D23" s="177"/>
      <c r="E23" s="177"/>
      <c r="F23" s="177"/>
      <c r="G23" s="177"/>
      <c r="H23" s="178"/>
      <c r="I23" s="62"/>
      <c r="J23" s="25"/>
      <c r="K23" s="25"/>
      <c r="L23" s="25"/>
      <c r="M23" s="25"/>
    </row>
    <row r="24" spans="1:13" ht="23" customHeight="1">
      <c r="A24" s="63"/>
      <c r="B24" s="56"/>
      <c r="C24" s="176"/>
      <c r="D24" s="177"/>
      <c r="E24" s="177"/>
      <c r="F24" s="177"/>
      <c r="G24" s="177"/>
      <c r="H24" s="178"/>
      <c r="I24" s="56"/>
      <c r="J24" s="25"/>
      <c r="K24" s="25"/>
      <c r="L24" s="25"/>
      <c r="M24" s="25"/>
    </row>
    <row r="25" spans="1:13" ht="23" customHeight="1">
      <c r="A25" s="63"/>
      <c r="B25" s="56"/>
      <c r="C25" s="176"/>
      <c r="D25" s="177"/>
      <c r="E25" s="177"/>
      <c r="F25" s="177"/>
      <c r="G25" s="177"/>
      <c r="H25" s="178"/>
      <c r="I25" s="56"/>
      <c r="J25" s="25"/>
      <c r="K25" s="25"/>
      <c r="L25" s="25"/>
      <c r="M25" s="25"/>
    </row>
    <row r="26" spans="1:13" ht="23" customHeight="1">
      <c r="A26" s="63"/>
      <c r="B26" s="56"/>
      <c r="C26" s="42"/>
      <c r="D26" s="42"/>
      <c r="E26" s="42"/>
      <c r="F26" s="42"/>
      <c r="G26" s="42"/>
      <c r="H26" s="42"/>
      <c r="I26" s="56"/>
      <c r="J26" s="25"/>
      <c r="K26" s="25"/>
      <c r="L26" s="25"/>
      <c r="M26" s="25"/>
    </row>
    <row r="27" spans="1:13" ht="23" customHeight="1"/>
    <row r="28" spans="1:13" ht="23" customHeight="1"/>
    <row r="29" spans="1:13" ht="23" customHeight="1"/>
    <row r="30" spans="1:13" ht="23" customHeight="1">
      <c r="A30" s="28"/>
      <c r="B30" s="64"/>
      <c r="C30" s="65"/>
      <c r="D30" s="65"/>
      <c r="E30" s="65" t="s">
        <v>196</v>
      </c>
      <c r="F30" s="65"/>
      <c r="G30" s="65"/>
      <c r="H30" s="65"/>
      <c r="I30" s="65"/>
      <c r="J30" s="29"/>
      <c r="K30" s="29"/>
      <c r="L30" s="29"/>
      <c r="M30" s="29"/>
    </row>
    <row r="31" spans="1:13" ht="23" customHeight="1">
      <c r="A31" s="28"/>
      <c r="B31" s="166" t="s">
        <v>197</v>
      </c>
      <c r="C31" s="167"/>
      <c r="D31" s="167"/>
      <c r="E31" s="167"/>
      <c r="F31" s="167"/>
      <c r="G31" s="167"/>
      <c r="H31" s="167"/>
      <c r="I31" s="167"/>
      <c r="J31" s="29"/>
      <c r="K31" s="29"/>
      <c r="L31" s="29"/>
      <c r="M31" s="29"/>
    </row>
    <row r="32" spans="1:13" ht="23" customHeight="1">
      <c r="A32" s="54"/>
      <c r="B32" s="179" t="s">
        <v>198</v>
      </c>
      <c r="C32" s="179"/>
      <c r="D32" s="61"/>
      <c r="E32" s="61"/>
      <c r="F32" s="61"/>
      <c r="G32" s="61"/>
      <c r="H32" s="61"/>
      <c r="I32" s="61"/>
      <c r="J32" s="25"/>
      <c r="K32" s="25"/>
      <c r="L32" s="25"/>
      <c r="M32" s="25"/>
    </row>
    <row r="33" spans="2:3" ht="23" customHeight="1">
      <c r="B33" s="66" t="s">
        <v>199</v>
      </c>
      <c r="C33" s="66"/>
    </row>
    <row r="34" spans="2:3" ht="23" customHeight="1"/>
    <row r="35" spans="2:3" ht="23" customHeight="1"/>
    <row r="36" spans="2:3" ht="23" customHeight="1"/>
    <row r="37" spans="2:3" ht="23" customHeight="1"/>
    <row r="38" spans="2:3" ht="23" customHeight="1"/>
    <row r="39" spans="2:3" ht="23" customHeight="1"/>
    <row r="40" spans="2:3" ht="23" customHeight="1"/>
    <row r="41" spans="2:3" ht="23" customHeight="1"/>
    <row r="42" spans="2:3" ht="23" customHeight="1"/>
    <row r="43" spans="2:3" ht="23" customHeight="1"/>
    <row r="44" spans="2:3" ht="23" customHeight="1"/>
    <row r="45" spans="2:3" ht="23" customHeight="1"/>
    <row r="46" spans="2:3" ht="23" customHeight="1"/>
    <row r="47" spans="2:3" ht="23" customHeight="1"/>
  </sheetData>
  <mergeCells count="23">
    <mergeCell ref="C25:H25"/>
    <mergeCell ref="B31:I31"/>
    <mergeCell ref="B32:C32"/>
    <mergeCell ref="C11:D11"/>
    <mergeCell ref="F11:H11"/>
    <mergeCell ref="C12:D12"/>
    <mergeCell ref="C22:H22"/>
    <mergeCell ref="C23:H23"/>
    <mergeCell ref="C24:H24"/>
    <mergeCell ref="M7:M8"/>
    <mergeCell ref="N7:O7"/>
    <mergeCell ref="F8:H8"/>
    <mergeCell ref="C9:D9"/>
    <mergeCell ref="F9:H9"/>
    <mergeCell ref="C10:D10"/>
    <mergeCell ref="F10:H10"/>
    <mergeCell ref="B2:I2"/>
    <mergeCell ref="C4:D4"/>
    <mergeCell ref="F4:H4"/>
    <mergeCell ref="C5:D5"/>
    <mergeCell ref="C6:D6"/>
    <mergeCell ref="C7:D7"/>
    <mergeCell ref="F7:H7"/>
  </mergeCells>
  <pageMargins left="0.7" right="0.7" top="0.75" bottom="0.75" header="0.3" footer="0.3"/>
  <pageSetup scale="48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762DB-2A65-494F-AC72-27F4EF1357E9}">
  <sheetPr>
    <pageSetUpPr fitToPage="1"/>
  </sheetPr>
  <dimension ref="A1:Q75"/>
  <sheetViews>
    <sheetView workbookViewId="0">
      <selection activeCell="B56" sqref="B56"/>
    </sheetView>
  </sheetViews>
  <sheetFormatPr baseColWidth="10" defaultRowHeight="14"/>
  <cols>
    <col min="1" max="1" width="4.83203125" style="80" customWidth="1"/>
    <col min="2" max="2" width="130.6640625" style="80" bestFit="1" customWidth="1"/>
    <col min="3" max="3" width="11.83203125" style="80" bestFit="1" customWidth="1"/>
    <col min="4" max="16384" width="10.83203125" style="80"/>
  </cols>
  <sheetData>
    <row r="1" spans="1:17" s="154" customFormat="1" ht="23" customHeight="1">
      <c r="A1" s="151"/>
      <c r="B1" s="151"/>
      <c r="C1" s="152"/>
      <c r="D1" s="152"/>
      <c r="E1" s="152"/>
      <c r="F1" s="152"/>
      <c r="G1" s="152"/>
      <c r="H1" s="152"/>
      <c r="I1" s="152"/>
      <c r="J1" s="152"/>
      <c r="K1" s="152"/>
      <c r="L1" s="153"/>
      <c r="M1" s="153"/>
      <c r="N1" s="153"/>
      <c r="O1" s="153"/>
      <c r="P1" s="153"/>
      <c r="Q1" s="153"/>
    </row>
    <row r="2" spans="1:17" s="154" customFormat="1" ht="23" customHeight="1">
      <c r="A2" s="151"/>
      <c r="B2" s="155" t="s">
        <v>202</v>
      </c>
      <c r="C2" s="156"/>
      <c r="G2" s="157"/>
      <c r="H2" s="157"/>
      <c r="I2" s="157"/>
      <c r="J2" s="157"/>
      <c r="K2" s="156"/>
      <c r="L2" s="158"/>
      <c r="M2" s="158"/>
      <c r="N2" s="158"/>
      <c r="O2" s="158"/>
      <c r="P2" s="159"/>
      <c r="Q2" s="159"/>
    </row>
    <row r="3" spans="1:17" s="27" customFormat="1" ht="23" customHeight="1">
      <c r="A3" s="148"/>
      <c r="B3" s="149"/>
      <c r="C3" s="149"/>
      <c r="D3" s="149"/>
      <c r="E3" s="149"/>
      <c r="F3" s="149"/>
      <c r="G3" s="150"/>
      <c r="H3" s="150"/>
      <c r="I3" s="150"/>
      <c r="J3" s="150"/>
    </row>
    <row r="4" spans="1:17" ht="23" customHeight="1">
      <c r="A4" s="78"/>
      <c r="B4" s="83" t="s">
        <v>203</v>
      </c>
      <c r="C4" s="84"/>
      <c r="D4" s="84"/>
    </row>
    <row r="5" spans="1:17" ht="23" customHeight="1">
      <c r="A5" s="78"/>
      <c r="B5" s="147" t="s">
        <v>204</v>
      </c>
      <c r="C5" s="85"/>
      <c r="D5" s="86"/>
    </row>
    <row r="6" spans="1:17" ht="23" customHeight="1">
      <c r="A6" s="78"/>
      <c r="B6" s="87" t="s">
        <v>205</v>
      </c>
      <c r="C6" s="88"/>
      <c r="D6" s="89"/>
    </row>
    <row r="7" spans="1:17" ht="23" customHeight="1">
      <c r="A7" s="78"/>
      <c r="B7" s="87" t="s">
        <v>206</v>
      </c>
      <c r="C7" s="88"/>
      <c r="D7" s="89"/>
    </row>
    <row r="8" spans="1:17" ht="23" customHeight="1">
      <c r="A8" s="78"/>
      <c r="B8" s="87" t="s">
        <v>207</v>
      </c>
      <c r="C8" s="88"/>
      <c r="D8" s="89"/>
      <c r="G8" s="80" t="s">
        <v>253</v>
      </c>
    </row>
    <row r="9" spans="1:17" ht="23" customHeight="1">
      <c r="A9" s="78"/>
      <c r="B9" s="87" t="s">
        <v>208</v>
      </c>
      <c r="C9" s="88"/>
      <c r="D9" s="89"/>
    </row>
    <row r="10" spans="1:17" ht="23" customHeight="1">
      <c r="A10" s="78"/>
      <c r="B10" s="87" t="s">
        <v>209</v>
      </c>
      <c r="C10" s="88"/>
      <c r="D10" s="89"/>
    </row>
    <row r="11" spans="1:17" ht="23" customHeight="1">
      <c r="A11" s="78"/>
      <c r="B11" s="161" t="s">
        <v>256</v>
      </c>
      <c r="C11" s="90"/>
      <c r="D11" s="91"/>
    </row>
    <row r="12" spans="1:17" ht="23" customHeight="1">
      <c r="A12" s="78"/>
      <c r="B12" s="92"/>
      <c r="C12" s="93"/>
      <c r="D12" s="94"/>
    </row>
    <row r="13" spans="1:17" ht="23" customHeight="1">
      <c r="A13" s="78"/>
      <c r="B13" s="83" t="s">
        <v>210</v>
      </c>
      <c r="C13" s="84"/>
      <c r="D13" s="84"/>
    </row>
    <row r="14" spans="1:17" ht="23" customHeight="1">
      <c r="A14" s="78"/>
      <c r="B14" s="95" t="s">
        <v>211</v>
      </c>
      <c r="C14" s="85"/>
      <c r="D14" s="86"/>
    </row>
    <row r="15" spans="1:17" ht="23" customHeight="1">
      <c r="A15" s="78"/>
      <c r="B15" s="96" t="s">
        <v>212</v>
      </c>
      <c r="C15" s="88"/>
      <c r="D15" s="89"/>
    </row>
    <row r="16" spans="1:17" ht="23" customHeight="1">
      <c r="A16" s="78"/>
      <c r="B16" s="96" t="s">
        <v>207</v>
      </c>
      <c r="C16" s="88"/>
      <c r="D16" s="89"/>
    </row>
    <row r="17" spans="1:4" ht="23" customHeight="1">
      <c r="A17" s="78"/>
      <c r="B17" s="96" t="s">
        <v>208</v>
      </c>
      <c r="C17" s="88"/>
      <c r="D17" s="89"/>
    </row>
    <row r="18" spans="1:4" ht="23" customHeight="1">
      <c r="A18" s="78"/>
      <c r="B18" s="96" t="s">
        <v>209</v>
      </c>
      <c r="C18" s="88"/>
      <c r="D18" s="89"/>
    </row>
    <row r="19" spans="1:4" ht="23" customHeight="1">
      <c r="A19" s="78"/>
      <c r="B19" s="162" t="s">
        <v>256</v>
      </c>
      <c r="C19" s="90"/>
      <c r="D19" s="91"/>
    </row>
    <row r="20" spans="1:4" ht="23" customHeight="1">
      <c r="A20" s="97"/>
      <c r="B20" s="98"/>
      <c r="C20" s="99"/>
      <c r="D20" s="99"/>
    </row>
    <row r="21" spans="1:4" ht="23" customHeight="1">
      <c r="A21" s="81"/>
      <c r="B21" s="100" t="s">
        <v>213</v>
      </c>
      <c r="C21" s="101"/>
      <c r="D21" s="102"/>
    </row>
    <row r="22" spans="1:4" ht="23" customHeight="1">
      <c r="A22" s="103"/>
      <c r="B22" s="104" t="s">
        <v>244</v>
      </c>
      <c r="C22" s="105"/>
      <c r="D22" s="106"/>
    </row>
    <row r="23" spans="1:4" ht="23" customHeight="1">
      <c r="A23" s="103"/>
      <c r="B23" s="107" t="s">
        <v>245</v>
      </c>
      <c r="C23" s="108"/>
      <c r="D23" s="109"/>
    </row>
    <row r="24" spans="1:4" ht="23" customHeight="1">
      <c r="A24" s="103"/>
      <c r="B24" s="110" t="s">
        <v>246</v>
      </c>
      <c r="C24" s="111"/>
      <c r="D24" s="112"/>
    </row>
    <row r="25" spans="1:4" ht="23" customHeight="1">
      <c r="A25" s="97"/>
      <c r="B25" s="113"/>
      <c r="C25" s="114"/>
      <c r="D25" s="114"/>
    </row>
    <row r="26" spans="1:4" ht="23" customHeight="1">
      <c r="A26" s="81"/>
      <c r="B26" s="115" t="s">
        <v>214</v>
      </c>
      <c r="C26" s="116"/>
      <c r="D26" s="117"/>
    </row>
    <row r="27" spans="1:4" ht="23" customHeight="1">
      <c r="A27" s="81"/>
      <c r="B27" s="118" t="s">
        <v>215</v>
      </c>
      <c r="C27" s="119"/>
      <c r="D27" s="120"/>
    </row>
    <row r="28" spans="1:4" ht="23" customHeight="1">
      <c r="A28" s="81"/>
      <c r="B28" s="121" t="s">
        <v>216</v>
      </c>
      <c r="C28" s="122"/>
      <c r="D28" s="123"/>
    </row>
    <row r="29" spans="1:4" ht="23" customHeight="1">
      <c r="A29" s="81"/>
      <c r="B29" s="124" t="s">
        <v>217</v>
      </c>
      <c r="C29" s="122"/>
      <c r="D29" s="123"/>
    </row>
    <row r="30" spans="1:4" ht="23" customHeight="1">
      <c r="A30" s="81"/>
      <c r="B30" s="121" t="s">
        <v>218</v>
      </c>
      <c r="C30" s="122"/>
      <c r="D30" s="123"/>
    </row>
    <row r="31" spans="1:4" ht="23" customHeight="1">
      <c r="A31" s="81"/>
      <c r="B31" s="121" t="s">
        <v>219</v>
      </c>
      <c r="C31" s="122"/>
      <c r="D31" s="123"/>
    </row>
    <row r="32" spans="1:4" ht="23" customHeight="1">
      <c r="A32" s="81"/>
      <c r="B32" s="121" t="s">
        <v>220</v>
      </c>
      <c r="C32" s="122"/>
      <c r="D32" s="123"/>
    </row>
    <row r="33" spans="1:4" ht="23" customHeight="1">
      <c r="A33" s="81"/>
      <c r="B33" s="121" t="s">
        <v>221</v>
      </c>
      <c r="C33" s="122"/>
      <c r="D33" s="123"/>
    </row>
    <row r="34" spans="1:4" ht="23" customHeight="1">
      <c r="A34" s="81"/>
      <c r="B34" s="121" t="s">
        <v>222</v>
      </c>
      <c r="C34" s="122"/>
      <c r="D34" s="123"/>
    </row>
    <row r="35" spans="1:4" ht="23" customHeight="1">
      <c r="A35" s="81"/>
      <c r="B35" s="121" t="s">
        <v>223</v>
      </c>
      <c r="C35" s="122"/>
      <c r="D35" s="123"/>
    </row>
    <row r="36" spans="1:4" ht="23" customHeight="1">
      <c r="A36" s="81"/>
      <c r="B36" s="121" t="s">
        <v>224</v>
      </c>
      <c r="C36" s="122"/>
      <c r="D36" s="123"/>
    </row>
    <row r="37" spans="1:4" ht="23" customHeight="1">
      <c r="A37" s="81"/>
      <c r="B37" s="121" t="s">
        <v>225</v>
      </c>
      <c r="C37" s="122"/>
      <c r="D37" s="123"/>
    </row>
    <row r="38" spans="1:4" ht="23" customHeight="1">
      <c r="A38" s="81"/>
      <c r="B38" s="121" t="s">
        <v>226</v>
      </c>
      <c r="C38" s="122"/>
      <c r="D38" s="123"/>
    </row>
    <row r="39" spans="1:4" ht="23" customHeight="1">
      <c r="A39" s="81"/>
      <c r="B39" s="121" t="s">
        <v>247</v>
      </c>
      <c r="C39" s="122"/>
      <c r="D39" s="123"/>
    </row>
    <row r="40" spans="1:4" ht="23" customHeight="1">
      <c r="A40" s="81"/>
      <c r="B40" s="121" t="s">
        <v>227</v>
      </c>
      <c r="C40" s="122"/>
      <c r="D40" s="123"/>
    </row>
    <row r="41" spans="1:4" ht="23" customHeight="1">
      <c r="A41" s="81"/>
      <c r="B41" s="121" t="s">
        <v>228</v>
      </c>
      <c r="C41" s="122"/>
      <c r="D41" s="123"/>
    </row>
    <row r="42" spans="1:4" ht="23" customHeight="1">
      <c r="A42" s="81"/>
      <c r="B42" s="121" t="s">
        <v>229</v>
      </c>
      <c r="C42" s="122"/>
      <c r="D42" s="123"/>
    </row>
    <row r="43" spans="1:4" ht="23" customHeight="1">
      <c r="A43" s="81"/>
      <c r="B43" s="125" t="s">
        <v>230</v>
      </c>
      <c r="C43" s="126"/>
      <c r="D43" s="127"/>
    </row>
    <row r="44" spans="1:4" ht="23" customHeight="1">
      <c r="A44" s="78"/>
      <c r="B44" s="128"/>
      <c r="C44" s="129"/>
      <c r="D44" s="129"/>
    </row>
    <row r="45" spans="1:4" ht="23" customHeight="1">
      <c r="A45" s="81"/>
      <c r="B45" s="130" t="s">
        <v>231</v>
      </c>
      <c r="C45" s="131"/>
      <c r="D45" s="132"/>
    </row>
    <row r="46" spans="1:4" ht="23" customHeight="1">
      <c r="A46" s="81"/>
      <c r="B46" s="133" t="s">
        <v>232</v>
      </c>
      <c r="C46" s="134"/>
      <c r="D46" s="135"/>
    </row>
    <row r="47" spans="1:4" ht="23" customHeight="1">
      <c r="A47" s="81"/>
      <c r="B47" s="124" t="s">
        <v>249</v>
      </c>
      <c r="C47" s="129"/>
      <c r="D47" s="136"/>
    </row>
    <row r="48" spans="1:4" ht="23" customHeight="1">
      <c r="A48" s="81"/>
      <c r="B48" s="124" t="s">
        <v>233</v>
      </c>
      <c r="C48" s="129"/>
      <c r="D48" s="136"/>
    </row>
    <row r="49" spans="1:4" ht="23" customHeight="1">
      <c r="A49" s="81"/>
      <c r="B49" s="121" t="s">
        <v>234</v>
      </c>
      <c r="C49" s="122"/>
      <c r="D49" s="123"/>
    </row>
    <row r="50" spans="1:4" ht="23" customHeight="1">
      <c r="A50" s="81"/>
      <c r="B50" s="124" t="s">
        <v>235</v>
      </c>
      <c r="C50" s="129"/>
      <c r="D50" s="136"/>
    </row>
    <row r="51" spans="1:4" ht="23" customHeight="1">
      <c r="A51" s="81"/>
      <c r="B51" s="137" t="s">
        <v>236</v>
      </c>
      <c r="C51" s="79"/>
      <c r="D51" s="138"/>
    </row>
    <row r="52" spans="1:4" ht="23" customHeight="1">
      <c r="A52" s="78"/>
      <c r="B52" s="128"/>
      <c r="C52" s="129"/>
      <c r="D52" s="129"/>
    </row>
    <row r="53" spans="1:4" ht="23" customHeight="1">
      <c r="A53" s="81"/>
      <c r="B53" s="130" t="s">
        <v>237</v>
      </c>
      <c r="C53" s="131"/>
      <c r="D53" s="132"/>
    </row>
    <row r="54" spans="1:4" ht="23" customHeight="1">
      <c r="A54" s="81"/>
      <c r="B54" s="139" t="s">
        <v>257</v>
      </c>
      <c r="C54" s="134"/>
      <c r="D54" s="135"/>
    </row>
    <row r="55" spans="1:4" ht="23" customHeight="1">
      <c r="A55" s="81"/>
      <c r="B55" s="124" t="s">
        <v>248</v>
      </c>
      <c r="C55" s="129"/>
      <c r="D55" s="136"/>
    </row>
    <row r="56" spans="1:4" ht="23" customHeight="1">
      <c r="A56" s="81"/>
      <c r="B56" s="124" t="s">
        <v>238</v>
      </c>
      <c r="C56" s="129"/>
      <c r="D56" s="136"/>
    </row>
    <row r="57" spans="1:4" ht="23" customHeight="1">
      <c r="A57" s="81"/>
      <c r="B57" s="124" t="s">
        <v>239</v>
      </c>
      <c r="C57" s="129"/>
      <c r="D57" s="136"/>
    </row>
    <row r="58" spans="1:4" ht="23" customHeight="1">
      <c r="A58" s="81"/>
      <c r="B58" s="137" t="s">
        <v>240</v>
      </c>
      <c r="C58" s="79"/>
      <c r="D58" s="138"/>
    </row>
    <row r="59" spans="1:4" ht="23" customHeight="1" thickBot="1">
      <c r="A59" s="78"/>
      <c r="B59" s="98"/>
      <c r="C59" s="79"/>
      <c r="D59" s="79"/>
    </row>
    <row r="60" spans="1:4" ht="23" customHeight="1">
      <c r="A60" s="81"/>
      <c r="B60" s="140" t="s">
        <v>241</v>
      </c>
      <c r="C60" s="141"/>
      <c r="D60" s="142"/>
    </row>
    <row r="61" spans="1:4" ht="23" customHeight="1">
      <c r="A61" s="81"/>
      <c r="B61" s="143" t="s">
        <v>242</v>
      </c>
      <c r="C61" s="82"/>
      <c r="D61" s="144"/>
    </row>
    <row r="62" spans="1:4" ht="23" customHeight="1">
      <c r="A62" s="145"/>
      <c r="B62" s="146" t="s">
        <v>243</v>
      </c>
      <c r="C62" s="145"/>
      <c r="D62" s="145"/>
    </row>
    <row r="63" spans="1:4" ht="23" customHeight="1"/>
    <row r="64" spans="1:4" ht="23" customHeight="1"/>
    <row r="65" ht="23" customHeight="1"/>
    <row r="66" ht="23" customHeight="1"/>
    <row r="67" ht="23" customHeight="1"/>
    <row r="68" ht="23" customHeight="1"/>
    <row r="69" ht="23" customHeight="1"/>
    <row r="70" ht="23" customHeight="1"/>
    <row r="71" ht="23" customHeight="1"/>
    <row r="72" ht="23" customHeight="1"/>
    <row r="73" ht="23" customHeight="1"/>
    <row r="74" ht="23" customHeight="1"/>
    <row r="75" ht="23" customHeight="1"/>
  </sheetData>
  <pageMargins left="0.7" right="0.7" top="0.75" bottom="0.75" header="0.3" footer="0.3"/>
  <pageSetup scale="47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C64"/>
  <sheetViews>
    <sheetView showGridLines="0" showOutlineSymbols="0" showWhiteSpace="0" zoomScale="102" zoomScaleNormal="100" workbookViewId="0">
      <pane ySplit="1" topLeftCell="A2" activePane="bottomLeft" state="frozen"/>
      <selection pane="bottomLeft" activeCell="M7" sqref="M7"/>
    </sheetView>
  </sheetViews>
  <sheetFormatPr baseColWidth="10" defaultColWidth="8.83203125" defaultRowHeight="15"/>
  <cols>
    <col min="1" max="1" width="6" style="22" bestFit="1" customWidth="1"/>
    <col min="2" max="2" width="8.33203125" style="22" bestFit="1" customWidth="1"/>
    <col min="3" max="3" width="10.33203125" style="22" bestFit="1" customWidth="1"/>
    <col min="4" max="4" width="23.5" style="22" customWidth="1"/>
    <col min="5" max="5" width="10.83203125" style="23" bestFit="1" customWidth="1"/>
    <col min="6" max="6" width="17.6640625" style="22" bestFit="1" customWidth="1"/>
    <col min="7" max="7" width="23.1640625" style="22" bestFit="1" customWidth="1"/>
    <col min="8" max="8" width="27.5" style="22" bestFit="1" customWidth="1"/>
    <col min="9" max="9" width="29.6640625" style="22" bestFit="1" customWidth="1"/>
    <col min="10" max="10" width="16.33203125" style="23" bestFit="1" customWidth="1"/>
    <col min="11" max="12" width="10" style="24" customWidth="1"/>
    <col min="13" max="13" width="10" style="23" customWidth="1"/>
    <col min="14" max="14" width="10" style="24" customWidth="1"/>
    <col min="15" max="15" width="8.83203125" style="71"/>
    <col min="16" max="16384" width="8.83203125" style="22"/>
  </cols>
  <sheetData>
    <row r="1" spans="1:237" s="6" customFormat="1" ht="23" customHeight="1">
      <c r="A1" s="13" t="s">
        <v>178</v>
      </c>
      <c r="B1" s="13" t="s">
        <v>179</v>
      </c>
      <c r="C1" s="13" t="s">
        <v>181</v>
      </c>
      <c r="D1" s="13" t="s">
        <v>160</v>
      </c>
      <c r="E1" s="16" t="s">
        <v>159</v>
      </c>
      <c r="F1" s="15" t="s">
        <v>161</v>
      </c>
      <c r="G1" s="14" t="s">
        <v>0</v>
      </c>
      <c r="H1" s="15" t="s">
        <v>162</v>
      </c>
      <c r="I1" s="16" t="s">
        <v>164</v>
      </c>
      <c r="J1" s="16" t="s">
        <v>163</v>
      </c>
      <c r="K1" s="16" t="s">
        <v>165</v>
      </c>
      <c r="L1" s="16" t="s">
        <v>166</v>
      </c>
      <c r="M1" s="16" t="s">
        <v>167</v>
      </c>
      <c r="N1" s="16" t="s">
        <v>168</v>
      </c>
      <c r="O1" s="5"/>
    </row>
    <row r="2" spans="1:237" s="2" customFormat="1" ht="23" customHeight="1">
      <c r="A2" s="1"/>
      <c r="B2" s="1"/>
      <c r="D2" s="3"/>
      <c r="E2" s="4"/>
      <c r="F2" s="3"/>
      <c r="G2" s="1"/>
      <c r="H2" s="1"/>
      <c r="I2" s="1"/>
      <c r="N2" s="1"/>
      <c r="O2" s="1"/>
    </row>
    <row r="3" spans="1:237" s="6" customFormat="1" ht="23" customHeight="1">
      <c r="A3" s="5"/>
      <c r="B3" s="7" t="s">
        <v>201</v>
      </c>
      <c r="D3" s="3"/>
      <c r="F3" s="8"/>
      <c r="G3" s="9"/>
      <c r="H3" s="10"/>
      <c r="I3" s="11"/>
      <c r="J3" s="2"/>
      <c r="K3" s="2"/>
      <c r="L3" s="2"/>
      <c r="M3" s="2"/>
      <c r="N3" s="5"/>
      <c r="O3" s="5"/>
    </row>
    <row r="4" spans="1:237" s="6" customFormat="1" ht="23" customHeight="1">
      <c r="A4" s="5"/>
      <c r="B4" s="5"/>
      <c r="D4" s="3"/>
      <c r="E4" s="4"/>
      <c r="F4" s="3"/>
      <c r="G4" s="12"/>
      <c r="N4" s="5"/>
      <c r="O4" s="5"/>
    </row>
    <row r="5" spans="1:237" s="6" customFormat="1" ht="23" customHeight="1">
      <c r="A5" s="180" t="s">
        <v>180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2"/>
      <c r="O5" s="5"/>
    </row>
    <row r="6" spans="1:237" s="6" customFormat="1" ht="23" customHeight="1">
      <c r="A6" s="5"/>
      <c r="B6" s="5"/>
      <c r="D6" s="3"/>
      <c r="E6" s="4"/>
      <c r="F6" s="3"/>
      <c r="G6" s="12"/>
      <c r="N6" s="5"/>
      <c r="O6" s="5"/>
    </row>
    <row r="7" spans="1:237" s="18" customFormat="1" ht="23" customHeight="1">
      <c r="A7" s="73" t="s">
        <v>6</v>
      </c>
      <c r="B7" s="73" t="s">
        <v>7</v>
      </c>
      <c r="C7" s="73" t="s">
        <v>170</v>
      </c>
      <c r="D7" s="73" t="s">
        <v>155</v>
      </c>
      <c r="E7" s="74">
        <v>0.1</v>
      </c>
      <c r="F7" s="73" t="s">
        <v>4</v>
      </c>
      <c r="G7" s="73" t="s">
        <v>5</v>
      </c>
      <c r="H7" s="73" t="s">
        <v>1</v>
      </c>
      <c r="I7" s="73" t="s">
        <v>2</v>
      </c>
      <c r="J7" s="75" t="s">
        <v>3</v>
      </c>
      <c r="K7" s="76">
        <v>228</v>
      </c>
      <c r="L7" s="76">
        <v>379.95</v>
      </c>
      <c r="M7" s="75"/>
      <c r="N7" s="76">
        <f>M7*K7</f>
        <v>0</v>
      </c>
      <c r="O7" s="71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</row>
    <row r="8" spans="1:237" s="18" customFormat="1" ht="23" customHeight="1">
      <c r="A8" s="73" t="s">
        <v>6</v>
      </c>
      <c r="B8" s="73" t="s">
        <v>7</v>
      </c>
      <c r="C8" s="73" t="s">
        <v>170</v>
      </c>
      <c r="D8" s="73" t="s">
        <v>155</v>
      </c>
      <c r="E8" s="74">
        <v>0.1</v>
      </c>
      <c r="F8" s="73" t="s">
        <v>9</v>
      </c>
      <c r="G8" s="73" t="s">
        <v>10</v>
      </c>
      <c r="H8" s="73" t="s">
        <v>1</v>
      </c>
      <c r="I8" s="73" t="s">
        <v>2</v>
      </c>
      <c r="J8" s="75" t="s">
        <v>8</v>
      </c>
      <c r="K8" s="76">
        <v>228</v>
      </c>
      <c r="L8" s="76">
        <v>379.95</v>
      </c>
      <c r="M8" s="75"/>
      <c r="N8" s="76">
        <f t="shared" ref="N8:N64" si="0">M8*K8</f>
        <v>0</v>
      </c>
      <c r="O8" s="71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</row>
    <row r="9" spans="1:237" s="18" customFormat="1" ht="23" customHeight="1">
      <c r="A9" s="73" t="s">
        <v>6</v>
      </c>
      <c r="B9" s="73" t="s">
        <v>7</v>
      </c>
      <c r="C9" s="73" t="s">
        <v>170</v>
      </c>
      <c r="D9" s="73" t="s">
        <v>155</v>
      </c>
      <c r="E9" s="74">
        <v>0.1</v>
      </c>
      <c r="F9" s="73" t="s">
        <v>12</v>
      </c>
      <c r="G9" s="73" t="s">
        <v>13</v>
      </c>
      <c r="H9" s="73" t="s">
        <v>1</v>
      </c>
      <c r="I9" s="73" t="s">
        <v>2</v>
      </c>
      <c r="J9" s="75" t="s">
        <v>11</v>
      </c>
      <c r="K9" s="76">
        <v>228</v>
      </c>
      <c r="L9" s="76">
        <v>379.95</v>
      </c>
      <c r="M9" s="75"/>
      <c r="N9" s="76">
        <f t="shared" si="0"/>
        <v>0</v>
      </c>
      <c r="O9" s="7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</row>
    <row r="10" spans="1:237" s="18" customFormat="1" ht="23" customHeight="1">
      <c r="A10" s="73" t="s">
        <v>6</v>
      </c>
      <c r="B10" s="73" t="s">
        <v>7</v>
      </c>
      <c r="C10" s="73" t="s">
        <v>170</v>
      </c>
      <c r="D10" s="73" t="s">
        <v>155</v>
      </c>
      <c r="E10" s="74">
        <v>0.1</v>
      </c>
      <c r="F10" s="73" t="s">
        <v>15</v>
      </c>
      <c r="G10" s="73" t="s">
        <v>16</v>
      </c>
      <c r="H10" s="73" t="s">
        <v>1</v>
      </c>
      <c r="I10" s="73" t="s">
        <v>2</v>
      </c>
      <c r="J10" s="75" t="s">
        <v>14</v>
      </c>
      <c r="K10" s="76">
        <v>228</v>
      </c>
      <c r="L10" s="76">
        <v>379.95</v>
      </c>
      <c r="M10" s="75"/>
      <c r="N10" s="76">
        <f t="shared" si="0"/>
        <v>0</v>
      </c>
      <c r="O10" s="71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</row>
    <row r="11" spans="1:237" s="18" customFormat="1" ht="23" customHeight="1">
      <c r="A11" s="73" t="s">
        <v>6</v>
      </c>
      <c r="B11" s="73" t="s">
        <v>7</v>
      </c>
      <c r="C11" s="73" t="s">
        <v>170</v>
      </c>
      <c r="D11" s="73" t="s">
        <v>155</v>
      </c>
      <c r="E11" s="74">
        <v>0.1</v>
      </c>
      <c r="F11" s="73" t="s">
        <v>19</v>
      </c>
      <c r="G11" s="73" t="s">
        <v>20</v>
      </c>
      <c r="H11" s="73" t="s">
        <v>17</v>
      </c>
      <c r="I11" s="73" t="s">
        <v>2</v>
      </c>
      <c r="J11" s="75" t="s">
        <v>18</v>
      </c>
      <c r="K11" s="76">
        <v>228</v>
      </c>
      <c r="L11" s="76">
        <v>379.95</v>
      </c>
      <c r="M11" s="75"/>
      <c r="N11" s="76">
        <f t="shared" si="0"/>
        <v>0</v>
      </c>
      <c r="O11" s="71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</row>
    <row r="12" spans="1:237" s="18" customFormat="1" ht="23" customHeight="1">
      <c r="A12" s="73" t="s">
        <v>6</v>
      </c>
      <c r="B12" s="73" t="s">
        <v>7</v>
      </c>
      <c r="C12" s="73" t="s">
        <v>170</v>
      </c>
      <c r="D12" s="73" t="s">
        <v>155</v>
      </c>
      <c r="E12" s="74">
        <v>0.1</v>
      </c>
      <c r="F12" s="73" t="s">
        <v>22</v>
      </c>
      <c r="G12" s="73" t="s">
        <v>23</v>
      </c>
      <c r="H12" s="73" t="s">
        <v>17</v>
      </c>
      <c r="I12" s="73" t="s">
        <v>2</v>
      </c>
      <c r="J12" s="75" t="s">
        <v>21</v>
      </c>
      <c r="K12" s="76">
        <v>228</v>
      </c>
      <c r="L12" s="76">
        <v>379.95</v>
      </c>
      <c r="M12" s="75"/>
      <c r="N12" s="76">
        <f t="shared" si="0"/>
        <v>0</v>
      </c>
      <c r="O12" s="71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</row>
    <row r="13" spans="1:237" s="18" customFormat="1" ht="23" customHeight="1">
      <c r="A13" s="73" t="s">
        <v>6</v>
      </c>
      <c r="B13" s="73" t="s">
        <v>7</v>
      </c>
      <c r="C13" s="73" t="s">
        <v>170</v>
      </c>
      <c r="D13" s="73" t="s">
        <v>155</v>
      </c>
      <c r="E13" s="74">
        <v>0.1</v>
      </c>
      <c r="F13" s="73" t="s">
        <v>25</v>
      </c>
      <c r="G13" s="73" t="s">
        <v>26</v>
      </c>
      <c r="H13" s="73" t="s">
        <v>17</v>
      </c>
      <c r="I13" s="73" t="s">
        <v>2</v>
      </c>
      <c r="J13" s="75" t="s">
        <v>24</v>
      </c>
      <c r="K13" s="76">
        <v>228</v>
      </c>
      <c r="L13" s="76">
        <v>379.95</v>
      </c>
      <c r="M13" s="75"/>
      <c r="N13" s="76">
        <f t="shared" si="0"/>
        <v>0</v>
      </c>
      <c r="O13" s="71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</row>
    <row r="14" spans="1:237" s="18" customFormat="1" ht="23" customHeight="1">
      <c r="A14" s="73" t="s">
        <v>6</v>
      </c>
      <c r="B14" s="73" t="s">
        <v>7</v>
      </c>
      <c r="C14" s="73" t="s">
        <v>121</v>
      </c>
      <c r="D14" s="73" t="s">
        <v>155</v>
      </c>
      <c r="E14" s="74">
        <v>0.1</v>
      </c>
      <c r="F14" s="73" t="s">
        <v>119</v>
      </c>
      <c r="G14" s="73" t="s">
        <v>120</v>
      </c>
      <c r="H14" s="73" t="s">
        <v>117</v>
      </c>
      <c r="I14" s="73" t="s">
        <v>118</v>
      </c>
      <c r="J14" s="77" t="s">
        <v>173</v>
      </c>
      <c r="K14" s="76">
        <v>156</v>
      </c>
      <c r="L14" s="76">
        <v>259.95</v>
      </c>
      <c r="M14" s="75"/>
      <c r="N14" s="76">
        <f t="shared" si="0"/>
        <v>0</v>
      </c>
      <c r="O14" s="71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</row>
    <row r="15" spans="1:237" s="18" customFormat="1" ht="23" customHeight="1">
      <c r="A15" s="73" t="s">
        <v>6</v>
      </c>
      <c r="B15" s="73" t="s">
        <v>7</v>
      </c>
      <c r="C15" s="73" t="s">
        <v>121</v>
      </c>
      <c r="D15" s="73" t="s">
        <v>155</v>
      </c>
      <c r="E15" s="74">
        <v>0.1</v>
      </c>
      <c r="F15" s="73" t="s">
        <v>122</v>
      </c>
      <c r="G15" s="73" t="s">
        <v>123</v>
      </c>
      <c r="H15" s="73" t="s">
        <v>117</v>
      </c>
      <c r="I15" s="73" t="s">
        <v>118</v>
      </c>
      <c r="J15" s="77" t="s">
        <v>174</v>
      </c>
      <c r="K15" s="76">
        <v>156</v>
      </c>
      <c r="L15" s="76">
        <v>259.95</v>
      </c>
      <c r="M15" s="75"/>
      <c r="N15" s="76">
        <f t="shared" si="0"/>
        <v>0</v>
      </c>
      <c r="O15" s="71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</row>
    <row r="16" spans="1:237" s="18" customFormat="1" ht="23" customHeight="1">
      <c r="A16" s="73" t="s">
        <v>6</v>
      </c>
      <c r="B16" s="73" t="s">
        <v>169</v>
      </c>
      <c r="C16" s="73" t="s">
        <v>154</v>
      </c>
      <c r="D16" s="73" t="s">
        <v>155</v>
      </c>
      <c r="E16" s="74">
        <v>0.1</v>
      </c>
      <c r="F16" s="73" t="s">
        <v>152</v>
      </c>
      <c r="G16" s="73" t="s">
        <v>153</v>
      </c>
      <c r="H16" s="73" t="s">
        <v>149</v>
      </c>
      <c r="I16" s="73" t="s">
        <v>150</v>
      </c>
      <c r="J16" s="75" t="s">
        <v>151</v>
      </c>
      <c r="K16" s="76">
        <v>27</v>
      </c>
      <c r="L16" s="76">
        <v>54.95</v>
      </c>
      <c r="M16" s="75"/>
      <c r="N16" s="76">
        <f t="shared" si="0"/>
        <v>0</v>
      </c>
      <c r="O16" s="72">
        <f>SUM(N7:N16)</f>
        <v>0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</row>
    <row r="17" spans="1:237" s="18" customFormat="1" ht="23" customHeight="1">
      <c r="A17" s="18" t="s">
        <v>6</v>
      </c>
      <c r="B17" s="18" t="s">
        <v>7</v>
      </c>
      <c r="C17" s="18" t="s">
        <v>170</v>
      </c>
      <c r="D17" s="18" t="s">
        <v>156</v>
      </c>
      <c r="E17" s="19">
        <v>0.1</v>
      </c>
      <c r="F17" s="18" t="s">
        <v>29</v>
      </c>
      <c r="G17" s="18" t="s">
        <v>30</v>
      </c>
      <c r="H17" s="18" t="s">
        <v>27</v>
      </c>
      <c r="I17" s="18" t="s">
        <v>28</v>
      </c>
      <c r="J17" s="20" t="s">
        <v>3</v>
      </c>
      <c r="K17" s="21">
        <v>228</v>
      </c>
      <c r="L17" s="21">
        <v>379.95</v>
      </c>
      <c r="M17" s="20"/>
      <c r="N17" s="21">
        <f t="shared" si="0"/>
        <v>0</v>
      </c>
      <c r="O17" s="71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</row>
    <row r="18" spans="1:237" s="18" customFormat="1" ht="23" customHeight="1">
      <c r="A18" s="18" t="s">
        <v>6</v>
      </c>
      <c r="B18" s="18" t="s">
        <v>7</v>
      </c>
      <c r="C18" s="18" t="s">
        <v>170</v>
      </c>
      <c r="D18" s="18" t="s">
        <v>156</v>
      </c>
      <c r="E18" s="19">
        <v>0.1</v>
      </c>
      <c r="F18" s="18" t="s">
        <v>31</v>
      </c>
      <c r="G18" s="18" t="s">
        <v>32</v>
      </c>
      <c r="H18" s="18" t="s">
        <v>27</v>
      </c>
      <c r="I18" s="18" t="s">
        <v>28</v>
      </c>
      <c r="J18" s="20" t="s">
        <v>8</v>
      </c>
      <c r="K18" s="21">
        <v>228</v>
      </c>
      <c r="L18" s="21">
        <v>379.95</v>
      </c>
      <c r="M18" s="20"/>
      <c r="N18" s="21">
        <f t="shared" si="0"/>
        <v>0</v>
      </c>
      <c r="O18" s="71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</row>
    <row r="19" spans="1:237" s="18" customFormat="1" ht="23" customHeight="1">
      <c r="A19" s="18" t="s">
        <v>6</v>
      </c>
      <c r="B19" s="18" t="s">
        <v>7</v>
      </c>
      <c r="C19" s="18" t="s">
        <v>170</v>
      </c>
      <c r="D19" s="18" t="s">
        <v>156</v>
      </c>
      <c r="E19" s="19">
        <v>0.1</v>
      </c>
      <c r="F19" s="18" t="s">
        <v>33</v>
      </c>
      <c r="G19" s="18" t="s">
        <v>34</v>
      </c>
      <c r="H19" s="18" t="s">
        <v>27</v>
      </c>
      <c r="I19" s="18" t="s">
        <v>28</v>
      </c>
      <c r="J19" s="20" t="s">
        <v>11</v>
      </c>
      <c r="K19" s="21">
        <v>228</v>
      </c>
      <c r="L19" s="21">
        <v>379.95</v>
      </c>
      <c r="M19" s="20"/>
      <c r="N19" s="21">
        <f t="shared" si="0"/>
        <v>0</v>
      </c>
      <c r="O19" s="71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</row>
    <row r="20" spans="1:237" s="18" customFormat="1" ht="23" customHeight="1">
      <c r="A20" s="18" t="s">
        <v>6</v>
      </c>
      <c r="B20" s="18" t="s">
        <v>7</v>
      </c>
      <c r="C20" s="18" t="s">
        <v>170</v>
      </c>
      <c r="D20" s="18" t="s">
        <v>156</v>
      </c>
      <c r="E20" s="19">
        <v>0.1</v>
      </c>
      <c r="F20" s="18" t="s">
        <v>35</v>
      </c>
      <c r="G20" s="18" t="s">
        <v>36</v>
      </c>
      <c r="H20" s="18" t="s">
        <v>27</v>
      </c>
      <c r="I20" s="18" t="s">
        <v>28</v>
      </c>
      <c r="J20" s="20" t="s">
        <v>14</v>
      </c>
      <c r="K20" s="21">
        <v>228</v>
      </c>
      <c r="L20" s="21">
        <v>379.95</v>
      </c>
      <c r="M20" s="20"/>
      <c r="N20" s="21">
        <f t="shared" si="0"/>
        <v>0</v>
      </c>
      <c r="O20" s="71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</row>
    <row r="21" spans="1:237" s="18" customFormat="1" ht="23" customHeight="1">
      <c r="A21" s="18" t="s">
        <v>6</v>
      </c>
      <c r="B21" s="18" t="s">
        <v>7</v>
      </c>
      <c r="C21" s="18" t="s">
        <v>170</v>
      </c>
      <c r="D21" s="18" t="s">
        <v>156</v>
      </c>
      <c r="E21" s="19">
        <v>0.1</v>
      </c>
      <c r="F21" s="18" t="s">
        <v>38</v>
      </c>
      <c r="G21" s="18" t="s">
        <v>39</v>
      </c>
      <c r="H21" s="18" t="s">
        <v>27</v>
      </c>
      <c r="I21" s="18" t="s">
        <v>28</v>
      </c>
      <c r="J21" s="20" t="s">
        <v>37</v>
      </c>
      <c r="K21" s="21">
        <v>228</v>
      </c>
      <c r="L21" s="21">
        <v>379.95</v>
      </c>
      <c r="M21" s="20"/>
      <c r="N21" s="21">
        <f t="shared" si="0"/>
        <v>0</v>
      </c>
      <c r="O21" s="71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</row>
    <row r="22" spans="1:237" s="18" customFormat="1" ht="23" customHeight="1">
      <c r="A22" s="18" t="s">
        <v>6</v>
      </c>
      <c r="B22" s="18" t="s">
        <v>7</v>
      </c>
      <c r="C22" s="18" t="s">
        <v>170</v>
      </c>
      <c r="D22" s="18" t="s">
        <v>156</v>
      </c>
      <c r="E22" s="19">
        <v>0.1</v>
      </c>
      <c r="F22" s="18" t="s">
        <v>41</v>
      </c>
      <c r="G22" s="18" t="s">
        <v>42</v>
      </c>
      <c r="H22" s="18" t="s">
        <v>27</v>
      </c>
      <c r="I22" s="18" t="s">
        <v>28</v>
      </c>
      <c r="J22" s="20" t="s">
        <v>40</v>
      </c>
      <c r="K22" s="21">
        <v>228</v>
      </c>
      <c r="L22" s="21">
        <v>379.95</v>
      </c>
      <c r="M22" s="20"/>
      <c r="N22" s="21">
        <f t="shared" si="0"/>
        <v>0</v>
      </c>
      <c r="O22" s="71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</row>
    <row r="23" spans="1:237" s="18" customFormat="1" ht="23" customHeight="1">
      <c r="A23" s="18" t="s">
        <v>6</v>
      </c>
      <c r="B23" s="18" t="s">
        <v>7</v>
      </c>
      <c r="C23" s="18" t="s">
        <v>170</v>
      </c>
      <c r="D23" s="18" t="s">
        <v>156</v>
      </c>
      <c r="E23" s="19">
        <v>0.1</v>
      </c>
      <c r="F23" s="18" t="s">
        <v>44</v>
      </c>
      <c r="G23" s="18" t="s">
        <v>45</v>
      </c>
      <c r="H23" s="18" t="s">
        <v>27</v>
      </c>
      <c r="I23" s="18" t="s">
        <v>28</v>
      </c>
      <c r="J23" s="20" t="s">
        <v>43</v>
      </c>
      <c r="K23" s="21">
        <v>228</v>
      </c>
      <c r="L23" s="21">
        <v>379.95</v>
      </c>
      <c r="M23" s="20"/>
      <c r="N23" s="21">
        <f t="shared" si="0"/>
        <v>0</v>
      </c>
      <c r="O23" s="7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</row>
    <row r="24" spans="1:237" s="18" customFormat="1" ht="23" customHeight="1">
      <c r="A24" s="18" t="s">
        <v>6</v>
      </c>
      <c r="B24" s="18" t="s">
        <v>169</v>
      </c>
      <c r="C24" s="18" t="s">
        <v>121</v>
      </c>
      <c r="D24" s="18" t="s">
        <v>156</v>
      </c>
      <c r="E24" s="19">
        <v>0.1</v>
      </c>
      <c r="F24" s="18" t="s">
        <v>128</v>
      </c>
      <c r="G24" s="18" t="s">
        <v>129</v>
      </c>
      <c r="H24" s="18" t="s">
        <v>124</v>
      </c>
      <c r="I24" s="18" t="s">
        <v>125</v>
      </c>
      <c r="J24" s="17" t="s">
        <v>173</v>
      </c>
      <c r="K24" s="21">
        <v>120</v>
      </c>
      <c r="L24" s="21">
        <v>199.95</v>
      </c>
      <c r="M24" s="20"/>
      <c r="N24" s="21">
        <f t="shared" si="0"/>
        <v>0</v>
      </c>
      <c r="O24" s="71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</row>
    <row r="25" spans="1:237" s="18" customFormat="1" ht="23" customHeight="1">
      <c r="A25" s="18" t="s">
        <v>6</v>
      </c>
      <c r="B25" s="18" t="s">
        <v>169</v>
      </c>
      <c r="C25" s="18" t="s">
        <v>121</v>
      </c>
      <c r="D25" s="18" t="s">
        <v>156</v>
      </c>
      <c r="E25" s="19">
        <v>0.1</v>
      </c>
      <c r="F25" s="18" t="s">
        <v>130</v>
      </c>
      <c r="G25" s="18" t="s">
        <v>131</v>
      </c>
      <c r="H25" s="18" t="s">
        <v>124</v>
      </c>
      <c r="I25" s="18" t="s">
        <v>125</v>
      </c>
      <c r="J25" s="17" t="s">
        <v>174</v>
      </c>
      <c r="K25" s="21">
        <v>120</v>
      </c>
      <c r="L25" s="21">
        <v>199.95</v>
      </c>
      <c r="M25" s="20"/>
      <c r="N25" s="21">
        <f t="shared" si="0"/>
        <v>0</v>
      </c>
      <c r="O25" s="71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</row>
    <row r="26" spans="1:237" s="18" customFormat="1" ht="23" customHeight="1">
      <c r="A26" s="18" t="s">
        <v>6</v>
      </c>
      <c r="B26" s="18" t="s">
        <v>169</v>
      </c>
      <c r="C26" s="18" t="s">
        <v>154</v>
      </c>
      <c r="D26" s="18" t="s">
        <v>156</v>
      </c>
      <c r="E26" s="19">
        <v>0.1</v>
      </c>
      <c r="F26" s="18" t="s">
        <v>152</v>
      </c>
      <c r="G26" s="18" t="s">
        <v>153</v>
      </c>
      <c r="H26" s="18" t="s">
        <v>149</v>
      </c>
      <c r="I26" s="18" t="s">
        <v>150</v>
      </c>
      <c r="J26" s="20" t="s">
        <v>151</v>
      </c>
      <c r="K26" s="21">
        <v>27</v>
      </c>
      <c r="L26" s="21">
        <v>54.95</v>
      </c>
      <c r="M26" s="20"/>
      <c r="N26" s="21">
        <f t="shared" si="0"/>
        <v>0</v>
      </c>
      <c r="O26" s="72">
        <f>SUM(N17:N26)</f>
        <v>0</v>
      </c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</row>
    <row r="27" spans="1:237" s="18" customFormat="1" ht="23" customHeight="1">
      <c r="A27" s="73" t="s">
        <v>6</v>
      </c>
      <c r="B27" s="73" t="s">
        <v>50</v>
      </c>
      <c r="C27" s="73" t="s">
        <v>170</v>
      </c>
      <c r="D27" s="73" t="s">
        <v>157</v>
      </c>
      <c r="E27" s="74">
        <v>0.1</v>
      </c>
      <c r="F27" s="73" t="s">
        <v>48</v>
      </c>
      <c r="G27" s="73" t="s">
        <v>49</v>
      </c>
      <c r="H27" s="73" t="s">
        <v>46</v>
      </c>
      <c r="I27" s="73" t="s">
        <v>2</v>
      </c>
      <c r="J27" s="75" t="s">
        <v>47</v>
      </c>
      <c r="K27" s="76">
        <v>228</v>
      </c>
      <c r="L27" s="76">
        <v>379.95</v>
      </c>
      <c r="M27" s="75"/>
      <c r="N27" s="76">
        <f t="shared" si="0"/>
        <v>0</v>
      </c>
      <c r="O27" s="71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</row>
    <row r="28" spans="1:237" s="18" customFormat="1" ht="23" customHeight="1">
      <c r="A28" s="73" t="s">
        <v>6</v>
      </c>
      <c r="B28" s="73" t="s">
        <v>50</v>
      </c>
      <c r="C28" s="73" t="s">
        <v>170</v>
      </c>
      <c r="D28" s="73" t="s">
        <v>157</v>
      </c>
      <c r="E28" s="74">
        <v>0.1</v>
      </c>
      <c r="F28" s="73" t="s">
        <v>52</v>
      </c>
      <c r="G28" s="73" t="s">
        <v>53</v>
      </c>
      <c r="H28" s="73" t="s">
        <v>46</v>
      </c>
      <c r="I28" s="73" t="s">
        <v>2</v>
      </c>
      <c r="J28" s="75" t="s">
        <v>51</v>
      </c>
      <c r="K28" s="76">
        <v>228</v>
      </c>
      <c r="L28" s="76">
        <v>379.95</v>
      </c>
      <c r="M28" s="75"/>
      <c r="N28" s="76">
        <f t="shared" si="0"/>
        <v>0</v>
      </c>
      <c r="O28" s="71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</row>
    <row r="29" spans="1:237" s="18" customFormat="1" ht="23" customHeight="1">
      <c r="A29" s="73" t="s">
        <v>6</v>
      </c>
      <c r="B29" s="73" t="s">
        <v>50</v>
      </c>
      <c r="C29" s="73" t="s">
        <v>170</v>
      </c>
      <c r="D29" s="73" t="s">
        <v>157</v>
      </c>
      <c r="E29" s="74">
        <v>0.1</v>
      </c>
      <c r="F29" s="73" t="s">
        <v>55</v>
      </c>
      <c r="G29" s="73" t="s">
        <v>56</v>
      </c>
      <c r="H29" s="73" t="s">
        <v>46</v>
      </c>
      <c r="I29" s="73" t="s">
        <v>2</v>
      </c>
      <c r="J29" s="75" t="s">
        <v>54</v>
      </c>
      <c r="K29" s="76">
        <v>228</v>
      </c>
      <c r="L29" s="76">
        <v>379.95</v>
      </c>
      <c r="M29" s="75"/>
      <c r="N29" s="76">
        <f t="shared" si="0"/>
        <v>0</v>
      </c>
      <c r="O29" s="71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</row>
    <row r="30" spans="1:237" s="18" customFormat="1" ht="23" customHeight="1">
      <c r="A30" s="73" t="s">
        <v>6</v>
      </c>
      <c r="B30" s="73" t="s">
        <v>50</v>
      </c>
      <c r="C30" s="73" t="s">
        <v>170</v>
      </c>
      <c r="D30" s="73" t="s">
        <v>157</v>
      </c>
      <c r="E30" s="74">
        <v>0.1</v>
      </c>
      <c r="F30" s="73" t="s">
        <v>57</v>
      </c>
      <c r="G30" s="73" t="s">
        <v>58</v>
      </c>
      <c r="H30" s="73" t="s">
        <v>46</v>
      </c>
      <c r="I30" s="73" t="s">
        <v>2</v>
      </c>
      <c r="J30" s="75" t="s">
        <v>3</v>
      </c>
      <c r="K30" s="76">
        <v>228</v>
      </c>
      <c r="L30" s="76">
        <v>379.95</v>
      </c>
      <c r="M30" s="75"/>
      <c r="N30" s="76">
        <f t="shared" si="0"/>
        <v>0</v>
      </c>
      <c r="O30" s="71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</row>
    <row r="31" spans="1:237" s="18" customFormat="1" ht="23" customHeight="1">
      <c r="A31" s="73" t="s">
        <v>6</v>
      </c>
      <c r="B31" s="73" t="s">
        <v>50</v>
      </c>
      <c r="C31" s="73" t="s">
        <v>170</v>
      </c>
      <c r="D31" s="73" t="s">
        <v>157</v>
      </c>
      <c r="E31" s="74">
        <v>0.1</v>
      </c>
      <c r="F31" s="73" t="s">
        <v>59</v>
      </c>
      <c r="G31" s="73" t="s">
        <v>60</v>
      </c>
      <c r="H31" s="73" t="s">
        <v>46</v>
      </c>
      <c r="I31" s="73" t="s">
        <v>2</v>
      </c>
      <c r="J31" s="75" t="s">
        <v>8</v>
      </c>
      <c r="K31" s="76">
        <v>228</v>
      </c>
      <c r="L31" s="76">
        <v>379.95</v>
      </c>
      <c r="M31" s="75"/>
      <c r="N31" s="76">
        <f t="shared" si="0"/>
        <v>0</v>
      </c>
      <c r="O31" s="71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</row>
    <row r="32" spans="1:237" s="18" customFormat="1" ht="23" customHeight="1">
      <c r="A32" s="73" t="s">
        <v>6</v>
      </c>
      <c r="B32" s="73" t="s">
        <v>169</v>
      </c>
      <c r="C32" s="73" t="s">
        <v>121</v>
      </c>
      <c r="D32" s="73" t="s">
        <v>157</v>
      </c>
      <c r="E32" s="74">
        <v>0.1</v>
      </c>
      <c r="F32" s="73" t="s">
        <v>133</v>
      </c>
      <c r="G32" s="73" t="s">
        <v>134</v>
      </c>
      <c r="H32" s="73" t="s">
        <v>124</v>
      </c>
      <c r="I32" s="73" t="s">
        <v>132</v>
      </c>
      <c r="J32" s="77" t="s">
        <v>250</v>
      </c>
      <c r="K32" s="76">
        <v>120</v>
      </c>
      <c r="L32" s="76">
        <v>199.95</v>
      </c>
      <c r="M32" s="75"/>
      <c r="N32" s="76">
        <f t="shared" si="0"/>
        <v>0</v>
      </c>
      <c r="O32" s="71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</row>
    <row r="33" spans="1:237" s="18" customFormat="1" ht="23" customHeight="1">
      <c r="A33" s="73" t="s">
        <v>6</v>
      </c>
      <c r="B33" s="73" t="s">
        <v>169</v>
      </c>
      <c r="C33" s="73" t="s">
        <v>121</v>
      </c>
      <c r="D33" s="73" t="s">
        <v>157</v>
      </c>
      <c r="E33" s="74">
        <v>0.1</v>
      </c>
      <c r="F33" s="73" t="s">
        <v>135</v>
      </c>
      <c r="G33" s="73" t="s">
        <v>136</v>
      </c>
      <c r="H33" s="73" t="s">
        <v>124</v>
      </c>
      <c r="I33" s="73" t="s">
        <v>132</v>
      </c>
      <c r="J33" s="77" t="s">
        <v>251</v>
      </c>
      <c r="K33" s="76">
        <v>120</v>
      </c>
      <c r="L33" s="76">
        <v>199.95</v>
      </c>
      <c r="M33" s="75"/>
      <c r="N33" s="76">
        <f t="shared" si="0"/>
        <v>0</v>
      </c>
      <c r="O33" s="71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</row>
    <row r="34" spans="1:237" s="18" customFormat="1" ht="23" customHeight="1">
      <c r="A34" s="73" t="s">
        <v>6</v>
      </c>
      <c r="B34" s="73" t="s">
        <v>169</v>
      </c>
      <c r="C34" s="73" t="s">
        <v>154</v>
      </c>
      <c r="D34" s="73" t="s">
        <v>157</v>
      </c>
      <c r="E34" s="74">
        <v>0.1</v>
      </c>
      <c r="F34" s="73" t="s">
        <v>152</v>
      </c>
      <c r="G34" s="73" t="s">
        <v>153</v>
      </c>
      <c r="H34" s="73" t="s">
        <v>149</v>
      </c>
      <c r="I34" s="73" t="s">
        <v>150</v>
      </c>
      <c r="J34" s="75" t="s">
        <v>151</v>
      </c>
      <c r="K34" s="76">
        <v>27</v>
      </c>
      <c r="L34" s="76">
        <v>54.95</v>
      </c>
      <c r="M34" s="75"/>
      <c r="N34" s="76">
        <f t="shared" si="0"/>
        <v>0</v>
      </c>
      <c r="O34" s="72">
        <f>SUM(N27:N34)</f>
        <v>0</v>
      </c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</row>
    <row r="35" spans="1:237" s="18" customFormat="1" ht="23" customHeight="1">
      <c r="A35" s="18" t="s">
        <v>6</v>
      </c>
      <c r="B35" s="18" t="s">
        <v>50</v>
      </c>
      <c r="C35" s="18" t="s">
        <v>170</v>
      </c>
      <c r="D35" s="18" t="s">
        <v>158</v>
      </c>
      <c r="E35" s="19">
        <v>0.1</v>
      </c>
      <c r="F35" s="18" t="s">
        <v>62</v>
      </c>
      <c r="G35" s="18" t="s">
        <v>63</v>
      </c>
      <c r="H35" s="18" t="s">
        <v>61</v>
      </c>
      <c r="I35" s="18" t="s">
        <v>28</v>
      </c>
      <c r="J35" s="20" t="s">
        <v>47</v>
      </c>
      <c r="K35" s="21">
        <v>228</v>
      </c>
      <c r="L35" s="21">
        <v>379.95</v>
      </c>
      <c r="M35" s="20"/>
      <c r="N35" s="21">
        <f t="shared" si="0"/>
        <v>0</v>
      </c>
      <c r="O35" s="71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</row>
    <row r="36" spans="1:237" s="18" customFormat="1" ht="23" customHeight="1">
      <c r="A36" s="18" t="s">
        <v>6</v>
      </c>
      <c r="B36" s="18" t="s">
        <v>50</v>
      </c>
      <c r="C36" s="18" t="s">
        <v>170</v>
      </c>
      <c r="D36" s="18" t="s">
        <v>158</v>
      </c>
      <c r="E36" s="19">
        <v>0.1</v>
      </c>
      <c r="F36" s="18" t="s">
        <v>64</v>
      </c>
      <c r="G36" s="18" t="s">
        <v>65</v>
      </c>
      <c r="H36" s="18" t="s">
        <v>61</v>
      </c>
      <c r="I36" s="18" t="s">
        <v>28</v>
      </c>
      <c r="J36" s="20" t="s">
        <v>51</v>
      </c>
      <c r="K36" s="21">
        <v>228</v>
      </c>
      <c r="L36" s="21">
        <v>379.95</v>
      </c>
      <c r="M36" s="20"/>
      <c r="N36" s="21">
        <f t="shared" si="0"/>
        <v>0</v>
      </c>
      <c r="O36" s="71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</row>
    <row r="37" spans="1:237" s="18" customFormat="1" ht="23" customHeight="1">
      <c r="A37" s="18" t="s">
        <v>6</v>
      </c>
      <c r="B37" s="18" t="s">
        <v>50</v>
      </c>
      <c r="C37" s="18" t="s">
        <v>170</v>
      </c>
      <c r="D37" s="18" t="s">
        <v>158</v>
      </c>
      <c r="E37" s="19">
        <v>0.1</v>
      </c>
      <c r="F37" s="18" t="s">
        <v>66</v>
      </c>
      <c r="G37" s="18" t="s">
        <v>67</v>
      </c>
      <c r="H37" s="18" t="s">
        <v>61</v>
      </c>
      <c r="I37" s="18" t="s">
        <v>28</v>
      </c>
      <c r="J37" s="20" t="s">
        <v>54</v>
      </c>
      <c r="K37" s="21">
        <v>228</v>
      </c>
      <c r="L37" s="21">
        <v>379.95</v>
      </c>
      <c r="M37" s="20"/>
      <c r="N37" s="21">
        <f t="shared" si="0"/>
        <v>0</v>
      </c>
      <c r="O37" s="71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</row>
    <row r="38" spans="1:237" s="18" customFormat="1" ht="23" customHeight="1">
      <c r="A38" s="18" t="s">
        <v>6</v>
      </c>
      <c r="B38" s="18" t="s">
        <v>50</v>
      </c>
      <c r="C38" s="18" t="s">
        <v>170</v>
      </c>
      <c r="D38" s="18" t="s">
        <v>158</v>
      </c>
      <c r="E38" s="19">
        <v>0.1</v>
      </c>
      <c r="F38" s="18" t="s">
        <v>68</v>
      </c>
      <c r="G38" s="18" t="s">
        <v>69</v>
      </c>
      <c r="H38" s="18" t="s">
        <v>61</v>
      </c>
      <c r="I38" s="18" t="s">
        <v>28</v>
      </c>
      <c r="J38" s="20" t="s">
        <v>3</v>
      </c>
      <c r="K38" s="21">
        <v>228</v>
      </c>
      <c r="L38" s="21">
        <v>379.95</v>
      </c>
      <c r="M38" s="20"/>
      <c r="N38" s="21">
        <f t="shared" si="0"/>
        <v>0</v>
      </c>
      <c r="O38" s="71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</row>
    <row r="39" spans="1:237" s="18" customFormat="1" ht="23" customHeight="1">
      <c r="A39" s="18" t="s">
        <v>6</v>
      </c>
      <c r="B39" s="18" t="s">
        <v>50</v>
      </c>
      <c r="C39" s="18" t="s">
        <v>170</v>
      </c>
      <c r="D39" s="18" t="s">
        <v>158</v>
      </c>
      <c r="E39" s="19">
        <v>0.1</v>
      </c>
      <c r="F39" s="18" t="s">
        <v>70</v>
      </c>
      <c r="G39" s="18" t="s">
        <v>71</v>
      </c>
      <c r="H39" s="18" t="s">
        <v>61</v>
      </c>
      <c r="I39" s="18" t="s">
        <v>28</v>
      </c>
      <c r="J39" s="20" t="s">
        <v>8</v>
      </c>
      <c r="K39" s="21">
        <v>228</v>
      </c>
      <c r="L39" s="21">
        <v>379.95</v>
      </c>
      <c r="M39" s="20"/>
      <c r="N39" s="21">
        <f t="shared" si="0"/>
        <v>0</v>
      </c>
      <c r="O39" s="71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</row>
    <row r="40" spans="1:237" s="18" customFormat="1" ht="23" customHeight="1">
      <c r="A40" s="18" t="s">
        <v>6</v>
      </c>
      <c r="B40" s="18" t="s">
        <v>169</v>
      </c>
      <c r="C40" s="18" t="s">
        <v>121</v>
      </c>
      <c r="D40" s="18" t="s">
        <v>158</v>
      </c>
      <c r="E40" s="19">
        <v>0.1</v>
      </c>
      <c r="F40" s="18" t="s">
        <v>133</v>
      </c>
      <c r="G40" s="18" t="s">
        <v>134</v>
      </c>
      <c r="H40" s="18" t="s">
        <v>124</v>
      </c>
      <c r="I40" s="18" t="s">
        <v>132</v>
      </c>
      <c r="J40" s="160" t="s">
        <v>250</v>
      </c>
      <c r="K40" s="21">
        <v>120</v>
      </c>
      <c r="L40" s="21">
        <v>199.95</v>
      </c>
      <c r="M40" s="20"/>
      <c r="N40" s="21">
        <f t="shared" si="0"/>
        <v>0</v>
      </c>
      <c r="O40" s="71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</row>
    <row r="41" spans="1:237" s="18" customFormat="1" ht="23" customHeight="1">
      <c r="A41" s="18" t="s">
        <v>6</v>
      </c>
      <c r="B41" s="18" t="s">
        <v>169</v>
      </c>
      <c r="C41" s="18" t="s">
        <v>121</v>
      </c>
      <c r="D41" s="18" t="s">
        <v>158</v>
      </c>
      <c r="E41" s="19">
        <v>0.1</v>
      </c>
      <c r="F41" s="18" t="s">
        <v>135</v>
      </c>
      <c r="G41" s="18" t="s">
        <v>136</v>
      </c>
      <c r="H41" s="18" t="s">
        <v>124</v>
      </c>
      <c r="I41" s="18" t="s">
        <v>132</v>
      </c>
      <c r="J41" s="160" t="s">
        <v>251</v>
      </c>
      <c r="K41" s="21">
        <v>120</v>
      </c>
      <c r="L41" s="21">
        <v>199.95</v>
      </c>
      <c r="M41" s="20"/>
      <c r="N41" s="21">
        <f t="shared" si="0"/>
        <v>0</v>
      </c>
      <c r="O41" s="71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</row>
    <row r="42" spans="1:237" s="18" customFormat="1" ht="23" customHeight="1">
      <c r="A42" s="18" t="s">
        <v>6</v>
      </c>
      <c r="B42" s="18" t="s">
        <v>169</v>
      </c>
      <c r="C42" s="18" t="s">
        <v>154</v>
      </c>
      <c r="D42" s="18" t="s">
        <v>158</v>
      </c>
      <c r="E42" s="19">
        <v>0.1</v>
      </c>
      <c r="F42" s="18" t="s">
        <v>152</v>
      </c>
      <c r="G42" s="18" t="s">
        <v>153</v>
      </c>
      <c r="H42" s="18" t="s">
        <v>149</v>
      </c>
      <c r="I42" s="18" t="s">
        <v>150</v>
      </c>
      <c r="J42" s="20" t="s">
        <v>151</v>
      </c>
      <c r="K42" s="21">
        <v>27</v>
      </c>
      <c r="L42" s="21">
        <v>54.95</v>
      </c>
      <c r="M42" s="20"/>
      <c r="N42" s="21">
        <f t="shared" si="0"/>
        <v>0</v>
      </c>
      <c r="O42" s="72">
        <f>SUM(N35:N42)</f>
        <v>0</v>
      </c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</row>
    <row r="43" spans="1:237" s="18" customFormat="1" ht="23" customHeight="1">
      <c r="A43" s="73" t="s">
        <v>6</v>
      </c>
      <c r="B43" s="73" t="s">
        <v>76</v>
      </c>
      <c r="C43" s="73" t="s">
        <v>170</v>
      </c>
      <c r="D43" s="73" t="s">
        <v>171</v>
      </c>
      <c r="E43" s="74">
        <v>0.1</v>
      </c>
      <c r="F43" s="73" t="s">
        <v>94</v>
      </c>
      <c r="G43" s="73" t="s">
        <v>95</v>
      </c>
      <c r="H43" s="73" t="s">
        <v>80</v>
      </c>
      <c r="I43" s="73" t="s">
        <v>2</v>
      </c>
      <c r="J43" s="75" t="s">
        <v>93</v>
      </c>
      <c r="K43" s="76">
        <v>150</v>
      </c>
      <c r="L43" s="76">
        <v>249.95</v>
      </c>
      <c r="M43" s="75"/>
      <c r="N43" s="76">
        <f t="shared" si="0"/>
        <v>0</v>
      </c>
      <c r="O43" s="71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</row>
    <row r="44" spans="1:237" s="18" customFormat="1" ht="23" customHeight="1">
      <c r="A44" s="73" t="s">
        <v>6</v>
      </c>
      <c r="B44" s="73" t="s">
        <v>76</v>
      </c>
      <c r="C44" s="73" t="s">
        <v>170</v>
      </c>
      <c r="D44" s="73" t="s">
        <v>171</v>
      </c>
      <c r="E44" s="74">
        <v>0.1</v>
      </c>
      <c r="F44" s="73" t="s">
        <v>97</v>
      </c>
      <c r="G44" s="73" t="s">
        <v>98</v>
      </c>
      <c r="H44" s="73" t="s">
        <v>80</v>
      </c>
      <c r="I44" s="73" t="s">
        <v>2</v>
      </c>
      <c r="J44" s="75" t="s">
        <v>96</v>
      </c>
      <c r="K44" s="76">
        <v>150</v>
      </c>
      <c r="L44" s="76">
        <v>249.95</v>
      </c>
      <c r="M44" s="75"/>
      <c r="N44" s="76">
        <f t="shared" si="0"/>
        <v>0</v>
      </c>
      <c r="O44" s="71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</row>
    <row r="45" spans="1:237" s="18" customFormat="1" ht="23" customHeight="1">
      <c r="A45" s="73" t="s">
        <v>6</v>
      </c>
      <c r="B45" s="73" t="s">
        <v>76</v>
      </c>
      <c r="C45" s="73" t="s">
        <v>170</v>
      </c>
      <c r="D45" s="73" t="s">
        <v>171</v>
      </c>
      <c r="E45" s="74">
        <v>0.1</v>
      </c>
      <c r="F45" s="73" t="s">
        <v>82</v>
      </c>
      <c r="G45" s="73" t="s">
        <v>83</v>
      </c>
      <c r="H45" s="73" t="s">
        <v>80</v>
      </c>
      <c r="I45" s="73" t="s">
        <v>2</v>
      </c>
      <c r="J45" s="75" t="s">
        <v>81</v>
      </c>
      <c r="K45" s="76">
        <v>150</v>
      </c>
      <c r="L45" s="76">
        <v>249.95</v>
      </c>
      <c r="M45" s="75"/>
      <c r="N45" s="76">
        <f t="shared" si="0"/>
        <v>0</v>
      </c>
      <c r="O45" s="71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</row>
    <row r="46" spans="1:237" s="18" customFormat="1" ht="23" customHeight="1">
      <c r="A46" s="73" t="s">
        <v>6</v>
      </c>
      <c r="B46" s="73" t="s">
        <v>76</v>
      </c>
      <c r="C46" s="73" t="s">
        <v>170</v>
      </c>
      <c r="D46" s="73" t="s">
        <v>171</v>
      </c>
      <c r="E46" s="74">
        <v>0.1</v>
      </c>
      <c r="F46" s="73" t="s">
        <v>85</v>
      </c>
      <c r="G46" s="73" t="s">
        <v>86</v>
      </c>
      <c r="H46" s="73" t="s">
        <v>80</v>
      </c>
      <c r="I46" s="73" t="s">
        <v>2</v>
      </c>
      <c r="J46" s="75" t="s">
        <v>84</v>
      </c>
      <c r="K46" s="76">
        <v>150</v>
      </c>
      <c r="L46" s="76">
        <v>249.95</v>
      </c>
      <c r="M46" s="75"/>
      <c r="N46" s="76">
        <f t="shared" si="0"/>
        <v>0</v>
      </c>
      <c r="O46" s="71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</row>
    <row r="47" spans="1:237" s="18" customFormat="1" ht="23" customHeight="1">
      <c r="A47" s="73" t="s">
        <v>6</v>
      </c>
      <c r="B47" s="73" t="s">
        <v>76</v>
      </c>
      <c r="C47" s="73" t="s">
        <v>170</v>
      </c>
      <c r="D47" s="73" t="s">
        <v>171</v>
      </c>
      <c r="E47" s="74">
        <v>0.1</v>
      </c>
      <c r="F47" s="73" t="s">
        <v>88</v>
      </c>
      <c r="G47" s="73" t="s">
        <v>89</v>
      </c>
      <c r="H47" s="73" t="s">
        <v>80</v>
      </c>
      <c r="I47" s="73" t="s">
        <v>2</v>
      </c>
      <c r="J47" s="75" t="s">
        <v>87</v>
      </c>
      <c r="K47" s="76">
        <v>150</v>
      </c>
      <c r="L47" s="76">
        <v>249.95</v>
      </c>
      <c r="M47" s="75"/>
      <c r="N47" s="76">
        <f t="shared" si="0"/>
        <v>0</v>
      </c>
      <c r="O47" s="71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</row>
    <row r="48" spans="1:237" s="18" customFormat="1" ht="23" customHeight="1">
      <c r="A48" s="73" t="s">
        <v>6</v>
      </c>
      <c r="B48" s="73" t="s">
        <v>76</v>
      </c>
      <c r="C48" s="73" t="s">
        <v>170</v>
      </c>
      <c r="D48" s="73" t="s">
        <v>171</v>
      </c>
      <c r="E48" s="74">
        <v>0.1</v>
      </c>
      <c r="F48" s="73" t="s">
        <v>91</v>
      </c>
      <c r="G48" s="73" t="s">
        <v>92</v>
      </c>
      <c r="H48" s="73" t="s">
        <v>80</v>
      </c>
      <c r="I48" s="73" t="s">
        <v>2</v>
      </c>
      <c r="J48" s="75" t="s">
        <v>90</v>
      </c>
      <c r="K48" s="76">
        <v>150</v>
      </c>
      <c r="L48" s="76">
        <v>249.95</v>
      </c>
      <c r="M48" s="75"/>
      <c r="N48" s="76">
        <f t="shared" si="0"/>
        <v>0</v>
      </c>
      <c r="O48" s="7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</row>
    <row r="49" spans="1:237" s="18" customFormat="1" ht="23" customHeight="1">
      <c r="A49" s="73" t="s">
        <v>6</v>
      </c>
      <c r="B49" s="73" t="s">
        <v>76</v>
      </c>
      <c r="C49" s="73" t="s">
        <v>170</v>
      </c>
      <c r="D49" s="73" t="s">
        <v>171</v>
      </c>
      <c r="E49" s="74">
        <v>0.1</v>
      </c>
      <c r="F49" s="73" t="s">
        <v>74</v>
      </c>
      <c r="G49" s="73" t="s">
        <v>75</v>
      </c>
      <c r="H49" s="73" t="s">
        <v>72</v>
      </c>
      <c r="I49" s="73" t="s">
        <v>2</v>
      </c>
      <c r="J49" s="75" t="s">
        <v>73</v>
      </c>
      <c r="K49" s="76">
        <v>162</v>
      </c>
      <c r="L49" s="76">
        <v>269.95</v>
      </c>
      <c r="M49" s="75"/>
      <c r="N49" s="76">
        <f t="shared" si="0"/>
        <v>0</v>
      </c>
      <c r="O49" s="71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</row>
    <row r="50" spans="1:237" s="18" customFormat="1" ht="23" customHeight="1">
      <c r="A50" s="73" t="s">
        <v>6</v>
      </c>
      <c r="B50" s="73" t="s">
        <v>76</v>
      </c>
      <c r="C50" s="73" t="s">
        <v>170</v>
      </c>
      <c r="D50" s="73" t="s">
        <v>171</v>
      </c>
      <c r="E50" s="74">
        <v>0.1</v>
      </c>
      <c r="F50" s="73" t="s">
        <v>78</v>
      </c>
      <c r="G50" s="73" t="s">
        <v>79</v>
      </c>
      <c r="H50" s="73" t="s">
        <v>72</v>
      </c>
      <c r="I50" s="73" t="s">
        <v>2</v>
      </c>
      <c r="J50" s="75" t="s">
        <v>77</v>
      </c>
      <c r="K50" s="76">
        <v>162</v>
      </c>
      <c r="L50" s="76">
        <v>269.95</v>
      </c>
      <c r="M50" s="75"/>
      <c r="N50" s="76">
        <f t="shared" si="0"/>
        <v>0</v>
      </c>
      <c r="O50" s="71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</row>
    <row r="51" spans="1:237" s="18" customFormat="1" ht="23" customHeight="1">
      <c r="A51" s="73" t="s">
        <v>6</v>
      </c>
      <c r="B51" s="73" t="s">
        <v>76</v>
      </c>
      <c r="C51" s="73" t="s">
        <v>121</v>
      </c>
      <c r="D51" s="73" t="s">
        <v>171</v>
      </c>
      <c r="E51" s="74">
        <v>0.1</v>
      </c>
      <c r="F51" s="73" t="s">
        <v>145</v>
      </c>
      <c r="G51" s="73" t="s">
        <v>146</v>
      </c>
      <c r="H51" s="73" t="s">
        <v>144</v>
      </c>
      <c r="I51" s="73" t="s">
        <v>125</v>
      </c>
      <c r="J51" s="77" t="s">
        <v>175</v>
      </c>
      <c r="K51" s="76">
        <v>78</v>
      </c>
      <c r="L51" s="76">
        <v>129.94999999999999</v>
      </c>
      <c r="M51" s="75"/>
      <c r="N51" s="76">
        <f t="shared" si="0"/>
        <v>0</v>
      </c>
      <c r="O51" s="71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</row>
    <row r="52" spans="1:237" s="18" customFormat="1" ht="23" customHeight="1">
      <c r="A52" s="73" t="s">
        <v>6</v>
      </c>
      <c r="B52" s="73" t="s">
        <v>76</v>
      </c>
      <c r="C52" s="73" t="s">
        <v>121</v>
      </c>
      <c r="D52" s="73" t="s">
        <v>171</v>
      </c>
      <c r="E52" s="74">
        <v>0.1</v>
      </c>
      <c r="F52" s="73" t="s">
        <v>139</v>
      </c>
      <c r="G52" s="73" t="s">
        <v>140</v>
      </c>
      <c r="H52" s="73" t="s">
        <v>137</v>
      </c>
      <c r="I52" s="73" t="s">
        <v>138</v>
      </c>
      <c r="J52" s="77" t="s">
        <v>176</v>
      </c>
      <c r="K52" s="76">
        <v>96</v>
      </c>
      <c r="L52" s="76">
        <v>159.94999999999999</v>
      </c>
      <c r="M52" s="75"/>
      <c r="N52" s="76">
        <f t="shared" si="0"/>
        <v>0</v>
      </c>
      <c r="O52" s="71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</row>
    <row r="53" spans="1:237" s="18" customFormat="1" ht="23" customHeight="1">
      <c r="A53" s="73" t="s">
        <v>6</v>
      </c>
      <c r="B53" s="73" t="s">
        <v>169</v>
      </c>
      <c r="C53" s="73" t="s">
        <v>121</v>
      </c>
      <c r="D53" s="73" t="s">
        <v>171</v>
      </c>
      <c r="E53" s="74">
        <v>0.1</v>
      </c>
      <c r="F53" s="73" t="s">
        <v>126</v>
      </c>
      <c r="G53" s="73" t="s">
        <v>127</v>
      </c>
      <c r="H53" s="73" t="s">
        <v>124</v>
      </c>
      <c r="I53" s="73" t="s">
        <v>125</v>
      </c>
      <c r="J53" s="77" t="s">
        <v>177</v>
      </c>
      <c r="K53" s="76">
        <v>120</v>
      </c>
      <c r="L53" s="76">
        <v>199.95</v>
      </c>
      <c r="M53" s="75"/>
      <c r="N53" s="76">
        <f t="shared" si="0"/>
        <v>0</v>
      </c>
      <c r="O53" s="72">
        <f>SUM(N43:N53)</f>
        <v>0</v>
      </c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</row>
    <row r="54" spans="1:237" s="18" customFormat="1" ht="23" customHeight="1">
      <c r="A54" s="18" t="s">
        <v>6</v>
      </c>
      <c r="B54" s="18" t="s">
        <v>76</v>
      </c>
      <c r="C54" s="18" t="s">
        <v>170</v>
      </c>
      <c r="D54" s="18" t="s">
        <v>172</v>
      </c>
      <c r="E54" s="19">
        <v>0.1</v>
      </c>
      <c r="F54" s="18" t="s">
        <v>113</v>
      </c>
      <c r="G54" s="18" t="s">
        <v>114</v>
      </c>
      <c r="H54" s="18" t="s">
        <v>104</v>
      </c>
      <c r="I54" s="18" t="s">
        <v>28</v>
      </c>
      <c r="J54" s="20" t="s">
        <v>93</v>
      </c>
      <c r="K54" s="21">
        <v>150</v>
      </c>
      <c r="L54" s="21">
        <v>249.95</v>
      </c>
      <c r="M54" s="20"/>
      <c r="N54" s="21">
        <f t="shared" si="0"/>
        <v>0</v>
      </c>
      <c r="O54" s="71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</row>
    <row r="55" spans="1:237" s="18" customFormat="1" ht="23" customHeight="1">
      <c r="A55" s="18" t="s">
        <v>6</v>
      </c>
      <c r="B55" s="18" t="s">
        <v>76</v>
      </c>
      <c r="C55" s="18" t="s">
        <v>170</v>
      </c>
      <c r="D55" s="18" t="s">
        <v>172</v>
      </c>
      <c r="E55" s="19">
        <v>0.1</v>
      </c>
      <c r="F55" s="18" t="s">
        <v>115</v>
      </c>
      <c r="G55" s="18" t="s">
        <v>116</v>
      </c>
      <c r="H55" s="18" t="s">
        <v>104</v>
      </c>
      <c r="I55" s="18" t="s">
        <v>28</v>
      </c>
      <c r="J55" s="20" t="s">
        <v>96</v>
      </c>
      <c r="K55" s="21">
        <v>150</v>
      </c>
      <c r="L55" s="21">
        <v>249.95</v>
      </c>
      <c r="M55" s="20"/>
      <c r="N55" s="21">
        <f t="shared" si="0"/>
        <v>0</v>
      </c>
      <c r="O55" s="71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</row>
    <row r="56" spans="1:237" s="18" customFormat="1" ht="23" customHeight="1">
      <c r="A56" s="18" t="s">
        <v>6</v>
      </c>
      <c r="B56" s="18" t="s">
        <v>76</v>
      </c>
      <c r="C56" s="18" t="s">
        <v>170</v>
      </c>
      <c r="D56" s="18" t="s">
        <v>172</v>
      </c>
      <c r="E56" s="19">
        <v>0.1</v>
      </c>
      <c r="F56" s="18" t="s">
        <v>105</v>
      </c>
      <c r="G56" s="18" t="s">
        <v>106</v>
      </c>
      <c r="H56" s="18" t="s">
        <v>104</v>
      </c>
      <c r="I56" s="18" t="s">
        <v>28</v>
      </c>
      <c r="J56" s="20" t="s">
        <v>81</v>
      </c>
      <c r="K56" s="21">
        <v>150</v>
      </c>
      <c r="L56" s="21">
        <v>249.95</v>
      </c>
      <c r="M56" s="20"/>
      <c r="N56" s="21">
        <f t="shared" si="0"/>
        <v>0</v>
      </c>
      <c r="O56" s="71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</row>
    <row r="57" spans="1:237" s="18" customFormat="1" ht="23" customHeight="1">
      <c r="A57" s="18" t="s">
        <v>6</v>
      </c>
      <c r="B57" s="18" t="s">
        <v>76</v>
      </c>
      <c r="C57" s="18" t="s">
        <v>170</v>
      </c>
      <c r="D57" s="18" t="s">
        <v>172</v>
      </c>
      <c r="E57" s="19">
        <v>0.1</v>
      </c>
      <c r="F57" s="18" t="s">
        <v>107</v>
      </c>
      <c r="G57" s="18" t="s">
        <v>108</v>
      </c>
      <c r="H57" s="18" t="s">
        <v>104</v>
      </c>
      <c r="I57" s="18" t="s">
        <v>28</v>
      </c>
      <c r="J57" s="20" t="s">
        <v>84</v>
      </c>
      <c r="K57" s="21">
        <v>150</v>
      </c>
      <c r="L57" s="21">
        <v>249.95</v>
      </c>
      <c r="M57" s="20"/>
      <c r="N57" s="21">
        <f t="shared" si="0"/>
        <v>0</v>
      </c>
      <c r="O57" s="71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</row>
    <row r="58" spans="1:237" s="18" customFormat="1" ht="23" customHeight="1">
      <c r="A58" s="18" t="s">
        <v>6</v>
      </c>
      <c r="B58" s="18" t="s">
        <v>76</v>
      </c>
      <c r="C58" s="18" t="s">
        <v>170</v>
      </c>
      <c r="D58" s="18" t="s">
        <v>172</v>
      </c>
      <c r="E58" s="19">
        <v>0.1</v>
      </c>
      <c r="F58" s="18" t="s">
        <v>109</v>
      </c>
      <c r="G58" s="18" t="s">
        <v>110</v>
      </c>
      <c r="H58" s="18" t="s">
        <v>104</v>
      </c>
      <c r="I58" s="18" t="s">
        <v>28</v>
      </c>
      <c r="J58" s="20" t="s">
        <v>87</v>
      </c>
      <c r="K58" s="21">
        <v>150</v>
      </c>
      <c r="L58" s="21">
        <v>249.95</v>
      </c>
      <c r="M58" s="20"/>
      <c r="N58" s="21">
        <f t="shared" si="0"/>
        <v>0</v>
      </c>
      <c r="O58" s="71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</row>
    <row r="59" spans="1:237" s="18" customFormat="1" ht="23" customHeight="1">
      <c r="A59" s="18" t="s">
        <v>6</v>
      </c>
      <c r="B59" s="18" t="s">
        <v>76</v>
      </c>
      <c r="C59" s="18" t="s">
        <v>170</v>
      </c>
      <c r="D59" s="18" t="s">
        <v>172</v>
      </c>
      <c r="E59" s="19">
        <v>0.1</v>
      </c>
      <c r="F59" s="18" t="s">
        <v>111</v>
      </c>
      <c r="G59" s="18" t="s">
        <v>112</v>
      </c>
      <c r="H59" s="18" t="s">
        <v>104</v>
      </c>
      <c r="I59" s="18" t="s">
        <v>28</v>
      </c>
      <c r="J59" s="20" t="s">
        <v>90</v>
      </c>
      <c r="K59" s="21">
        <v>150</v>
      </c>
      <c r="L59" s="21">
        <v>249.95</v>
      </c>
      <c r="M59" s="20"/>
      <c r="N59" s="21">
        <f t="shared" si="0"/>
        <v>0</v>
      </c>
      <c r="O59" s="71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</row>
    <row r="60" spans="1:237" s="18" customFormat="1" ht="23" customHeight="1">
      <c r="A60" s="18" t="s">
        <v>6</v>
      </c>
      <c r="B60" s="18" t="s">
        <v>76</v>
      </c>
      <c r="C60" s="18" t="s">
        <v>170</v>
      </c>
      <c r="D60" s="18" t="s">
        <v>172</v>
      </c>
      <c r="E60" s="19">
        <v>0.1</v>
      </c>
      <c r="F60" s="18" t="s">
        <v>100</v>
      </c>
      <c r="G60" s="18" t="s">
        <v>101</v>
      </c>
      <c r="H60" s="18" t="s">
        <v>99</v>
      </c>
      <c r="I60" s="18" t="s">
        <v>28</v>
      </c>
      <c r="J60" s="20" t="s">
        <v>73</v>
      </c>
      <c r="K60" s="21">
        <v>162</v>
      </c>
      <c r="L60" s="21">
        <v>269.95</v>
      </c>
      <c r="M60" s="20"/>
      <c r="N60" s="21">
        <f t="shared" si="0"/>
        <v>0</v>
      </c>
      <c r="O60" s="71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</row>
    <row r="61" spans="1:237" s="18" customFormat="1" ht="23" customHeight="1">
      <c r="A61" s="18" t="s">
        <v>6</v>
      </c>
      <c r="B61" s="18" t="s">
        <v>76</v>
      </c>
      <c r="C61" s="18" t="s">
        <v>170</v>
      </c>
      <c r="D61" s="18" t="s">
        <v>172</v>
      </c>
      <c r="E61" s="19">
        <v>0.1</v>
      </c>
      <c r="F61" s="18" t="s">
        <v>102</v>
      </c>
      <c r="G61" s="18" t="s">
        <v>103</v>
      </c>
      <c r="H61" s="18" t="s">
        <v>99</v>
      </c>
      <c r="I61" s="18" t="s">
        <v>28</v>
      </c>
      <c r="J61" s="20" t="s">
        <v>77</v>
      </c>
      <c r="K61" s="21">
        <v>162</v>
      </c>
      <c r="L61" s="21">
        <v>269.95</v>
      </c>
      <c r="M61" s="20"/>
      <c r="N61" s="21">
        <f t="shared" si="0"/>
        <v>0</v>
      </c>
      <c r="O61" s="71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</row>
    <row r="62" spans="1:237" s="18" customFormat="1" ht="23" customHeight="1">
      <c r="A62" s="18" t="s">
        <v>6</v>
      </c>
      <c r="B62" s="18" t="s">
        <v>76</v>
      </c>
      <c r="C62" s="18" t="s">
        <v>121</v>
      </c>
      <c r="D62" s="18" t="s">
        <v>172</v>
      </c>
      <c r="E62" s="19">
        <v>0.1</v>
      </c>
      <c r="F62" s="18" t="s">
        <v>147</v>
      </c>
      <c r="G62" s="18" t="s">
        <v>148</v>
      </c>
      <c r="H62" s="18" t="s">
        <v>144</v>
      </c>
      <c r="I62" s="18" t="s">
        <v>132</v>
      </c>
      <c r="J62" s="17" t="s">
        <v>175</v>
      </c>
      <c r="K62" s="21">
        <v>78</v>
      </c>
      <c r="L62" s="21">
        <v>129.94999999999999</v>
      </c>
      <c r="M62" s="20"/>
      <c r="N62" s="21">
        <f t="shared" si="0"/>
        <v>0</v>
      </c>
      <c r="O62" s="71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</row>
    <row r="63" spans="1:237" s="18" customFormat="1" ht="23" customHeight="1">
      <c r="A63" s="18" t="s">
        <v>6</v>
      </c>
      <c r="B63" s="18" t="s">
        <v>76</v>
      </c>
      <c r="C63" s="18" t="s">
        <v>121</v>
      </c>
      <c r="D63" s="18" t="s">
        <v>172</v>
      </c>
      <c r="E63" s="19">
        <v>0.1</v>
      </c>
      <c r="F63" s="18" t="s">
        <v>142</v>
      </c>
      <c r="G63" s="18" t="s">
        <v>143</v>
      </c>
      <c r="H63" s="18" t="s">
        <v>137</v>
      </c>
      <c r="I63" s="18" t="s">
        <v>141</v>
      </c>
      <c r="J63" s="17" t="s">
        <v>176</v>
      </c>
      <c r="K63" s="21">
        <v>96</v>
      </c>
      <c r="L63" s="21">
        <v>159.94999999999999</v>
      </c>
      <c r="M63" s="20"/>
      <c r="N63" s="21">
        <f t="shared" si="0"/>
        <v>0</v>
      </c>
      <c r="O63" s="71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</row>
    <row r="64" spans="1:237" s="18" customFormat="1" ht="23" customHeight="1">
      <c r="A64" s="18" t="s">
        <v>6</v>
      </c>
      <c r="B64" s="18" t="s">
        <v>169</v>
      </c>
      <c r="C64" s="18" t="s">
        <v>121</v>
      </c>
      <c r="D64" s="18" t="s">
        <v>172</v>
      </c>
      <c r="E64" s="19">
        <v>0.1</v>
      </c>
      <c r="F64" s="18" t="s">
        <v>133</v>
      </c>
      <c r="G64" s="18" t="s">
        <v>134</v>
      </c>
      <c r="H64" s="18" t="s">
        <v>124</v>
      </c>
      <c r="I64" s="18" t="s">
        <v>132</v>
      </c>
      <c r="J64" s="17" t="s">
        <v>177</v>
      </c>
      <c r="K64" s="21">
        <v>120</v>
      </c>
      <c r="L64" s="21">
        <v>199.95</v>
      </c>
      <c r="M64" s="20"/>
      <c r="N64" s="21">
        <f t="shared" si="0"/>
        <v>0</v>
      </c>
      <c r="O64" s="72">
        <f>SUM(N54:N64)</f>
        <v>0</v>
      </c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</row>
  </sheetData>
  <mergeCells count="1">
    <mergeCell ref="A5:N5"/>
  </mergeCells>
  <pageMargins left="0.75" right="0.75" top="1" bottom="1" header="0.5" footer="0.5"/>
  <pageSetup scale="39" orientation="portrait"/>
  <ignoredErrors>
    <ignoredError sqref="J7:J31 F7:F64 J35:J39 J42:J64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Summary</vt:lpstr>
      <vt:lpstr>Terms</vt:lpstr>
      <vt:lpstr>2026-2027 Nitro Packages</vt:lpstr>
      <vt:lpstr>'2026-2027 Nitro Packages'!Print_Area</vt:lpstr>
      <vt:lpstr>Summary!Print_Area</vt:lpstr>
      <vt:lpstr>Terms!Print_Area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Ryan Willisko</cp:lastModifiedBy>
  <cp:revision>0</cp:revision>
  <dcterms:created xsi:type="dcterms:W3CDTF">2025-12-05T19:09:00Z</dcterms:created>
  <dcterms:modified xsi:type="dcterms:W3CDTF">2025-12-08T17:59:17Z</dcterms:modified>
</cp:coreProperties>
</file>
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Richards/Desktop/"/>
    </mc:Choice>
  </mc:AlternateContent>
  <xr:revisionPtr revIDLastSave="0" documentId="13_ncr:1_{B7752918-EB90-F74E-BFF2-A6EB5F25CD96}" xr6:coauthVersionLast="47" xr6:coauthVersionMax="47" xr10:uidLastSave="{00000000-0000-0000-0000-000000000000}"/>
  <bookViews>
    <workbookView xWindow="3940" yWindow="580" windowWidth="31900" windowHeight="20560" xr2:uid="{B9C78ABF-E102-8E41-8C54-3724086686C2}"/>
  </bookViews>
  <sheets>
    <sheet name="Order Form" sheetId="1" r:id="rId1"/>
    <sheet name="Policy" sheetId="2" r:id="rId2"/>
  </sheets>
  <definedNames>
    <definedName name="_xlnm.Print_Area" localSheetId="0">'Order Form'!#REF!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8" i="1" l="1"/>
  <c r="J508" i="1" s="1"/>
  <c r="J497" i="1"/>
  <c r="J453" i="1"/>
  <c r="J349" i="1"/>
  <c r="J312" i="1"/>
  <c r="J279" i="1"/>
  <c r="J256" i="1"/>
  <c r="J221" i="1"/>
  <c r="J204" i="1"/>
  <c r="J170" i="1"/>
  <c r="J99" i="1"/>
  <c r="J162" i="1"/>
  <c r="J97" i="1"/>
  <c r="J53" i="1"/>
  <c r="J42" i="1"/>
  <c r="J31" i="1"/>
  <c r="J449" i="1"/>
  <c r="J450" i="1"/>
  <c r="J451" i="1"/>
  <c r="J452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8" i="1"/>
  <c r="J499" i="1"/>
  <c r="J500" i="1"/>
  <c r="J501" i="1"/>
  <c r="J502" i="1"/>
  <c r="J503" i="1"/>
  <c r="J504" i="1"/>
  <c r="J505" i="1"/>
  <c r="J506" i="1"/>
  <c r="J507" i="1"/>
  <c r="J448" i="1"/>
  <c r="J272" i="1"/>
  <c r="J273" i="1"/>
  <c r="J274" i="1"/>
  <c r="J275" i="1"/>
  <c r="J276" i="1"/>
  <c r="J277" i="1"/>
  <c r="J278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271" i="1"/>
  <c r="I268" i="1"/>
  <c r="M513" i="1" s="1"/>
  <c r="J214" i="1"/>
  <c r="J202" i="1"/>
  <c r="J198" i="1"/>
  <c r="J199" i="1"/>
  <c r="E24" i="1"/>
  <c r="G415" i="1"/>
  <c r="G414" i="1"/>
  <c r="G413" i="1"/>
  <c r="G412" i="1"/>
  <c r="G411" i="1"/>
  <c r="G385" i="1"/>
  <c r="G384" i="1"/>
  <c r="G383" i="1"/>
  <c r="G382" i="1"/>
  <c r="G381" i="1"/>
  <c r="G405" i="1"/>
  <c r="G404" i="1"/>
  <c r="G403" i="1"/>
  <c r="G402" i="1"/>
  <c r="G401" i="1"/>
  <c r="G390" i="1"/>
  <c r="G389" i="1"/>
  <c r="G388" i="1"/>
  <c r="G387" i="1"/>
  <c r="G386" i="1"/>
  <c r="G375" i="1"/>
  <c r="G374" i="1"/>
  <c r="G373" i="1"/>
  <c r="G372" i="1"/>
  <c r="G371" i="1"/>
  <c r="G360" i="1"/>
  <c r="G359" i="1"/>
  <c r="G358" i="1"/>
  <c r="G357" i="1"/>
  <c r="G356" i="1"/>
  <c r="G355" i="1"/>
  <c r="G354" i="1"/>
  <c r="G353" i="1"/>
  <c r="G352" i="1"/>
  <c r="G351" i="1"/>
  <c r="G335" i="1"/>
  <c r="G334" i="1"/>
  <c r="G333" i="1"/>
  <c r="G332" i="1"/>
  <c r="G331" i="1"/>
  <c r="G330" i="1"/>
  <c r="G329" i="1"/>
  <c r="G328" i="1"/>
  <c r="G327" i="1"/>
  <c r="G326" i="1"/>
  <c r="G315" i="1"/>
  <c r="G314" i="1"/>
  <c r="G313" i="1"/>
  <c r="G312" i="1"/>
  <c r="G311" i="1"/>
  <c r="G300" i="1"/>
  <c r="G299" i="1"/>
  <c r="G298" i="1"/>
  <c r="G297" i="1"/>
  <c r="G296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J254" i="1"/>
  <c r="H254" i="1"/>
  <c r="J244" i="1"/>
  <c r="H244" i="1"/>
  <c r="J243" i="1"/>
  <c r="H243" i="1"/>
  <c r="J240" i="1"/>
  <c r="H240" i="1"/>
  <c r="J235" i="1"/>
  <c r="H235" i="1"/>
  <c r="J223" i="1"/>
  <c r="H223" i="1"/>
  <c r="J222" i="1"/>
  <c r="H222" i="1"/>
  <c r="J220" i="1"/>
  <c r="H220" i="1"/>
  <c r="J219" i="1"/>
  <c r="H219" i="1"/>
  <c r="J216" i="1"/>
  <c r="H216" i="1"/>
  <c r="H214" i="1"/>
  <c r="J207" i="1"/>
  <c r="J205" i="1"/>
  <c r="J203" i="1"/>
  <c r="J201" i="1"/>
  <c r="J195" i="1"/>
  <c r="J191" i="1"/>
  <c r="J187" i="1"/>
  <c r="J180" i="1"/>
  <c r="J175" i="1"/>
  <c r="J171" i="1"/>
  <c r="J165" i="1"/>
  <c r="J163" i="1"/>
  <c r="J158" i="1"/>
  <c r="J153" i="1"/>
  <c r="J144" i="1"/>
  <c r="J143" i="1"/>
  <c r="J140" i="1"/>
  <c r="J138" i="1"/>
  <c r="J136" i="1"/>
  <c r="J134" i="1"/>
  <c r="J133" i="1"/>
  <c r="J127" i="1"/>
  <c r="J126" i="1"/>
  <c r="J125" i="1"/>
  <c r="J130" i="1"/>
  <c r="J124" i="1"/>
  <c r="J121" i="1"/>
  <c r="J118" i="1"/>
  <c r="J117" i="1"/>
  <c r="J112" i="1"/>
  <c r="J111" i="1"/>
  <c r="J110" i="1"/>
  <c r="J105" i="1"/>
  <c r="J108" i="1"/>
  <c r="J104" i="1"/>
  <c r="J103" i="1"/>
  <c r="J102" i="1"/>
  <c r="J101" i="1"/>
  <c r="J100" i="1"/>
  <c r="J98" i="1"/>
  <c r="J93" i="1"/>
  <c r="J90" i="1"/>
  <c r="J83" i="1"/>
  <c r="J77" i="1"/>
  <c r="J66" i="1"/>
  <c r="J67" i="1"/>
  <c r="J68" i="1"/>
  <c r="J64" i="1"/>
  <c r="J61" i="1"/>
  <c r="J60" i="1"/>
  <c r="J58" i="1"/>
  <c r="J57" i="1"/>
  <c r="J55" i="1"/>
  <c r="J56" i="1"/>
  <c r="G430" i="1"/>
  <c r="G429" i="1"/>
  <c r="G428" i="1"/>
  <c r="G427" i="1"/>
  <c r="G426" i="1"/>
  <c r="G425" i="1"/>
  <c r="G424" i="1"/>
  <c r="G423" i="1"/>
  <c r="G422" i="1"/>
  <c r="G421" i="1"/>
  <c r="G410" i="1"/>
  <c r="G409" i="1"/>
  <c r="G408" i="1"/>
  <c r="G407" i="1"/>
  <c r="G406" i="1"/>
  <c r="G400" i="1"/>
  <c r="G399" i="1"/>
  <c r="G398" i="1"/>
  <c r="G397" i="1"/>
  <c r="G396" i="1"/>
  <c r="G395" i="1"/>
  <c r="G394" i="1"/>
  <c r="G393" i="1"/>
  <c r="G392" i="1"/>
  <c r="G391" i="1"/>
  <c r="G416" i="1"/>
  <c r="G417" i="1"/>
  <c r="G418" i="1"/>
  <c r="G419" i="1"/>
  <c r="G420" i="1"/>
  <c r="G380" i="1"/>
  <c r="G379" i="1"/>
  <c r="G378" i="1"/>
  <c r="G377" i="1"/>
  <c r="G376" i="1"/>
  <c r="G370" i="1"/>
  <c r="G369" i="1"/>
  <c r="G368" i="1"/>
  <c r="G367" i="1"/>
  <c r="G366" i="1"/>
  <c r="G365" i="1"/>
  <c r="G364" i="1"/>
  <c r="G363" i="1"/>
  <c r="G362" i="1"/>
  <c r="G361" i="1"/>
  <c r="G350" i="1"/>
  <c r="G349" i="1"/>
  <c r="G348" i="1"/>
  <c r="G347" i="1"/>
  <c r="G346" i="1"/>
  <c r="G345" i="1"/>
  <c r="G344" i="1"/>
  <c r="G343" i="1"/>
  <c r="G342" i="1"/>
  <c r="G341" i="1"/>
  <c r="G310" i="1"/>
  <c r="G309" i="1"/>
  <c r="G308" i="1"/>
  <c r="G307" i="1"/>
  <c r="G306" i="1"/>
  <c r="G305" i="1"/>
  <c r="G304" i="1"/>
  <c r="G303" i="1"/>
  <c r="G302" i="1"/>
  <c r="G301" i="1"/>
  <c r="J218" i="1"/>
  <c r="H218" i="1"/>
  <c r="J217" i="1"/>
  <c r="H217" i="1"/>
  <c r="J188" i="1"/>
  <c r="J186" i="1"/>
  <c r="J185" i="1"/>
  <c r="J184" i="1"/>
  <c r="J183" i="1"/>
  <c r="J179" i="1"/>
  <c r="J178" i="1"/>
  <c r="J177" i="1"/>
  <c r="J84" i="1"/>
  <c r="J82" i="1"/>
  <c r="J34" i="1"/>
  <c r="J33" i="1"/>
  <c r="J32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340" i="1"/>
  <c r="G339" i="1"/>
  <c r="G338" i="1"/>
  <c r="G337" i="1"/>
  <c r="G336" i="1"/>
  <c r="G325" i="1"/>
  <c r="G324" i="1"/>
  <c r="G323" i="1"/>
  <c r="G322" i="1"/>
  <c r="G321" i="1"/>
  <c r="G320" i="1"/>
  <c r="G319" i="1"/>
  <c r="G318" i="1"/>
  <c r="G317" i="1"/>
  <c r="G316" i="1"/>
  <c r="G295" i="1"/>
  <c r="G294" i="1"/>
  <c r="G293" i="1"/>
  <c r="G292" i="1"/>
  <c r="G291" i="1"/>
  <c r="H248" i="1"/>
  <c r="H249" i="1"/>
  <c r="H250" i="1"/>
  <c r="H251" i="1"/>
  <c r="H252" i="1"/>
  <c r="H253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J263" i="1"/>
  <c r="J261" i="1"/>
  <c r="J260" i="1"/>
  <c r="J259" i="1"/>
  <c r="J258" i="1"/>
  <c r="J267" i="1"/>
  <c r="J266" i="1"/>
  <c r="J265" i="1"/>
  <c r="J264" i="1"/>
  <c r="J262" i="1"/>
  <c r="H211" i="1"/>
  <c r="H212" i="1"/>
  <c r="H213" i="1"/>
  <c r="H215" i="1"/>
  <c r="H221" i="1"/>
  <c r="H224" i="1"/>
  <c r="H225" i="1"/>
  <c r="H226" i="1"/>
  <c r="H227" i="1"/>
  <c r="H228" i="1"/>
  <c r="H229" i="1"/>
  <c r="H230" i="1"/>
  <c r="H231" i="1"/>
  <c r="H232" i="1"/>
  <c r="H233" i="1"/>
  <c r="H234" i="1"/>
  <c r="H236" i="1"/>
  <c r="H237" i="1"/>
  <c r="H238" i="1"/>
  <c r="H239" i="1"/>
  <c r="H241" i="1"/>
  <c r="H242" i="1"/>
  <c r="H245" i="1"/>
  <c r="H246" i="1"/>
  <c r="J189" i="1"/>
  <c r="J190" i="1"/>
  <c r="J192" i="1"/>
  <c r="J156" i="1"/>
  <c r="J157" i="1"/>
  <c r="J159" i="1"/>
  <c r="J81" i="1"/>
  <c r="J85" i="1"/>
  <c r="J86" i="1"/>
  <c r="J87" i="1"/>
  <c r="J88" i="1"/>
  <c r="J89" i="1"/>
  <c r="J91" i="1"/>
  <c r="J92" i="1"/>
  <c r="J94" i="1"/>
  <c r="J95" i="1"/>
  <c r="J114" i="1"/>
  <c r="J63" i="1"/>
  <c r="J62" i="1"/>
  <c r="J40" i="1"/>
  <c r="J39" i="1"/>
  <c r="J38" i="1"/>
  <c r="J37" i="1"/>
  <c r="I510" i="1" l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J106" i="1" l="1"/>
  <c r="J145" i="1" l="1"/>
  <c r="J142" i="1"/>
  <c r="J141" i="1"/>
  <c r="J146" i="1"/>
  <c r="J147" i="1"/>
  <c r="J148" i="1"/>
  <c r="J212" i="1" l="1"/>
  <c r="J213" i="1"/>
  <c r="J215" i="1"/>
  <c r="J224" i="1"/>
  <c r="J225" i="1"/>
  <c r="J226" i="1"/>
  <c r="J227" i="1"/>
  <c r="J228" i="1"/>
  <c r="J229" i="1"/>
  <c r="J230" i="1"/>
  <c r="J231" i="1"/>
  <c r="J232" i="1"/>
  <c r="J233" i="1"/>
  <c r="J234" i="1"/>
  <c r="J236" i="1"/>
  <c r="J237" i="1"/>
  <c r="J238" i="1"/>
  <c r="J239" i="1"/>
  <c r="J241" i="1"/>
  <c r="J242" i="1"/>
  <c r="J245" i="1"/>
  <c r="J246" i="1"/>
  <c r="J248" i="1"/>
  <c r="J249" i="1"/>
  <c r="J250" i="1"/>
  <c r="J251" i="1"/>
  <c r="J252" i="1"/>
  <c r="J253" i="1"/>
  <c r="J255" i="1"/>
  <c r="J257" i="1"/>
  <c r="J211" i="1"/>
  <c r="J196" i="1"/>
  <c r="J197" i="1"/>
  <c r="J200" i="1"/>
  <c r="J206" i="1"/>
  <c r="J208" i="1"/>
  <c r="J209" i="1"/>
  <c r="J194" i="1"/>
  <c r="J164" i="1"/>
  <c r="J166" i="1"/>
  <c r="J167" i="1"/>
  <c r="J168" i="1"/>
  <c r="J169" i="1"/>
  <c r="J172" i="1"/>
  <c r="J173" i="1"/>
  <c r="J174" i="1"/>
  <c r="J176" i="1"/>
  <c r="J181" i="1"/>
  <c r="J182" i="1"/>
  <c r="J107" i="1"/>
  <c r="J109" i="1"/>
  <c r="J113" i="1"/>
  <c r="J115" i="1"/>
  <c r="J116" i="1"/>
  <c r="J119" i="1"/>
  <c r="J120" i="1"/>
  <c r="J122" i="1"/>
  <c r="J123" i="1"/>
  <c r="J128" i="1"/>
  <c r="J129" i="1"/>
  <c r="J131" i="1"/>
  <c r="J132" i="1"/>
  <c r="J135" i="1"/>
  <c r="J137" i="1"/>
  <c r="J139" i="1"/>
  <c r="J149" i="1"/>
  <c r="J150" i="1"/>
  <c r="J151" i="1"/>
  <c r="J152" i="1"/>
  <c r="J154" i="1"/>
  <c r="J155" i="1"/>
  <c r="J160" i="1"/>
  <c r="J43" i="1"/>
  <c r="J44" i="1"/>
  <c r="J45" i="1"/>
  <c r="J46" i="1"/>
  <c r="J47" i="1"/>
  <c r="J48" i="1"/>
  <c r="J49" i="1"/>
  <c r="J50" i="1"/>
  <c r="J51" i="1"/>
  <c r="J54" i="1"/>
  <c r="J59" i="1"/>
  <c r="J65" i="1"/>
  <c r="J69" i="1"/>
  <c r="J70" i="1"/>
  <c r="J71" i="1"/>
  <c r="J72" i="1"/>
  <c r="J73" i="1"/>
  <c r="J74" i="1"/>
  <c r="J75" i="1"/>
  <c r="J76" i="1"/>
  <c r="J78" i="1"/>
  <c r="J79" i="1"/>
  <c r="J80" i="1"/>
  <c r="J36" i="1"/>
  <c r="J35" i="1"/>
  <c r="H24" i="1" l="1"/>
  <c r="J510" i="1"/>
</calcChain>
</file>

<file path=xl/sharedStrings.xml><?xml version="1.0" encoding="utf-8"?>
<sst xmlns="http://schemas.openxmlformats.org/spreadsheetml/2006/main" count="2095" uniqueCount="1222">
  <si>
    <t>FOUNDRY DISTRIBUTION</t>
  </si>
  <si>
    <t>801-994-6484</t>
  </si>
  <si>
    <t>Store Name</t>
  </si>
  <si>
    <t>Address</t>
  </si>
  <si>
    <t>City</t>
  </si>
  <si>
    <t>State</t>
  </si>
  <si>
    <t>Zip</t>
  </si>
  <si>
    <t>Tel #</t>
  </si>
  <si>
    <t>Email</t>
  </si>
  <si>
    <t>Total QTY</t>
  </si>
  <si>
    <t>Total Value</t>
  </si>
  <si>
    <t>Customer PO #</t>
  </si>
  <si>
    <t>Delivery Start</t>
  </si>
  <si>
    <t>STYLE NUMBER</t>
  </si>
  <si>
    <t>STYLE NAME</t>
  </si>
  <si>
    <t>COLOR</t>
  </si>
  <si>
    <t>WHOLESALE</t>
  </si>
  <si>
    <t>OS</t>
  </si>
  <si>
    <t>XXL</t>
  </si>
  <si>
    <t>TOTAL $</t>
  </si>
  <si>
    <t>BLACK</t>
  </si>
  <si>
    <t>BURGUNDY</t>
  </si>
  <si>
    <t>NAVY</t>
  </si>
  <si>
    <t>GREY</t>
  </si>
  <si>
    <t>MASK BEANIE</t>
  </si>
  <si>
    <t>MARL BALACLAVA</t>
  </si>
  <si>
    <t>RED</t>
  </si>
  <si>
    <t>HI TEK HOOD</t>
  </si>
  <si>
    <t>PRINTABLES</t>
  </si>
  <si>
    <t>WHITE</t>
  </si>
  <si>
    <t>CHARCOAL</t>
  </si>
  <si>
    <t>NATURAL</t>
  </si>
  <si>
    <t>BROWN</t>
  </si>
  <si>
    <t>WORK BROWN</t>
  </si>
  <si>
    <t>ARMY</t>
  </si>
  <si>
    <t>PATCHWORK</t>
  </si>
  <si>
    <t>SAND</t>
  </si>
  <si>
    <t>AUTUMN HEADWEAR</t>
  </si>
  <si>
    <t>Notes:</t>
  </si>
  <si>
    <t xml:space="preserve">QUANTITY </t>
  </si>
  <si>
    <t>SIZE</t>
  </si>
  <si>
    <t>SMALL</t>
  </si>
  <si>
    <t>MEDIUM</t>
  </si>
  <si>
    <t>LARGE</t>
  </si>
  <si>
    <t>X-LARGE</t>
  </si>
  <si>
    <t xml:space="preserve">SIZE </t>
  </si>
  <si>
    <t>3602 VIA TERRA ST.</t>
  </si>
  <si>
    <t>SKU</t>
  </si>
  <si>
    <t>QUANTITY</t>
  </si>
  <si>
    <t>Order Total:</t>
  </si>
  <si>
    <t>Order Deadline</t>
  </si>
  <si>
    <t xml:space="preserve"> ORDERFORM</t>
  </si>
  <si>
    <t>CUFF</t>
  </si>
  <si>
    <t>BIRDSEYE</t>
  </si>
  <si>
    <t>SLACKER</t>
  </si>
  <si>
    <t>RETRO</t>
  </si>
  <si>
    <t>CHUNKY</t>
  </si>
  <si>
    <t>BLOCKED</t>
  </si>
  <si>
    <t>WAFFLE</t>
  </si>
  <si>
    <t>MINI STRIPE</t>
  </si>
  <si>
    <t>STRIPE</t>
  </si>
  <si>
    <t>MULTI STRIPE</t>
  </si>
  <si>
    <t>CHEVRON</t>
  </si>
  <si>
    <t>YOUTH BEANIES</t>
  </si>
  <si>
    <t>VISOR</t>
  </si>
  <si>
    <t>STRIPE BALACLAVA</t>
  </si>
  <si>
    <t>ANORAK &amp; FLEECEWEAR</t>
  </si>
  <si>
    <t>CASCADE ANORAK</t>
  </si>
  <si>
    <t>SIMPLE FIT</t>
  </si>
  <si>
    <t>SELECT FIT</t>
  </si>
  <si>
    <t>SURPLUS FIT</t>
  </si>
  <si>
    <t>Ship To:</t>
  </si>
  <si>
    <t>Bill To: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</si>
  <si>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</si>
  <si>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</si>
  <si>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</si>
  <si>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</si>
  <si>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</si>
  <si>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</si>
  <si>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</si>
  <si>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</si>
  <si>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</si>
  <si>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</si>
  <si>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</si>
  <si>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</si>
  <si>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</si>
  <si>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</si>
  <si>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</si>
  <si>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</si>
  <si>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</si>
  <si>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</si>
  <si>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Packing Slip will be attached to outside of box.  In larger orders with multiple boxes, the packing slip will be attached to the first box.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</si>
  <si>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</si>
  <si>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</si>
  <si>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</si>
  <si>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</si>
  <si>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</si>
  <si>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</si>
  <si>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</si>
  <si>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</si>
  <si>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</si>
  <si>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</si>
  <si>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</si>
  <si>
    <t>Requested Ship Date</t>
  </si>
  <si>
    <t xml:space="preserve">DOUBLE ROLL </t>
  </si>
  <si>
    <t>CORD DOUBLE ROLL</t>
  </si>
  <si>
    <t>SHORTY FIT</t>
  </si>
  <si>
    <t>KHAKI</t>
  </si>
  <si>
    <t>ORANGE</t>
  </si>
  <si>
    <t>HORIZON</t>
  </si>
  <si>
    <t>DUSTY PINK</t>
  </si>
  <si>
    <t>STATIC</t>
  </si>
  <si>
    <t>RUST</t>
  </si>
  <si>
    <t>BLUE</t>
  </si>
  <si>
    <t>GEO</t>
  </si>
  <si>
    <t>SQUARED</t>
  </si>
  <si>
    <t>DUCK CAMO</t>
  </si>
  <si>
    <t>BLANKET POM</t>
  </si>
  <si>
    <t>MIX STRIPE</t>
  </si>
  <si>
    <t>CORD BALACLAVA</t>
  </si>
  <si>
    <t>HINGED BALACLAVA</t>
  </si>
  <si>
    <t>DWR FLAP CAP</t>
  </si>
  <si>
    <t>FLEECE FLAP CAP</t>
  </si>
  <si>
    <t>FLEECE CAMP CAP</t>
  </si>
  <si>
    <t>SHERPA DAD HAT</t>
  </si>
  <si>
    <t>SALT LAKE CITY, UT  84115</t>
  </si>
  <si>
    <t>UNITS</t>
  </si>
  <si>
    <t>HEADWEAR TOTAL UNITS :</t>
  </si>
  <si>
    <t>Apparel Total:</t>
  </si>
  <si>
    <t xml:space="preserve">Please choose </t>
  </si>
  <si>
    <t xml:space="preserve">promo beanies of your </t>
  </si>
  <si>
    <t>choice in the yellow</t>
  </si>
  <si>
    <t>section to the left</t>
  </si>
  <si>
    <t>BAKER'S DOZEN (FREE BEANIE) PROGRAM - BUY 12 BEANIES GET 1 FREE</t>
  </si>
  <si>
    <t>ORDER TOTAL</t>
  </si>
  <si>
    <t>VOLUME DISCOUNT</t>
  </si>
  <si>
    <t xml:space="preserve">*Orders received after booking deadline will not be eligible for discounts. </t>
  </si>
  <si>
    <t>APPAREL DISCOUNT</t>
  </si>
  <si>
    <t>3000+</t>
  </si>
  <si>
    <t>$2000-$2999</t>
  </si>
  <si>
    <t>$1000-$1999</t>
  </si>
  <si>
    <t>FALL/WINTER 24/25</t>
  </si>
  <si>
    <t>WOOL</t>
  </si>
  <si>
    <t>UPC</t>
  </si>
  <si>
    <t>00810125821073</t>
  </si>
  <si>
    <t>A25001-01</t>
  </si>
  <si>
    <t>RIBBED KNIT</t>
  </si>
  <si>
    <t>00810125821080</t>
  </si>
  <si>
    <t>A25001-02</t>
  </si>
  <si>
    <t>00810125821097</t>
  </si>
  <si>
    <t>A25002-01</t>
  </si>
  <si>
    <t>THERMAL KNIT</t>
  </si>
  <si>
    <t>00810125821103</t>
  </si>
  <si>
    <t>A25002-02</t>
  </si>
  <si>
    <t xml:space="preserve">SAND </t>
  </si>
  <si>
    <t>00810125821110</t>
  </si>
  <si>
    <t>A25003-01</t>
  </si>
  <si>
    <t>CABLE KNIT</t>
  </si>
  <si>
    <t>00810125821127</t>
  </si>
  <si>
    <t>A25003-02</t>
  </si>
  <si>
    <t>DIRT</t>
  </si>
  <si>
    <t>00810125821134</t>
  </si>
  <si>
    <t>A25004-01</t>
  </si>
  <si>
    <t>CHECKER KNIT</t>
  </si>
  <si>
    <t>00810125821141</t>
  </si>
  <si>
    <t>A25004-02</t>
  </si>
  <si>
    <t>00810125821158</t>
  </si>
  <si>
    <t>A25005-01</t>
  </si>
  <si>
    <t>MARBLE KNIT</t>
  </si>
  <si>
    <t>00810125821165</t>
  </si>
  <si>
    <t>A25005-02</t>
  </si>
  <si>
    <t>EGGPLANT</t>
  </si>
  <si>
    <t>00810125821172</t>
  </si>
  <si>
    <t>A25006-01</t>
  </si>
  <si>
    <t>00810125821189</t>
  </si>
  <si>
    <t>A25006-02</t>
  </si>
  <si>
    <t>00810125821196</t>
  </si>
  <si>
    <t>A25006-03</t>
  </si>
  <si>
    <t>00810125821202</t>
  </si>
  <si>
    <t>A25006-04</t>
  </si>
  <si>
    <t>TREK GREEN</t>
  </si>
  <si>
    <t>00810125821219</t>
  </si>
  <si>
    <t>A25006-05</t>
  </si>
  <si>
    <t>NUTMEG</t>
  </si>
  <si>
    <t>00810125821226</t>
  </si>
  <si>
    <t>A25006-06</t>
  </si>
  <si>
    <t>IRIS</t>
  </si>
  <si>
    <t>00810125821233</t>
  </si>
  <si>
    <t>A25007-01</t>
  </si>
  <si>
    <t>00810125821240</t>
  </si>
  <si>
    <t>A25007-02</t>
  </si>
  <si>
    <t>00810125821257</t>
  </si>
  <si>
    <t>A25007-03</t>
  </si>
  <si>
    <t>00810125821264</t>
  </si>
  <si>
    <t>A25007-04</t>
  </si>
  <si>
    <t>STONE GREY</t>
  </si>
  <si>
    <t>FIR</t>
  </si>
  <si>
    <t>SNAKE EYE</t>
  </si>
  <si>
    <t>COBALT</t>
  </si>
  <si>
    <t>EVERGREEN</t>
  </si>
  <si>
    <t>QUIET GREEN</t>
  </si>
  <si>
    <t>00810125821271</t>
  </si>
  <si>
    <t>A25008-01</t>
  </si>
  <si>
    <t xml:space="preserve">SIMPLE  </t>
  </si>
  <si>
    <t>00810125821288</t>
  </si>
  <si>
    <t>A25008-02</t>
  </si>
  <si>
    <t>00810125821295</t>
  </si>
  <si>
    <t>A25008-03</t>
  </si>
  <si>
    <t>00810125821301</t>
  </si>
  <si>
    <t>A25008-04</t>
  </si>
  <si>
    <t>00810125821318</t>
  </si>
  <si>
    <t>A25008-05</t>
  </si>
  <si>
    <t>00810125821325</t>
  </si>
  <si>
    <t>A25008-06</t>
  </si>
  <si>
    <t>00810125821332</t>
  </si>
  <si>
    <t>A25008-07</t>
  </si>
  <si>
    <t>00810125821349</t>
  </si>
  <si>
    <t>A25008-08</t>
  </si>
  <si>
    <t>00810125821356</t>
  </si>
  <si>
    <t>A25008-09</t>
  </si>
  <si>
    <t>00810125821363</t>
  </si>
  <si>
    <t>A25008-10</t>
  </si>
  <si>
    <t>00810125821370</t>
  </si>
  <si>
    <t>A25008-11</t>
  </si>
  <si>
    <t>00810125821387</t>
  </si>
  <si>
    <t>A25008-12</t>
  </si>
  <si>
    <t>00810125821455</t>
  </si>
  <si>
    <t>A25009-01</t>
  </si>
  <si>
    <t xml:space="preserve">MARL  </t>
  </si>
  <si>
    <t xml:space="preserve">ARMY </t>
  </si>
  <si>
    <t>00810125821462</t>
  </si>
  <si>
    <t>A25009-02</t>
  </si>
  <si>
    <t xml:space="preserve">BROWN </t>
  </si>
  <si>
    <t>00810125821479</t>
  </si>
  <si>
    <t>A25009-03</t>
  </si>
  <si>
    <t>00810125821486</t>
  </si>
  <si>
    <t>A25010-01</t>
  </si>
  <si>
    <t>00810125821493</t>
  </si>
  <si>
    <t>A25010-02</t>
  </si>
  <si>
    <t>00810125821509</t>
  </si>
  <si>
    <t>A25010-03</t>
  </si>
  <si>
    <t>00810125821516</t>
  </si>
  <si>
    <t>A25011-01</t>
  </si>
  <si>
    <t>HIGH CUFF</t>
  </si>
  <si>
    <t>00810125821523</t>
  </si>
  <si>
    <t>A25011-02</t>
  </si>
  <si>
    <t>00810125821530</t>
  </si>
  <si>
    <t>A25011-03</t>
  </si>
  <si>
    <t>00810125821547</t>
  </si>
  <si>
    <t>A25012-01</t>
  </si>
  <si>
    <t>00810125821554</t>
  </si>
  <si>
    <t>A25012-02</t>
  </si>
  <si>
    <t>00810125821561</t>
  </si>
  <si>
    <t>A25012-03</t>
  </si>
  <si>
    <t>00810125821578</t>
  </si>
  <si>
    <t>A25013-01</t>
  </si>
  <si>
    <t>00810125821585</t>
  </si>
  <si>
    <t>A25013-02</t>
  </si>
  <si>
    <t>00810125821592</t>
  </si>
  <si>
    <t>A25013-03</t>
  </si>
  <si>
    <t>00810125821608</t>
  </si>
  <si>
    <t>A25013-04</t>
  </si>
  <si>
    <t>00810125821615</t>
  </si>
  <si>
    <t>A25014-01</t>
  </si>
  <si>
    <t>00810125821622</t>
  </si>
  <si>
    <t>A25014-02</t>
  </si>
  <si>
    <t>00810125821639</t>
  </si>
  <si>
    <t>A25014-03</t>
  </si>
  <si>
    <t>LT PURPLE</t>
  </si>
  <si>
    <t>00810125821646</t>
  </si>
  <si>
    <t>A25014-04</t>
  </si>
  <si>
    <t>00810125821653</t>
  </si>
  <si>
    <t>A25015-01</t>
  </si>
  <si>
    <t>00810125821660</t>
  </si>
  <si>
    <t>A25015-02</t>
  </si>
  <si>
    <t>00810125821677</t>
  </si>
  <si>
    <t>A25015-03</t>
  </si>
  <si>
    <t>00810125821684</t>
  </si>
  <si>
    <t>A25016-01</t>
  </si>
  <si>
    <t>00810125821691</t>
  </si>
  <si>
    <t>A25016-02</t>
  </si>
  <si>
    <t>00810125821707</t>
  </si>
  <si>
    <t>A25016-03</t>
  </si>
  <si>
    <t>00810125821714</t>
  </si>
  <si>
    <t>A25016-04</t>
  </si>
  <si>
    <t>00810125821721</t>
  </si>
  <si>
    <t>A25017-01</t>
  </si>
  <si>
    <t>00810125821738</t>
  </si>
  <si>
    <t>A25017-02</t>
  </si>
  <si>
    <t>00810125821745</t>
  </si>
  <si>
    <t>A25017-03</t>
  </si>
  <si>
    <t xml:space="preserve">NATURAL </t>
  </si>
  <si>
    <t>00810125821752</t>
  </si>
  <si>
    <t>A25017-04</t>
  </si>
  <si>
    <t>00810125821769</t>
  </si>
  <si>
    <t>A25018-01</t>
  </si>
  <si>
    <t xml:space="preserve">SELECT  </t>
  </si>
  <si>
    <t>00810125821776</t>
  </si>
  <si>
    <t>A25018-02</t>
  </si>
  <si>
    <t>00810125821783</t>
  </si>
  <si>
    <t>A25018-03</t>
  </si>
  <si>
    <t>SKY</t>
  </si>
  <si>
    <t>00810125821790</t>
  </si>
  <si>
    <t>A25018-04</t>
  </si>
  <si>
    <t>GRASS</t>
  </si>
  <si>
    <t>00810125821806</t>
  </si>
  <si>
    <t>A25018-05</t>
  </si>
  <si>
    <t>00810125821813</t>
  </si>
  <si>
    <t>A25018-06</t>
  </si>
  <si>
    <t>SLATE OLIVE</t>
  </si>
  <si>
    <t>00810125821820</t>
  </si>
  <si>
    <t>A25018-07</t>
  </si>
  <si>
    <t>00810125821837</t>
  </si>
  <si>
    <t>A25018-08</t>
  </si>
  <si>
    <t>GOLD</t>
  </si>
  <si>
    <t>00810125821844</t>
  </si>
  <si>
    <t>A25018-09</t>
  </si>
  <si>
    <t>00810125821851</t>
  </si>
  <si>
    <t>A25018-10</t>
  </si>
  <si>
    <t>00810125821868</t>
  </si>
  <si>
    <t>A25018-11</t>
  </si>
  <si>
    <t>00810125821875</t>
  </si>
  <si>
    <t>A25018-12</t>
  </si>
  <si>
    <t>RETAIL</t>
  </si>
  <si>
    <t>QTY</t>
  </si>
  <si>
    <t>00810125821882</t>
  </si>
  <si>
    <t>A25019-01</t>
  </si>
  <si>
    <t>00810125821899</t>
  </si>
  <si>
    <t>A25019-02</t>
  </si>
  <si>
    <t>00810125821905</t>
  </si>
  <si>
    <t>A25019-03</t>
  </si>
  <si>
    <t>00810125821912</t>
  </si>
  <si>
    <t>A25019-04</t>
  </si>
  <si>
    <t>00810125821929</t>
  </si>
  <si>
    <t>A25019-05</t>
  </si>
  <si>
    <t>00810125821936</t>
  </si>
  <si>
    <t>A25019-06</t>
  </si>
  <si>
    <t>DUTCH BLUE</t>
  </si>
  <si>
    <t>00810125821943</t>
  </si>
  <si>
    <t>A25020-01</t>
  </si>
  <si>
    <t xml:space="preserve">  CHARCOAL</t>
  </si>
  <si>
    <t>00810125821950</t>
  </si>
  <si>
    <t>A25020-02</t>
  </si>
  <si>
    <t>00810125821967</t>
  </si>
  <si>
    <t>A25020-03</t>
  </si>
  <si>
    <t>00810125821974</t>
  </si>
  <si>
    <t>A25020-04</t>
  </si>
  <si>
    <t>00810125821981</t>
  </si>
  <si>
    <t>A25020-05</t>
  </si>
  <si>
    <t>00810125821998</t>
  </si>
  <si>
    <t>A25021-01</t>
  </si>
  <si>
    <t>00810125822001</t>
  </si>
  <si>
    <t>A25021-02</t>
  </si>
  <si>
    <t>00810125822018</t>
  </si>
  <si>
    <t>A25021-03</t>
  </si>
  <si>
    <t>00810125822025</t>
  </si>
  <si>
    <t>A25022-01</t>
  </si>
  <si>
    <t xml:space="preserve">CORD  </t>
  </si>
  <si>
    <t>00810125822032</t>
  </si>
  <si>
    <t>A25022-02</t>
  </si>
  <si>
    <t>00810125822049</t>
  </si>
  <si>
    <t>A25022-03</t>
  </si>
  <si>
    <t>00810125822056</t>
  </si>
  <si>
    <t>A25022-04</t>
  </si>
  <si>
    <t>00810125822063</t>
  </si>
  <si>
    <t>A25022-05</t>
  </si>
  <si>
    <t>00810125822070</t>
  </si>
  <si>
    <t>A25022-06</t>
  </si>
  <si>
    <t>00810125822087</t>
  </si>
  <si>
    <t>A25022-07</t>
  </si>
  <si>
    <t>00810125822094</t>
  </si>
  <si>
    <t>A25022-08</t>
  </si>
  <si>
    <t>00810125822100</t>
  </si>
  <si>
    <t>A25023-01</t>
  </si>
  <si>
    <t>00810125822117</t>
  </si>
  <si>
    <t>A25023-02</t>
  </si>
  <si>
    <t>00810125822124</t>
  </si>
  <si>
    <t>A25023-03</t>
  </si>
  <si>
    <t>00810125822131</t>
  </si>
  <si>
    <t>A25023-04</t>
  </si>
  <si>
    <t>00810125822148</t>
  </si>
  <si>
    <t>A25023-05</t>
  </si>
  <si>
    <t>00810125822155</t>
  </si>
  <si>
    <t>A25023-06</t>
  </si>
  <si>
    <t>00810125822162</t>
  </si>
  <si>
    <t>A25024-01</t>
  </si>
  <si>
    <t xml:space="preserve">  BLACK</t>
  </si>
  <si>
    <t>00810125822179</t>
  </si>
  <si>
    <t>A25024-02</t>
  </si>
  <si>
    <t>00810125822186</t>
  </si>
  <si>
    <t>A25024-03</t>
  </si>
  <si>
    <t>00810125822193</t>
  </si>
  <si>
    <t>A25025-01</t>
  </si>
  <si>
    <t>00810125822209</t>
  </si>
  <si>
    <t>A25025-02</t>
  </si>
  <si>
    <t>00810125822216</t>
  </si>
  <si>
    <t>A25025-03</t>
  </si>
  <si>
    <t>00810125822223</t>
  </si>
  <si>
    <t>A25026-01</t>
  </si>
  <si>
    <t>00810125822230</t>
  </si>
  <si>
    <t>A25026-02</t>
  </si>
  <si>
    <t>00810125822247</t>
  </si>
  <si>
    <t>A25026-03</t>
  </si>
  <si>
    <t>00810125822254</t>
  </si>
  <si>
    <t>A25027-01</t>
  </si>
  <si>
    <t>00810125822261</t>
  </si>
  <si>
    <t>A25027-02</t>
  </si>
  <si>
    <t>00810125822278</t>
  </si>
  <si>
    <t>A25027-03</t>
  </si>
  <si>
    <t>00810125822285</t>
  </si>
  <si>
    <t>A25028-01</t>
  </si>
  <si>
    <t>00810125822292</t>
  </si>
  <si>
    <t>A25028-02</t>
  </si>
  <si>
    <t>00810125822308</t>
  </si>
  <si>
    <t>A25028-03</t>
  </si>
  <si>
    <t>00810125822315</t>
  </si>
  <si>
    <t>A25029-01</t>
  </si>
  <si>
    <t>FAIRISLE</t>
  </si>
  <si>
    <t>00810125822322</t>
  </si>
  <si>
    <t>A25029-02</t>
  </si>
  <si>
    <t>00810125822339</t>
  </si>
  <si>
    <t>A25029-03</t>
  </si>
  <si>
    <t>00810125822346</t>
  </si>
  <si>
    <t>A25030-01</t>
  </si>
  <si>
    <t>DAZE</t>
  </si>
  <si>
    <t>00810125822353</t>
  </si>
  <si>
    <t>A25030-02</t>
  </si>
  <si>
    <t>00810125822360</t>
  </si>
  <si>
    <t>A25030-03</t>
  </si>
  <si>
    <t>00810125822377</t>
  </si>
  <si>
    <t>A25031-01</t>
  </si>
  <si>
    <t>PREMIX</t>
  </si>
  <si>
    <t>00810125822384</t>
  </si>
  <si>
    <t>A25031-02</t>
  </si>
  <si>
    <t>00810125822391</t>
  </si>
  <si>
    <t>A25031-03</t>
  </si>
  <si>
    <t>00810125822407</t>
  </si>
  <si>
    <t>A25032-01</t>
  </si>
  <si>
    <t xml:space="preserve">SURPLUS  </t>
  </si>
  <si>
    <t>00810125822414</t>
  </si>
  <si>
    <t>A25032-02</t>
  </si>
  <si>
    <t>00810125822421</t>
  </si>
  <si>
    <t>A25032-03</t>
  </si>
  <si>
    <t>00810125822438</t>
  </si>
  <si>
    <t>A25032-04</t>
  </si>
  <si>
    <t>LT DENIM</t>
  </si>
  <si>
    <t>00810125822445</t>
  </si>
  <si>
    <t>A25032-05</t>
  </si>
  <si>
    <t>SPICE</t>
  </si>
  <si>
    <t>00810125822452</t>
  </si>
  <si>
    <t>A25032-06</t>
  </si>
  <si>
    <t>00810125822469</t>
  </si>
  <si>
    <t>A25033-01</t>
  </si>
  <si>
    <t>UTILITY</t>
  </si>
  <si>
    <t>00810125822476</t>
  </si>
  <si>
    <t>A25033-02</t>
  </si>
  <si>
    <t>00810125822483</t>
  </si>
  <si>
    <t>A25033-03</t>
  </si>
  <si>
    <t>00810125822490</t>
  </si>
  <si>
    <t>A25034-01</t>
  </si>
  <si>
    <t>00810125822506</t>
  </si>
  <si>
    <t>A25034-02</t>
  </si>
  <si>
    <t>SAFETY ORANGE</t>
  </si>
  <si>
    <t>00810125822513</t>
  </si>
  <si>
    <t>A25034-03</t>
  </si>
  <si>
    <t>00810125822520</t>
  </si>
  <si>
    <t>A25035-01</t>
  </si>
  <si>
    <t>00810125822537</t>
  </si>
  <si>
    <t>A25035-02</t>
  </si>
  <si>
    <t>00810125822544</t>
  </si>
  <si>
    <t>A25035-03</t>
  </si>
  <si>
    <t>00810125822551</t>
  </si>
  <si>
    <t>A25036-01</t>
  </si>
  <si>
    <t>GUS CAMO</t>
  </si>
  <si>
    <t>00810125822568</t>
  </si>
  <si>
    <t>A25036-02</t>
  </si>
  <si>
    <t>00810125822575</t>
  </si>
  <si>
    <t>A25036-03</t>
  </si>
  <si>
    <t>00810125822582</t>
  </si>
  <si>
    <t>A25037-01</t>
  </si>
  <si>
    <t>NAMI</t>
  </si>
  <si>
    <t>00810125822599</t>
  </si>
  <si>
    <t>A25037-02</t>
  </si>
  <si>
    <t>00810125822605</t>
  </si>
  <si>
    <t>A25037-03</t>
  </si>
  <si>
    <t>00810125822612</t>
  </si>
  <si>
    <t>A25038-01</t>
  </si>
  <si>
    <t>LANDSCAPE</t>
  </si>
  <si>
    <t>00810125822629</t>
  </si>
  <si>
    <t>A25038-02</t>
  </si>
  <si>
    <t>00810125822636</t>
  </si>
  <si>
    <t>A25038-03</t>
  </si>
  <si>
    <t>00810125822643</t>
  </si>
  <si>
    <t>A25038-04</t>
  </si>
  <si>
    <t>00810125822650</t>
  </si>
  <si>
    <t>A25039-01</t>
  </si>
  <si>
    <t>MINDFUL MTN POM</t>
  </si>
  <si>
    <t>00810125822667</t>
  </si>
  <si>
    <t>A25039-02</t>
  </si>
  <si>
    <t>00810125822674</t>
  </si>
  <si>
    <t>A25039-03</t>
  </si>
  <si>
    <t>00810125822681</t>
  </si>
  <si>
    <t>A25040-01</t>
  </si>
  <si>
    <t>00810125822698</t>
  </si>
  <si>
    <t>A25040-02</t>
  </si>
  <si>
    <t>00810125822704</t>
  </si>
  <si>
    <t>A25040-03</t>
  </si>
  <si>
    <t>00810125822711</t>
  </si>
  <si>
    <t>A25041-01</t>
  </si>
  <si>
    <t>BASIC Y</t>
  </si>
  <si>
    <t>00810125822728</t>
  </si>
  <si>
    <t>A25041-02</t>
  </si>
  <si>
    <t>00810125822735</t>
  </si>
  <si>
    <t>A25041-03</t>
  </si>
  <si>
    <t>00810125822742</t>
  </si>
  <si>
    <t>A25041-04</t>
  </si>
  <si>
    <t>00810125822759</t>
  </si>
  <si>
    <t>A25041-05</t>
  </si>
  <si>
    <t>00810125822766</t>
  </si>
  <si>
    <t>A25041-06</t>
  </si>
  <si>
    <t>00810125822773</t>
  </si>
  <si>
    <t>A25042-01</t>
  </si>
  <si>
    <t>BLOCKED Y</t>
  </si>
  <si>
    <t>00810125822780</t>
  </si>
  <si>
    <t>A25042-02</t>
  </si>
  <si>
    <t>00810125822797</t>
  </si>
  <si>
    <t>A25042-03</t>
  </si>
  <si>
    <t>00810125822803</t>
  </si>
  <si>
    <t>A25042-04</t>
  </si>
  <si>
    <t xml:space="preserve">TEAL </t>
  </si>
  <si>
    <t>00810125822810</t>
  </si>
  <si>
    <t>A25042-05</t>
  </si>
  <si>
    <t>00810125822827</t>
  </si>
  <si>
    <t>A25042-06</t>
  </si>
  <si>
    <t>00810125822834</t>
  </si>
  <si>
    <t>A25043-01</t>
  </si>
  <si>
    <t>STRIPE Y</t>
  </si>
  <si>
    <t>00810125822841</t>
  </si>
  <si>
    <t>A25043-02</t>
  </si>
  <si>
    <t>00810125822858</t>
  </si>
  <si>
    <t>A25043-03</t>
  </si>
  <si>
    <t>00810125822865</t>
  </si>
  <si>
    <t>A25043-04</t>
  </si>
  <si>
    <t>00810125822872</t>
  </si>
  <si>
    <t>A25044-01</t>
  </si>
  <si>
    <t>BAND</t>
  </si>
  <si>
    <t>00810125822889</t>
  </si>
  <si>
    <t>A25044-02</t>
  </si>
  <si>
    <t>00810125822896</t>
  </si>
  <si>
    <t>A25044-03</t>
  </si>
  <si>
    <t>00810125822902</t>
  </si>
  <si>
    <t>A25045-01</t>
  </si>
  <si>
    <t>CONVERT FLEECE HAT</t>
  </si>
  <si>
    <t>00810125822919</t>
  </si>
  <si>
    <t>A25045-02</t>
  </si>
  <si>
    <t>00810125822926</t>
  </si>
  <si>
    <t>A25045-03</t>
  </si>
  <si>
    <t>00810125822933</t>
  </si>
  <si>
    <t>A25046-01</t>
  </si>
  <si>
    <t>MTN GOAT</t>
  </si>
  <si>
    <t>00810125822940</t>
  </si>
  <si>
    <t>A25046-02</t>
  </si>
  <si>
    <t>00810125822957</t>
  </si>
  <si>
    <t>A25046-03</t>
  </si>
  <si>
    <t>00810125822964</t>
  </si>
  <si>
    <t>A25046-04</t>
  </si>
  <si>
    <t>00810125822971</t>
  </si>
  <si>
    <t>A25047-01</t>
  </si>
  <si>
    <t>POP'S TOQUE</t>
  </si>
  <si>
    <t>00810125822988</t>
  </si>
  <si>
    <t>A25047-02</t>
  </si>
  <si>
    <t>00810125822995</t>
  </si>
  <si>
    <t>A25048-01</t>
  </si>
  <si>
    <t>TASSLE</t>
  </si>
  <si>
    <t>00810125823008</t>
  </si>
  <si>
    <t>A25048-02</t>
  </si>
  <si>
    <t>00810125823015</t>
  </si>
  <si>
    <t>A25049-01</t>
  </si>
  <si>
    <t>00810125823022</t>
  </si>
  <si>
    <t>A25049-02</t>
  </si>
  <si>
    <t>00810125823039</t>
  </si>
  <si>
    <t>A25050-01</t>
  </si>
  <si>
    <t>NISEKO EAR FLAP</t>
  </si>
  <si>
    <t>00810125823046</t>
  </si>
  <si>
    <t>A25050-02</t>
  </si>
  <si>
    <t>00810125823053</t>
  </si>
  <si>
    <t>A25051-01</t>
  </si>
  <si>
    <t>SEDONA EAR FLAP</t>
  </si>
  <si>
    <t>00810125823060</t>
  </si>
  <si>
    <t>A25051-02</t>
  </si>
  <si>
    <t>00810125823077</t>
  </si>
  <si>
    <t>A25052-01</t>
  </si>
  <si>
    <t>00810125823084</t>
  </si>
  <si>
    <t>A25052-02</t>
  </si>
  <si>
    <t>00810125823091</t>
  </si>
  <si>
    <t>A25053-01</t>
  </si>
  <si>
    <t>00810125823107</t>
  </si>
  <si>
    <t>A25053-02</t>
  </si>
  <si>
    <t>00810125823114</t>
  </si>
  <si>
    <t>A25054-01</t>
  </si>
  <si>
    <t>00810125823121</t>
  </si>
  <si>
    <t>A25054-02</t>
  </si>
  <si>
    <t>00810125823138</t>
  </si>
  <si>
    <t>A25055-01</t>
  </si>
  <si>
    <t>00810125823145</t>
  </si>
  <si>
    <t>A25055-02</t>
  </si>
  <si>
    <t>00810125823152</t>
  </si>
  <si>
    <t>A25056-01</t>
  </si>
  <si>
    <t>00810125823169</t>
  </si>
  <si>
    <t>A25056-02</t>
  </si>
  <si>
    <t>00810125823176</t>
  </si>
  <si>
    <t>A25056-03</t>
  </si>
  <si>
    <t>00810125823183</t>
  </si>
  <si>
    <t>A25057-01</t>
  </si>
  <si>
    <t>00810125823190</t>
  </si>
  <si>
    <t>A25057-02</t>
  </si>
  <si>
    <t>00810125823206</t>
  </si>
  <si>
    <t>A25057-03</t>
  </si>
  <si>
    <t>00810125823213</t>
  </si>
  <si>
    <t>A25057-04</t>
  </si>
  <si>
    <t>00810125823220</t>
  </si>
  <si>
    <t>A25057-05</t>
  </si>
  <si>
    <t>00810125823237</t>
  </si>
  <si>
    <t>A25058-01</t>
  </si>
  <si>
    <t>00810125823244</t>
  </si>
  <si>
    <t>A25058-02</t>
  </si>
  <si>
    <t>LIGHT PURPLE</t>
  </si>
  <si>
    <t>00810125823251</t>
  </si>
  <si>
    <t>A25059-01</t>
  </si>
  <si>
    <t>00810125823268</t>
  </si>
  <si>
    <t>A25059-02</t>
  </si>
  <si>
    <t>00810125823275</t>
  </si>
  <si>
    <t>A25060-01</t>
  </si>
  <si>
    <t>PUFFY FLAP CAP</t>
  </si>
  <si>
    <t>00810125823282</t>
  </si>
  <si>
    <t>A25060-02</t>
  </si>
  <si>
    <t>00810125823299</t>
  </si>
  <si>
    <t>A25061-01</t>
  </si>
  <si>
    <t>00810125823305</t>
  </si>
  <si>
    <t>A25061-02</t>
  </si>
  <si>
    <t>00810125823312</t>
  </si>
  <si>
    <t>A25062-01</t>
  </si>
  <si>
    <t>00810125823329</t>
  </si>
  <si>
    <t>A25062-02</t>
  </si>
  <si>
    <t>00810125823336</t>
  </si>
  <si>
    <t>A25063-01</t>
  </si>
  <si>
    <t>DENIM FLEECE LINED HAT</t>
  </si>
  <si>
    <t>00810125823343</t>
  </si>
  <si>
    <t>A25063-02</t>
  </si>
  <si>
    <t>00810125823350</t>
  </si>
  <si>
    <t>A25064-01</t>
  </si>
  <si>
    <t>PATCH TRUCKER</t>
  </si>
  <si>
    <t>00810125823367</t>
  </si>
  <si>
    <t>A25064-02</t>
  </si>
  <si>
    <t>00810125823374</t>
  </si>
  <si>
    <t>A25065-01</t>
  </si>
  <si>
    <t>CORD ROPE HAT</t>
  </si>
  <si>
    <t>00810125823381</t>
  </si>
  <si>
    <t>A25065-02</t>
  </si>
  <si>
    <t>00810125823398</t>
  </si>
  <si>
    <t>A25066-01</t>
  </si>
  <si>
    <t>TWILL STRAPBACK HAT</t>
  </si>
  <si>
    <t>00810125823404</t>
  </si>
  <si>
    <t>A25066-02</t>
  </si>
  <si>
    <t>00810125823411</t>
  </si>
  <si>
    <t>A25067-01</t>
  </si>
  <si>
    <t>CAMP CAP</t>
  </si>
  <si>
    <t>00810125823428</t>
  </si>
  <si>
    <t>A25067-02</t>
  </si>
  <si>
    <t xml:space="preserve">HATS &amp; CAPS </t>
  </si>
  <si>
    <t>MTNWEAR</t>
  </si>
  <si>
    <t>00810125823435</t>
  </si>
  <si>
    <t>A25080-01S</t>
  </si>
  <si>
    <t>00810125823442</t>
  </si>
  <si>
    <t>A25080-01M</t>
  </si>
  <si>
    <t>00810125823459</t>
  </si>
  <si>
    <t>A25080-01L</t>
  </si>
  <si>
    <t>00810125823466</t>
  </si>
  <si>
    <t>A25080-01XL</t>
  </si>
  <si>
    <t>00810125823473</t>
  </si>
  <si>
    <t>A25080-01XXL</t>
  </si>
  <si>
    <t>00810125823480</t>
  </si>
  <si>
    <t>A25080-02S</t>
  </si>
  <si>
    <t>00810125823497</t>
  </si>
  <si>
    <t>A25080-02M</t>
  </si>
  <si>
    <t>00810125823503</t>
  </si>
  <si>
    <t>A25080-02L</t>
  </si>
  <si>
    <t>00810125823510</t>
  </si>
  <si>
    <t>A25080-02XL</t>
  </si>
  <si>
    <t>00810125823527</t>
  </si>
  <si>
    <t>A25080-02XXL</t>
  </si>
  <si>
    <t>00810125823534</t>
  </si>
  <si>
    <t>A25080-03S</t>
  </si>
  <si>
    <t>00810125823541</t>
  </si>
  <si>
    <t>A25080-03M</t>
  </si>
  <si>
    <t>00810125823558</t>
  </si>
  <si>
    <t>A25080-03L</t>
  </si>
  <si>
    <t>00810125823565</t>
  </si>
  <si>
    <t>A25080-03XL</t>
  </si>
  <si>
    <t>00810125823572</t>
  </si>
  <si>
    <t>A25080-04XXL</t>
  </si>
  <si>
    <t>00810125823589</t>
  </si>
  <si>
    <t>A25080-04S</t>
  </si>
  <si>
    <t>00810125823596</t>
  </si>
  <si>
    <t>A25080-04M</t>
  </si>
  <si>
    <t>00810125823602</t>
  </si>
  <si>
    <t>A25080-04L</t>
  </si>
  <si>
    <t>00810125823619</t>
  </si>
  <si>
    <t>A25080-04XL</t>
  </si>
  <si>
    <t>00810125823626</t>
  </si>
  <si>
    <t>00810125823633</t>
  </si>
  <si>
    <t>A25080-05S</t>
  </si>
  <si>
    <t>00810125823640</t>
  </si>
  <si>
    <t>A25080-05M</t>
  </si>
  <si>
    <t>00810125823657</t>
  </si>
  <si>
    <t>A25080-05L</t>
  </si>
  <si>
    <t>00810125823664</t>
  </si>
  <si>
    <t>A25080-05XL</t>
  </si>
  <si>
    <t>00810125823671</t>
  </si>
  <si>
    <t>A25080-05XXL</t>
  </si>
  <si>
    <t>00810125823688</t>
  </si>
  <si>
    <t>A25081-01S</t>
  </si>
  <si>
    <t>FIELD JACKET</t>
  </si>
  <si>
    <t>00810125823695</t>
  </si>
  <si>
    <t>A25081-01M</t>
  </si>
  <si>
    <t>00810125823701</t>
  </si>
  <si>
    <t>A25081-01L</t>
  </si>
  <si>
    <t>00810125823718</t>
  </si>
  <si>
    <t>A25081-01XL</t>
  </si>
  <si>
    <t>00810125823725</t>
  </si>
  <si>
    <t>A25081-01XXL</t>
  </si>
  <si>
    <t>00810125823732</t>
  </si>
  <si>
    <t>A25081-02S</t>
  </si>
  <si>
    <t>00810125823749</t>
  </si>
  <si>
    <t>A25081-02M</t>
  </si>
  <si>
    <t>00810125823756</t>
  </si>
  <si>
    <t>A25081-02L</t>
  </si>
  <si>
    <t>00810125823763</t>
  </si>
  <si>
    <t>A25081-02XL</t>
  </si>
  <si>
    <t>00810125823770</t>
  </si>
  <si>
    <t>A25081-02XXL</t>
  </si>
  <si>
    <t>00810125823787</t>
  </si>
  <si>
    <t>A25081-03S</t>
  </si>
  <si>
    <t>00810125823794</t>
  </si>
  <si>
    <t>A25081-03M</t>
  </si>
  <si>
    <t>00810125823800</t>
  </si>
  <si>
    <t>A25081-03L</t>
  </si>
  <si>
    <t>00810125823817</t>
  </si>
  <si>
    <t>A25081-03XL</t>
  </si>
  <si>
    <t>00810125823824</t>
  </si>
  <si>
    <t>A25081-03XXL</t>
  </si>
  <si>
    <t>00810125823831</t>
  </si>
  <si>
    <t>A25082-01S</t>
  </si>
  <si>
    <t>SERVICE PANT</t>
  </si>
  <si>
    <t>00810125823848</t>
  </si>
  <si>
    <t>A25082-01M</t>
  </si>
  <si>
    <t>00810125823855</t>
  </si>
  <si>
    <t>A25082-01L</t>
  </si>
  <si>
    <t>00810125823862</t>
  </si>
  <si>
    <t>A25082-01XL</t>
  </si>
  <si>
    <t>00810125823879</t>
  </si>
  <si>
    <t>A25082-01XXL</t>
  </si>
  <si>
    <t>00810125823886</t>
  </si>
  <si>
    <t>A25082-02S</t>
  </si>
  <si>
    <t>00810125823893</t>
  </si>
  <si>
    <t>A25082-02M</t>
  </si>
  <si>
    <t>00810125823909</t>
  </si>
  <si>
    <t>A25082-02L</t>
  </si>
  <si>
    <t>00810125823916</t>
  </si>
  <si>
    <t>A25082-02XL</t>
  </si>
  <si>
    <t>00810125823923</t>
  </si>
  <si>
    <t>A25082-02XXL</t>
  </si>
  <si>
    <t>00810125823930</t>
  </si>
  <si>
    <t>A25082-03S</t>
  </si>
  <si>
    <t>00810125823947</t>
  </si>
  <si>
    <t>A25082-03M</t>
  </si>
  <si>
    <t>00810125823954</t>
  </si>
  <si>
    <t>A25082-03L</t>
  </si>
  <si>
    <t>00810125823961</t>
  </si>
  <si>
    <t>A25082-03XL</t>
  </si>
  <si>
    <t>00810125823978</t>
  </si>
  <si>
    <t>A25082-03XXL</t>
  </si>
  <si>
    <t>00810125823985</t>
  </si>
  <si>
    <t>A25083-01S</t>
  </si>
  <si>
    <t>CARGO PANT</t>
  </si>
  <si>
    <t>00810125823992</t>
  </si>
  <si>
    <t>A25083-01M</t>
  </si>
  <si>
    <t>00810125824005</t>
  </si>
  <si>
    <t>A25083-01L</t>
  </si>
  <si>
    <t>00810125824012</t>
  </si>
  <si>
    <t>A25083-01XL</t>
  </si>
  <si>
    <t>00810125824029</t>
  </si>
  <si>
    <t>A25083-01XXL</t>
  </si>
  <si>
    <t>00810125824036</t>
  </si>
  <si>
    <t>A25083-02S</t>
  </si>
  <si>
    <t>00810125824043</t>
  </si>
  <si>
    <t>A25083-02M</t>
  </si>
  <si>
    <t>00810125824050</t>
  </si>
  <si>
    <t>A25083-02L</t>
  </si>
  <si>
    <t>00810125824067</t>
  </si>
  <si>
    <t>A25083-02XL</t>
  </si>
  <si>
    <t>00810125824074</t>
  </si>
  <si>
    <t>A25083-02XXL</t>
  </si>
  <si>
    <t>00810125824081</t>
  </si>
  <si>
    <t>A25083-03S</t>
  </si>
  <si>
    <t>MILITARY</t>
  </si>
  <si>
    <t>00810125824098</t>
  </si>
  <si>
    <t>A25083-03M</t>
  </si>
  <si>
    <t>00810125824104</t>
  </si>
  <si>
    <t>A25083-03L</t>
  </si>
  <si>
    <t>00810125824111</t>
  </si>
  <si>
    <t>A25083-03XL</t>
  </si>
  <si>
    <t>00810125824128</t>
  </si>
  <si>
    <t>A25083-03XXL</t>
  </si>
  <si>
    <t>00810125824135</t>
  </si>
  <si>
    <t>A25084-01S</t>
  </si>
  <si>
    <t>HOODED FLEECE</t>
  </si>
  <si>
    <t>MOSS CAMO</t>
  </si>
  <si>
    <t>00810125824142</t>
  </si>
  <si>
    <t>A25084-01M</t>
  </si>
  <si>
    <t>00810125824159</t>
  </si>
  <si>
    <t>A25084-01L</t>
  </si>
  <si>
    <t>00810125824166</t>
  </si>
  <si>
    <t>A25084-01XL</t>
  </si>
  <si>
    <t>00810125824173</t>
  </si>
  <si>
    <t>A25084-01XXL</t>
  </si>
  <si>
    <t>00810125824180</t>
  </si>
  <si>
    <t>A25084-02S</t>
  </si>
  <si>
    <t>00810125824197</t>
  </si>
  <si>
    <t>A25084-02M</t>
  </si>
  <si>
    <t>00810125824203</t>
  </si>
  <si>
    <t>A25084-02L</t>
  </si>
  <si>
    <t>00810125824210</t>
  </si>
  <si>
    <t>A25084-02XL</t>
  </si>
  <si>
    <t>00810125824227</t>
  </si>
  <si>
    <t>A25084-02XXL</t>
  </si>
  <si>
    <t>00810125824234</t>
  </si>
  <si>
    <t>A25085-01S</t>
  </si>
  <si>
    <t>SCOUT FLEECE</t>
  </si>
  <si>
    <t>00810125824241</t>
  </si>
  <si>
    <t>A25085-01M</t>
  </si>
  <si>
    <t>00810125824258</t>
  </si>
  <si>
    <t>A25085-01L</t>
  </si>
  <si>
    <t>00810125824265</t>
  </si>
  <si>
    <t>A25085-01XL</t>
  </si>
  <si>
    <t>00810125824272</t>
  </si>
  <si>
    <t>A25085-01XXL</t>
  </si>
  <si>
    <t>00810125824289</t>
  </si>
  <si>
    <t>A25085-02S</t>
  </si>
  <si>
    <t>00810125824296</t>
  </si>
  <si>
    <t>A25085-02M</t>
  </si>
  <si>
    <t>00810125824302</t>
  </si>
  <si>
    <t>A25085-02L</t>
  </si>
  <si>
    <t>00810125824319</t>
  </si>
  <si>
    <t>A25085-02XL</t>
  </si>
  <si>
    <t>00810125824326</t>
  </si>
  <si>
    <t>A25085-02XXL</t>
  </si>
  <si>
    <t>00810125824333</t>
  </si>
  <si>
    <t>A25086-01S</t>
  </si>
  <si>
    <t>WORK SHIRT</t>
  </si>
  <si>
    <t>00810125824340</t>
  </si>
  <si>
    <t>A25086-01M</t>
  </si>
  <si>
    <t>00810125824357</t>
  </si>
  <si>
    <t>A25086-01L</t>
  </si>
  <si>
    <t>00810125824364</t>
  </si>
  <si>
    <t>A25086-01XL</t>
  </si>
  <si>
    <t>00810125824371</t>
  </si>
  <si>
    <t>A25086-01XXL</t>
  </si>
  <si>
    <t>00810125824388</t>
  </si>
  <si>
    <t>A25086-02S</t>
  </si>
  <si>
    <t>00810125824395</t>
  </si>
  <si>
    <t>A25086-02M</t>
  </si>
  <si>
    <t>00810125824401</t>
  </si>
  <si>
    <t>A25086-02L</t>
  </si>
  <si>
    <t>00810125824418</t>
  </si>
  <si>
    <t>A25086-02XL</t>
  </si>
  <si>
    <t>00810125824425</t>
  </si>
  <si>
    <t>A25086-02XXL</t>
  </si>
  <si>
    <t>00810125824432</t>
  </si>
  <si>
    <t>A25087-01S</t>
  </si>
  <si>
    <t>VORTEX FLEECE</t>
  </si>
  <si>
    <t>00810125824449</t>
  </si>
  <si>
    <t>A25087-01M</t>
  </si>
  <si>
    <t>00810125824456</t>
  </si>
  <si>
    <t>A25087-01L</t>
  </si>
  <si>
    <t>00810125824463</t>
  </si>
  <si>
    <t>A25087-01XL</t>
  </si>
  <si>
    <t>00810125824470</t>
  </si>
  <si>
    <t>A25087-01XXL</t>
  </si>
  <si>
    <t>00810125824487</t>
  </si>
  <si>
    <t>A25087-02S</t>
  </si>
  <si>
    <t>00810125824494</t>
  </si>
  <si>
    <t>A25087-02M</t>
  </si>
  <si>
    <t>00810125824500</t>
  </si>
  <si>
    <t>A25087-02L</t>
  </si>
  <si>
    <t>00810125824517</t>
  </si>
  <si>
    <t>A25087-02XL</t>
  </si>
  <si>
    <t>00810125824524</t>
  </si>
  <si>
    <t>A25087-02XXL</t>
  </si>
  <si>
    <t>00810125824531</t>
  </si>
  <si>
    <t>A25088-01S</t>
  </si>
  <si>
    <t>BASK CARGO PANT</t>
  </si>
  <si>
    <t>00810125824548</t>
  </si>
  <si>
    <t>A25088-01M</t>
  </si>
  <si>
    <t>00810125824555</t>
  </si>
  <si>
    <t>A25088-01L</t>
  </si>
  <si>
    <t>00810125824562</t>
  </si>
  <si>
    <t>A25088-01XL</t>
  </si>
  <si>
    <t>00810125824579</t>
  </si>
  <si>
    <t>A25088-01XXL</t>
  </si>
  <si>
    <t>00810125824586</t>
  </si>
  <si>
    <t>A25088-02S</t>
  </si>
  <si>
    <t>00810125824593</t>
  </si>
  <si>
    <t>A25088-02M</t>
  </si>
  <si>
    <t>00810125824609</t>
  </si>
  <si>
    <t>A25088-02L</t>
  </si>
  <si>
    <t>00810125824616</t>
  </si>
  <si>
    <t>A25088-02XL</t>
  </si>
  <si>
    <t>00810125824623</t>
  </si>
  <si>
    <t>A25088-02XXL</t>
  </si>
  <si>
    <t>00810125824630</t>
  </si>
  <si>
    <t>A25088-03S</t>
  </si>
  <si>
    <t>00810125824647</t>
  </si>
  <si>
    <t>A25088-03M</t>
  </si>
  <si>
    <t>00810125824654</t>
  </si>
  <si>
    <t>A25088-03L</t>
  </si>
  <si>
    <t>00810125824661</t>
  </si>
  <si>
    <t>A25088-03XL</t>
  </si>
  <si>
    <t>00810125824678</t>
  </si>
  <si>
    <t>A25088-03XXL</t>
  </si>
  <si>
    <t>00810125824685</t>
  </si>
  <si>
    <t>A25088-04S</t>
  </si>
  <si>
    <t>00810125824692</t>
  </si>
  <si>
    <t>A25088-04M</t>
  </si>
  <si>
    <t>00810125824708</t>
  </si>
  <si>
    <t>A25088-04L</t>
  </si>
  <si>
    <t>00810125824715</t>
  </si>
  <si>
    <t>A25088-04XL</t>
  </si>
  <si>
    <t>00810125824722</t>
  </si>
  <si>
    <t>A25088-04XXL</t>
  </si>
  <si>
    <t>00810125824739</t>
  </si>
  <si>
    <t>A25089-01S</t>
  </si>
  <si>
    <t>BASK  PANT</t>
  </si>
  <si>
    <t>00810125824746</t>
  </si>
  <si>
    <t>A25089-01M</t>
  </si>
  <si>
    <t>00810125824753</t>
  </si>
  <si>
    <t>A25089-01L</t>
  </si>
  <si>
    <t>00810125824760</t>
  </si>
  <si>
    <t>A25089-01XL</t>
  </si>
  <si>
    <t>00810125824777</t>
  </si>
  <si>
    <t>A25089-01XXL</t>
  </si>
  <si>
    <t>00810125824784</t>
  </si>
  <si>
    <t>A25089-02S</t>
  </si>
  <si>
    <t>00810125824791</t>
  </si>
  <si>
    <t>A25089-02M</t>
  </si>
  <si>
    <t>00810125824807</t>
  </si>
  <si>
    <t>A25089-02L</t>
  </si>
  <si>
    <t>00810125824814</t>
  </si>
  <si>
    <t>A25089-02XL</t>
  </si>
  <si>
    <t>00810125824821</t>
  </si>
  <si>
    <t>A25089-02XXL</t>
  </si>
  <si>
    <t>00810125824838</t>
  </si>
  <si>
    <t>A25089-03S</t>
  </si>
  <si>
    <t>00810125824845</t>
  </si>
  <si>
    <t>A25089-03M</t>
  </si>
  <si>
    <t>00810125824852</t>
  </si>
  <si>
    <t>A25089-03L</t>
  </si>
  <si>
    <t>00810125824869</t>
  </si>
  <si>
    <t>A25089-03XL</t>
  </si>
  <si>
    <t>00810125824876</t>
  </si>
  <si>
    <t>A25089-03XXL</t>
  </si>
  <si>
    <t>00810125824883</t>
  </si>
  <si>
    <t>A25089-04S</t>
  </si>
  <si>
    <t>00810125824890</t>
  </si>
  <si>
    <t>A25089-04M</t>
  </si>
  <si>
    <t>00810125824906</t>
  </si>
  <si>
    <t>A25089-04L</t>
  </si>
  <si>
    <t>00810125824913</t>
  </si>
  <si>
    <t>A25089-04XL</t>
  </si>
  <si>
    <t>00810125824920</t>
  </si>
  <si>
    <t>A25089-04XXL</t>
  </si>
  <si>
    <t>00810125824937</t>
  </si>
  <si>
    <t>A25090-01S</t>
  </si>
  <si>
    <t>SWEATER</t>
  </si>
  <si>
    <t>00810125824944</t>
  </si>
  <si>
    <t>A25090-01M</t>
  </si>
  <si>
    <t>00810125824951</t>
  </si>
  <si>
    <t>A25090-01L</t>
  </si>
  <si>
    <t>00810125824968</t>
  </si>
  <si>
    <t>A25090-01XL</t>
  </si>
  <si>
    <t>00810125824975</t>
  </si>
  <si>
    <t>A25090-01XXL</t>
  </si>
  <si>
    <t>00810125824982</t>
  </si>
  <si>
    <t>A25090-02S</t>
  </si>
  <si>
    <t>00810125824999</t>
  </si>
  <si>
    <t>A25090-02M</t>
  </si>
  <si>
    <t>00810125825002</t>
  </si>
  <si>
    <t>A25090-02L</t>
  </si>
  <si>
    <t>00810125825019</t>
  </si>
  <si>
    <t>A25090-02XL</t>
  </si>
  <si>
    <t>00810125825026</t>
  </si>
  <si>
    <t>A25090-02XXL</t>
  </si>
  <si>
    <t>00810125825033</t>
  </si>
  <si>
    <t>A25090-03S</t>
  </si>
  <si>
    <t>00810125825040</t>
  </si>
  <si>
    <t>A25090-03M</t>
  </si>
  <si>
    <t>00810125825057</t>
  </si>
  <si>
    <t>A25090-03L</t>
  </si>
  <si>
    <t>00810125825064</t>
  </si>
  <si>
    <t>A25090-03XL</t>
  </si>
  <si>
    <t>00810125825071</t>
  </si>
  <si>
    <t>A25090-03XXL</t>
  </si>
  <si>
    <t>00810125825088</t>
  </si>
  <si>
    <t>A25091-01S</t>
  </si>
  <si>
    <t>COACHES JACKET</t>
  </si>
  <si>
    <t>00810125825095</t>
  </si>
  <si>
    <t>A25091-01M</t>
  </si>
  <si>
    <t>00810125825101</t>
  </si>
  <si>
    <t>A25091-01L</t>
  </si>
  <si>
    <t>00810125825118</t>
  </si>
  <si>
    <t>A25091-01XL</t>
  </si>
  <si>
    <t>00810125825125</t>
  </si>
  <si>
    <t>A25091-01XXL</t>
  </si>
  <si>
    <t>00810125825132</t>
  </si>
  <si>
    <t>A25092-01S</t>
  </si>
  <si>
    <t>LABOR JACKET</t>
  </si>
  <si>
    <t>00810125825149</t>
  </si>
  <si>
    <t>A25092-01M</t>
  </si>
  <si>
    <t>00810125825156</t>
  </si>
  <si>
    <t>A25092-01L</t>
  </si>
  <si>
    <t>00810125825163</t>
  </si>
  <si>
    <t>A25092-01XL</t>
  </si>
  <si>
    <t>00810125825170</t>
  </si>
  <si>
    <t>A25092-01XXL</t>
  </si>
  <si>
    <t>GUS HOODIE</t>
  </si>
  <si>
    <t>A25100-02S</t>
  </si>
  <si>
    <t>FIRST CHAIR HOODIE</t>
  </si>
  <si>
    <t>PIGMENT GREEN</t>
  </si>
  <si>
    <t>A25100-02M</t>
  </si>
  <si>
    <t>A25100-02L</t>
  </si>
  <si>
    <t>A25100-02XL</t>
  </si>
  <si>
    <t>A25100-02XXL</t>
  </si>
  <si>
    <t>A25101-01S</t>
  </si>
  <si>
    <t>CRAG HOODIE</t>
  </si>
  <si>
    <t>A25101-01M</t>
  </si>
  <si>
    <t>A25101-01L</t>
  </si>
  <si>
    <t>A25101-01XL</t>
  </si>
  <si>
    <t>A25101-01XXL</t>
  </si>
  <si>
    <t>A25102-01S</t>
  </si>
  <si>
    <t>PEAK HOODIE</t>
  </si>
  <si>
    <t>A25102-01M</t>
  </si>
  <si>
    <t>A25102-01L</t>
  </si>
  <si>
    <t>A25102-01XL</t>
  </si>
  <si>
    <t>A25102-01XXL</t>
  </si>
  <si>
    <t>A25103-01S</t>
  </si>
  <si>
    <t>MINDFUL MTN HOODIE</t>
  </si>
  <si>
    <t>ATHLETIC HEATHER</t>
  </si>
  <si>
    <t>A25103-01M</t>
  </si>
  <si>
    <t>A25103-01L</t>
  </si>
  <si>
    <t>A25103-01XL</t>
  </si>
  <si>
    <t>A25103-01XXL</t>
  </si>
  <si>
    <t>A25104-01S</t>
  </si>
  <si>
    <t>UTILITY HOODIE</t>
  </si>
  <si>
    <t>ALPINE GREEN</t>
  </si>
  <si>
    <t>A25104-01M</t>
  </si>
  <si>
    <t>A25104-01L</t>
  </si>
  <si>
    <t>A25104-01XL</t>
  </si>
  <si>
    <t>A25104-01XXL</t>
  </si>
  <si>
    <t>A25105-01S</t>
  </si>
  <si>
    <t>HAT CO L/S TEE</t>
  </si>
  <si>
    <t>A25105-01M</t>
  </si>
  <si>
    <t>A25105-01L</t>
  </si>
  <si>
    <t>A25105-01XL</t>
  </si>
  <si>
    <t>A25105-01XXL</t>
  </si>
  <si>
    <t>A25106-01S</t>
  </si>
  <si>
    <t>SAFETY MEETING L/S TEE</t>
  </si>
  <si>
    <t>A25106-01M</t>
  </si>
  <si>
    <t>A25106-01L</t>
  </si>
  <si>
    <t>A25106-01XL</t>
  </si>
  <si>
    <t>A25106-01XXL</t>
  </si>
  <si>
    <t>A25107-01S</t>
  </si>
  <si>
    <t>MTN COLLECTION S/S TEE</t>
  </si>
  <si>
    <t>A25107-01M</t>
  </si>
  <si>
    <t>A25107-01L</t>
  </si>
  <si>
    <t>A25107-01XL</t>
  </si>
  <si>
    <t>A25107-01XXL</t>
  </si>
  <si>
    <t>A25108-01S</t>
  </si>
  <si>
    <t>HEIROGLYPHICS S/S TEE</t>
  </si>
  <si>
    <t>A25108-01M</t>
  </si>
  <si>
    <t>A25108-01L</t>
  </si>
  <si>
    <t>A25108-01XL</t>
  </si>
  <si>
    <t>A25108-01XXL</t>
  </si>
  <si>
    <t>A25109-01S</t>
  </si>
  <si>
    <t>WIGGLE S/S TEE</t>
  </si>
  <si>
    <t>A25109-01M</t>
  </si>
  <si>
    <t>A25109-01L</t>
  </si>
  <si>
    <t>A25109-01XL</t>
  </si>
  <si>
    <t>A25109-01XXL</t>
  </si>
  <si>
    <t>A25110-01S</t>
  </si>
  <si>
    <t>GAME ON S/S TEE</t>
  </si>
  <si>
    <t>A25110-01M</t>
  </si>
  <si>
    <t>A25110-01L</t>
  </si>
  <si>
    <t>A25110-01XL</t>
  </si>
  <si>
    <t>A25110-01XXL</t>
  </si>
  <si>
    <t>A25008-13</t>
  </si>
  <si>
    <t>A25008-14</t>
  </si>
  <si>
    <t>A25008-15</t>
  </si>
  <si>
    <t>A25008-16</t>
  </si>
  <si>
    <t>A25008-17</t>
  </si>
  <si>
    <t>A25008-18</t>
  </si>
  <si>
    <t xml:space="preserve">PREBOOK PROGRAM SIMPLE </t>
  </si>
  <si>
    <t>WHLSL</t>
  </si>
  <si>
    <t>WHSL</t>
  </si>
  <si>
    <t xml:space="preserve">STONE </t>
  </si>
  <si>
    <t>BLACK SNAKE EYE</t>
  </si>
  <si>
    <t>NATURAL BROWN</t>
  </si>
  <si>
    <t>TREK GREEN TEAL</t>
  </si>
  <si>
    <t>LT PURPLE QUITE GREEN</t>
  </si>
  <si>
    <t>MARL BARK</t>
  </si>
  <si>
    <t>BLACK BLUE</t>
  </si>
  <si>
    <t>QUIET GREEN COBALT</t>
  </si>
  <si>
    <t>NATURAL BURGUNDY</t>
  </si>
  <si>
    <t>BROWN IRIS</t>
  </si>
  <si>
    <t>SNAKE EYE TREK GREEN</t>
  </si>
  <si>
    <t>BLUE LIGHT YELLOW</t>
  </si>
  <si>
    <t>BLACK GREY</t>
  </si>
  <si>
    <t>ARMY DUTCH BLUE</t>
  </si>
  <si>
    <t>WHITE BLACK</t>
  </si>
  <si>
    <t>RUST BROWN</t>
  </si>
  <si>
    <t>EVERGREEN BLACK</t>
  </si>
  <si>
    <t>DUSTY PINK GREY</t>
  </si>
  <si>
    <t>SPRITE LIGHT DENIM</t>
  </si>
  <si>
    <t>PURPLE NAVY</t>
  </si>
  <si>
    <t>BLACK NATURAL</t>
  </si>
  <si>
    <t>FIR BLACK</t>
  </si>
  <si>
    <t>DUTCH BLUE YELLOW</t>
  </si>
  <si>
    <t>STONE</t>
  </si>
  <si>
    <t>BLACK ARMY</t>
  </si>
  <si>
    <t>KHAKI BROWN</t>
  </si>
  <si>
    <t>DENIM</t>
  </si>
  <si>
    <t>MILITARY GREEN / BLACK</t>
  </si>
  <si>
    <t>BROWN / BLACK</t>
  </si>
  <si>
    <t>YELLOW / BLACK</t>
  </si>
  <si>
    <t>RED / CHOCO BROWN</t>
  </si>
  <si>
    <t>NATURAL / WHITE</t>
  </si>
  <si>
    <t>MILITARY GREEN</t>
  </si>
  <si>
    <t>SAGE / MILITARY</t>
  </si>
  <si>
    <t>NATURAL / CHARCOAL</t>
  </si>
  <si>
    <t>CHARCOAL / GREY</t>
  </si>
  <si>
    <t>TRIANGLE</t>
  </si>
  <si>
    <t>LUCAS</t>
  </si>
  <si>
    <t>BLACK PIGMENT WASH</t>
  </si>
  <si>
    <t>00810125825385</t>
  </si>
  <si>
    <t>00810125825392</t>
  </si>
  <si>
    <t>00810125825408</t>
  </si>
  <si>
    <t>00810125825415</t>
  </si>
  <si>
    <t>00810125825422</t>
  </si>
  <si>
    <t>00810125825187</t>
  </si>
  <si>
    <t>00810125825194</t>
  </si>
  <si>
    <t>00810125825200</t>
  </si>
  <si>
    <t>00810125825217</t>
  </si>
  <si>
    <t>00810125825224</t>
  </si>
  <si>
    <t>00810125825330</t>
  </si>
  <si>
    <t>00810125825347</t>
  </si>
  <si>
    <t>00810125825354</t>
  </si>
  <si>
    <t>00810125825361</t>
  </si>
  <si>
    <t>00810125825378</t>
  </si>
  <si>
    <t>00810125825286</t>
  </si>
  <si>
    <t>00810125825293</t>
  </si>
  <si>
    <t>00810125825309</t>
  </si>
  <si>
    <t>00810125825316</t>
  </si>
  <si>
    <t>00810125825323</t>
  </si>
  <si>
    <t>00810125825231</t>
  </si>
  <si>
    <t>00810125825248</t>
  </si>
  <si>
    <t>00810125825255</t>
  </si>
  <si>
    <t>00810125825262</t>
  </si>
  <si>
    <t>00810125825279</t>
  </si>
  <si>
    <t>00810125825439</t>
  </si>
  <si>
    <t>00810125825446</t>
  </si>
  <si>
    <t>00810125825453</t>
  </si>
  <si>
    <t>00810125825460</t>
  </si>
  <si>
    <t>00810125825477</t>
  </si>
  <si>
    <t>00810125825538</t>
  </si>
  <si>
    <t>00810125825545</t>
  </si>
  <si>
    <t>00810125825552</t>
  </si>
  <si>
    <t>00810125825569</t>
  </si>
  <si>
    <t>00810125825576</t>
  </si>
  <si>
    <t>00810125825484</t>
  </si>
  <si>
    <t>00810125825491</t>
  </si>
  <si>
    <t>00810125825507</t>
  </si>
  <si>
    <t>00810125825514</t>
  </si>
  <si>
    <t>00810125825521</t>
  </si>
  <si>
    <t>00810125825583</t>
  </si>
  <si>
    <t>00810125825590</t>
  </si>
  <si>
    <t>00810125825606</t>
  </si>
  <si>
    <t>00810125825613</t>
  </si>
  <si>
    <t>00810125825620</t>
  </si>
  <si>
    <t>00810125825682</t>
  </si>
  <si>
    <t>00810125825699</t>
  </si>
  <si>
    <t>00810125825705</t>
  </si>
  <si>
    <t>00810125825712</t>
  </si>
  <si>
    <t>00810125825729</t>
  </si>
  <si>
    <t>00810125825736</t>
  </si>
  <si>
    <t>00810125825743</t>
  </si>
  <si>
    <t>00810125825750</t>
  </si>
  <si>
    <t>00810125825767</t>
  </si>
  <si>
    <t>00810125825774</t>
  </si>
  <si>
    <t>00810125825637</t>
  </si>
  <si>
    <t>00810125825644</t>
  </si>
  <si>
    <t>00810125825651</t>
  </si>
  <si>
    <t>00810125825668</t>
  </si>
  <si>
    <t>00810125825675</t>
  </si>
  <si>
    <t>A25099-01S</t>
  </si>
  <si>
    <t>A25099-01M</t>
  </si>
  <si>
    <t>A25099-01L</t>
  </si>
  <si>
    <t>A25099-01XL</t>
  </si>
  <si>
    <t>A25099-01XXL</t>
  </si>
  <si>
    <t>*In order to qualify for preseason apparel booking terms a minimum order of $ 1,000 must be made by the order deadline February 1, 2024</t>
  </si>
  <si>
    <t>* Earliest Delivery date is September 1st , 2024.</t>
  </si>
  <si>
    <t>* Cancel date for product not shipped is December 31, 2024 or later.</t>
  </si>
  <si>
    <r>
      <t xml:space="preserve">*All orders are subject to availability. </t>
    </r>
    <r>
      <rPr>
        <b/>
        <sz val="12"/>
        <color rgb="FF000000"/>
        <rFont val="PT Sans"/>
        <family val="2"/>
        <charset val="204"/>
      </rPr>
      <t>Discount is only applied to apparel only.</t>
    </r>
  </si>
  <si>
    <t>* Dealer pricing can fluctuate according to currency vs. Jan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</si>
</sst>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name val="Texta"/>
    </font>
    <font>
      <b/>
      <sz val="12"/>
      <name val="Texta"/>
    </font>
    <font>
      <b/>
      <sz val="16"/>
      <name val="Texta"/>
    </font>
    <font>
      <b/>
      <sz val="12"/>
      <color theme="1"/>
      <name val="Texta"/>
    </font>
    <font>
      <sz val="12"/>
      <color rgb="FFFFFFFF"/>
      <name val="Calibri"/>
      <family val="2"/>
      <scheme val="minor"/>
    </font>
    <font>
      <b/>
      <sz val="22"/>
      <name val="Texta"/>
    </font>
    <font>
      <b/>
      <sz val="16"/>
      <color theme="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Texta"/>
    </font>
    <font>
      <b/>
      <sz val="14"/>
      <color rgb="FF000000"/>
      <name val="Cordia New"/>
      <family val="2"/>
    </font>
    <font>
      <sz val="14"/>
      <color theme="1"/>
      <name val="Calibri"/>
      <family val="2"/>
      <scheme val="minor"/>
    </font>
    <font>
      <sz val="14"/>
      <color rgb="FF000000"/>
      <name val="Cordia New"/>
      <family val="2"/>
    </font>
    <font>
      <b/>
      <sz val="12"/>
      <color rgb="FFFFFFFF"/>
      <name val="Calibri"/>
      <family val="2"/>
      <scheme val="minor"/>
    </font>
    <font>
      <sz val="12"/>
      <color theme="1"/>
      <name val="Texta"/>
    </font>
    <font>
      <sz val="8"/>
      <name val="Calibri"/>
      <family val="2"/>
      <scheme val="minor"/>
    </font>
    <font>
      <b/>
      <sz val="6"/>
      <color theme="1"/>
      <name val="PT Sans"/>
      <family val="2"/>
      <charset val="204"/>
    </font>
    <font>
      <b/>
      <sz val="12"/>
      <color indexed="8"/>
      <name val="PT Sans"/>
      <family val="2"/>
      <charset val="204"/>
    </font>
    <font>
      <sz val="12"/>
      <color indexed="8"/>
      <name val="PT Sans"/>
      <family val="2"/>
      <charset val="204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PT Sans"/>
      <family val="2"/>
      <charset val="204"/>
    </font>
    <font>
      <b/>
      <sz val="12"/>
      <color rgb="FF000000"/>
      <name val="PT Sans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</patternFill>
    </fill>
    <fill>
      <patternFill patternType="solid">
        <fgColor theme="0" tint="-4.9989318521683403E-2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9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5" fillId="2" borderId="0" xfId="0" applyFont="1" applyFill="1"/>
    <xf numFmtId="0" fontId="3" fillId="5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0" applyNumberFormat="1" applyBorder="1"/>
    <xf numFmtId="0" fontId="0" fillId="7" borderId="3" xfId="0" applyFill="1" applyBorder="1" applyAlignment="1">
      <alignment horizontal="center"/>
    </xf>
    <xf numFmtId="0" fontId="0" fillId="8" borderId="0" xfId="0" applyFill="1"/>
    <xf numFmtId="0" fontId="0" fillId="3" borderId="0" xfId="0" applyFill="1"/>
    <xf numFmtId="0" fontId="12" fillId="2" borderId="0" xfId="0" applyFont="1" applyFill="1" applyAlignment="1">
      <alignment horizontal="center" vertical="center"/>
    </xf>
    <xf numFmtId="0" fontId="14" fillId="8" borderId="0" xfId="0" applyFont="1" applyFill="1"/>
    <xf numFmtId="0" fontId="7" fillId="8" borderId="0" xfId="0" applyFont="1" applyFill="1"/>
    <xf numFmtId="0" fontId="7" fillId="2" borderId="3" xfId="0" applyFont="1" applyFill="1" applyBorder="1" applyAlignment="1">
      <alignment horizontal="center"/>
    </xf>
    <xf numFmtId="15" fontId="8" fillId="3" borderId="3" xfId="0" applyNumberFormat="1" applyFont="1" applyFill="1" applyBorder="1" applyAlignment="1" applyProtection="1">
      <alignment horizontal="center"/>
      <protection locked="0"/>
    </xf>
    <xf numFmtId="44" fontId="0" fillId="0" borderId="3" xfId="1" applyFont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18" fillId="0" borderId="0" xfId="0" applyFont="1"/>
    <xf numFmtId="0" fontId="19" fillId="10" borderId="15" xfId="0" applyFont="1" applyFill="1" applyBorder="1" applyAlignment="1">
      <alignment horizontal="left" vertical="center"/>
    </xf>
    <xf numFmtId="1" fontId="19" fillId="10" borderId="0" xfId="0" applyNumberFormat="1" applyFont="1" applyFill="1" applyAlignment="1">
      <alignment horizontal="left" vertical="center"/>
    </xf>
    <xf numFmtId="1" fontId="19" fillId="10" borderId="16" xfId="0" applyNumberFormat="1" applyFont="1" applyFill="1" applyBorder="1" applyAlignment="1">
      <alignment horizontal="left" vertical="center"/>
    </xf>
    <xf numFmtId="0" fontId="19" fillId="10" borderId="17" xfId="0" applyFont="1" applyFill="1" applyBorder="1" applyAlignment="1">
      <alignment horizontal="left" vertical="center"/>
    </xf>
    <xf numFmtId="1" fontId="19" fillId="10" borderId="18" xfId="0" applyNumberFormat="1" applyFont="1" applyFill="1" applyBorder="1" applyAlignment="1">
      <alignment horizontal="left" vertical="center"/>
    </xf>
    <xf numFmtId="1" fontId="19" fillId="10" borderId="19" xfId="0" applyNumberFormat="1" applyFont="1" applyFill="1" applyBorder="1" applyAlignment="1">
      <alignment horizontal="left" vertical="center"/>
    </xf>
    <xf numFmtId="0" fontId="19" fillId="10" borderId="0" xfId="0" applyFont="1" applyFill="1" applyAlignment="1">
      <alignment vertical="center"/>
    </xf>
    <xf numFmtId="1" fontId="19" fillId="10" borderId="0" xfId="0" applyNumberFormat="1" applyFont="1" applyFill="1" applyAlignment="1">
      <alignment vertical="center"/>
    </xf>
    <xf numFmtId="0" fontId="19" fillId="10" borderId="15" xfId="0" applyFont="1" applyFill="1" applyBorder="1" applyAlignment="1">
      <alignment vertical="center"/>
    </xf>
    <xf numFmtId="1" fontId="19" fillId="10" borderId="16" xfId="0" applyNumberFormat="1" applyFont="1" applyFill="1" applyBorder="1" applyAlignment="1">
      <alignment vertical="center"/>
    </xf>
    <xf numFmtId="0" fontId="19" fillId="10" borderId="17" xfId="0" applyFont="1" applyFill="1" applyBorder="1" applyAlignment="1">
      <alignment vertical="center"/>
    </xf>
    <xf numFmtId="1" fontId="19" fillId="10" borderId="18" xfId="0" applyNumberFormat="1" applyFont="1" applyFill="1" applyBorder="1" applyAlignment="1">
      <alignment vertical="center"/>
    </xf>
    <xf numFmtId="1" fontId="19" fillId="10" borderId="19" xfId="0" applyNumberFormat="1" applyFont="1" applyFill="1" applyBorder="1" applyAlignment="1">
      <alignment vertical="center"/>
    </xf>
    <xf numFmtId="0" fontId="19" fillId="10" borderId="18" xfId="0" applyFont="1" applyFill="1" applyBorder="1" applyAlignment="1">
      <alignment vertical="center"/>
    </xf>
    <xf numFmtId="1" fontId="17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top" wrapText="1"/>
    </xf>
    <xf numFmtId="0" fontId="0" fillId="7" borderId="3" xfId="0" applyFill="1" applyBorder="1" applyAlignment="1" applyProtection="1">
      <alignment horizontal="center"/>
      <protection hidden="1"/>
    </xf>
    <xf numFmtId="44" fontId="0" fillId="7" borderId="3" xfId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0" xfId="0" applyNumberFormat="1" applyBorder="1"/>
    <xf numFmtId="0" fontId="0" fillId="3" borderId="3" xfId="0" applyFill="1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44" fontId="0" fillId="3" borderId="3" xfId="0" applyNumberFormat="1" applyFill="1" applyBorder="1"/>
    <xf numFmtId="0" fontId="3" fillId="5" borderId="23" xfId="0" applyFont="1" applyFill="1" applyBorder="1" applyAlignment="1">
      <alignment horizontal="center"/>
    </xf>
    <xf numFmtId="0" fontId="7" fillId="2" borderId="3" xfId="0" applyFont="1" applyFill="1" applyBorder="1"/>
    <xf numFmtId="49" fontId="7" fillId="3" borderId="3" xfId="0" applyNumberFormat="1" applyFont="1" applyFill="1" applyBorder="1" applyAlignment="1" applyProtection="1">
      <alignment horizontal="center"/>
      <protection locked="0"/>
    </xf>
    <xf numFmtId="15" fontId="7" fillId="3" borderId="3" xfId="0" applyNumberFormat="1" applyFont="1" applyFill="1" applyBorder="1" applyAlignment="1" applyProtection="1">
      <alignment horizontal="center"/>
      <protection locked="0"/>
    </xf>
    <xf numFmtId="0" fontId="8" fillId="2" borderId="3" xfId="0" applyFont="1" applyFill="1" applyBorder="1"/>
    <xf numFmtId="0" fontId="2" fillId="4" borderId="3" xfId="0" applyFont="1" applyFill="1" applyBorder="1" applyAlignment="1" applyProtection="1">
      <alignment horizontal="center"/>
      <protection hidden="1"/>
    </xf>
    <xf numFmtId="44" fontId="0" fillId="0" borderId="26" xfId="0" applyNumberFormat="1" applyBorder="1" applyProtection="1">
      <protection hidden="1"/>
    </xf>
    <xf numFmtId="49" fontId="7" fillId="8" borderId="0" xfId="0" applyNumberFormat="1" applyFont="1" applyFill="1" applyAlignment="1" applyProtection="1">
      <alignment horizontal="center"/>
      <protection locked="0"/>
    </xf>
    <xf numFmtId="15" fontId="7" fillId="8" borderId="0" xfId="0" applyNumberFormat="1" applyFont="1" applyFill="1" applyAlignment="1" applyProtection="1">
      <alignment horizontal="center"/>
      <protection locked="0"/>
    </xf>
    <xf numFmtId="15" fontId="8" fillId="8" borderId="0" xfId="0" applyNumberFormat="1" applyFont="1" applyFill="1" applyAlignment="1" applyProtection="1">
      <alignment horizontal="center"/>
      <protection locked="0"/>
    </xf>
    <xf numFmtId="15" fontId="8" fillId="8" borderId="0" xfId="0" applyNumberFormat="1" applyFont="1" applyFill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49" fontId="7" fillId="3" borderId="3" xfId="0" applyNumberFormat="1" applyFont="1" applyFill="1" applyBorder="1" applyAlignment="1" applyProtection="1">
      <alignment horizontal="left"/>
      <protection locked="0"/>
    </xf>
    <xf numFmtId="0" fontId="7" fillId="2" borderId="1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24" xfId="0" applyFont="1" applyFill="1" applyBorder="1" applyAlignment="1">
      <alignment horizontal="center"/>
    </xf>
    <xf numFmtId="44" fontId="15" fillId="5" borderId="24" xfId="1" applyFont="1" applyFill="1" applyBorder="1" applyAlignment="1">
      <alignment horizontal="center"/>
    </xf>
    <xf numFmtId="44" fontId="20" fillId="6" borderId="25" xfId="0" applyNumberFormat="1" applyFont="1" applyFill="1" applyBorder="1" applyAlignment="1">
      <alignment horizontal="center"/>
    </xf>
    <xf numFmtId="44" fontId="0" fillId="0" borderId="3" xfId="1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2" fillId="8" borderId="0" xfId="0" applyFont="1" applyFill="1"/>
    <xf numFmtId="0" fontId="2" fillId="4" borderId="28" xfId="0" applyFont="1" applyFill="1" applyBorder="1" applyAlignment="1" applyProtection="1">
      <alignment horizontal="center"/>
      <protection hidden="1"/>
    </xf>
    <xf numFmtId="44" fontId="1" fillId="11" borderId="3" xfId="1" applyFont="1" applyFill="1" applyBorder="1" applyAlignment="1">
      <alignment horizontal="center"/>
    </xf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49" fontId="7" fillId="8" borderId="0" xfId="0" applyNumberFormat="1" applyFont="1" applyFill="1" applyAlignment="1" applyProtection="1">
      <alignment horizontal="left"/>
      <protection locked="0"/>
    </xf>
    <xf numFmtId="0" fontId="7" fillId="8" borderId="0" xfId="0" applyFont="1" applyFill="1" applyAlignment="1">
      <alignment horizontal="right"/>
    </xf>
    <xf numFmtId="0" fontId="8" fillId="8" borderId="0" xfId="0" applyFont="1" applyFill="1"/>
    <xf numFmtId="49" fontId="7" fillId="3" borderId="3" xfId="0" applyNumberFormat="1" applyFont="1" applyFill="1" applyBorder="1" applyProtection="1">
      <protection locked="0"/>
    </xf>
    <xf numFmtId="44" fontId="3" fillId="5" borderId="0" xfId="1" applyFont="1" applyFill="1" applyBorder="1" applyAlignment="1">
      <alignment horizontal="center"/>
    </xf>
    <xf numFmtId="44" fontId="11" fillId="6" borderId="29" xfId="0" applyNumberFormat="1" applyFont="1" applyFill="1" applyBorder="1" applyAlignment="1">
      <alignment horizontal="center"/>
    </xf>
    <xf numFmtId="0" fontId="2" fillId="0" borderId="26" xfId="0" applyFont="1" applyBorder="1" applyAlignment="1" applyProtection="1">
      <alignment horizontal="center"/>
      <protection hidden="1"/>
    </xf>
    <xf numFmtId="0" fontId="21" fillId="2" borderId="0" xfId="0" applyFont="1" applyFill="1"/>
    <xf numFmtId="0" fontId="21" fillId="8" borderId="0" xfId="0" applyFont="1" applyFill="1"/>
    <xf numFmtId="0" fontId="0" fillId="7" borderId="3" xfId="1" applyNumberFormat="1" applyFont="1" applyFill="1" applyBorder="1" applyAlignment="1">
      <alignment horizontal="center"/>
    </xf>
    <xf numFmtId="0" fontId="0" fillId="5" borderId="0" xfId="1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44" fontId="10" fillId="4" borderId="4" xfId="0" applyNumberFormat="1" applyFont="1" applyFill="1" applyBorder="1" applyProtection="1">
      <protection hidden="1"/>
    </xf>
    <xf numFmtId="0" fontId="10" fillId="8" borderId="30" xfId="0" applyFont="1" applyFill="1" applyBorder="1" applyAlignment="1" applyProtection="1">
      <alignment horizontal="center" vertical="center"/>
      <protection hidden="1"/>
    </xf>
    <xf numFmtId="15" fontId="8" fillId="2" borderId="31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/>
    </xf>
    <xf numFmtId="9" fontId="0" fillId="8" borderId="0" xfId="0" applyNumberFormat="1" applyFill="1"/>
    <xf numFmtId="0" fontId="0" fillId="13" borderId="3" xfId="0" applyFill="1" applyBorder="1" applyAlignment="1">
      <alignment horizontal="center"/>
    </xf>
    <xf numFmtId="44" fontId="0" fillId="13" borderId="3" xfId="1" applyFont="1" applyFill="1" applyBorder="1"/>
    <xf numFmtId="44" fontId="0" fillId="13" borderId="3" xfId="0" applyNumberFormat="1" applyFill="1" applyBorder="1"/>
    <xf numFmtId="44" fontId="0" fillId="8" borderId="0" xfId="1" applyFont="1" applyFill="1" applyBorder="1"/>
    <xf numFmtId="44" fontId="0" fillId="8" borderId="0" xfId="0" applyNumberFormat="1" applyFill="1"/>
    <xf numFmtId="0" fontId="2" fillId="8" borderId="32" xfId="0" applyFont="1" applyFill="1" applyBorder="1" applyAlignment="1">
      <alignment horizontal="center"/>
    </xf>
    <xf numFmtId="44" fontId="0" fillId="8" borderId="32" xfId="1" applyFont="1" applyFill="1" applyBorder="1"/>
    <xf numFmtId="0" fontId="23" fillId="12" borderId="33" xfId="0" applyFont="1" applyFill="1" applyBorder="1" applyAlignment="1">
      <alignment horizontal="left" vertical="center"/>
    </xf>
    <xf numFmtId="0" fontId="23" fillId="12" borderId="34" xfId="0" applyFont="1" applyFill="1" applyBorder="1" applyAlignment="1">
      <alignment vertical="center"/>
    </xf>
    <xf numFmtId="0" fontId="24" fillId="14" borderId="33" xfId="0" applyFont="1" applyFill="1" applyBorder="1" applyAlignment="1">
      <alignment horizontal="center" vertical="center"/>
    </xf>
    <xf numFmtId="9" fontId="24" fillId="14" borderId="35" xfId="0" applyNumberFormat="1" applyFont="1" applyFill="1" applyBorder="1" applyAlignment="1">
      <alignment horizontal="center" vertical="center"/>
    </xf>
    <xf numFmtId="0" fontId="25" fillId="14" borderId="37" xfId="0" applyFont="1" applyFill="1" applyBorder="1" applyAlignment="1">
      <alignment horizontal="left" vertical="center"/>
    </xf>
    <xf numFmtId="0" fontId="25" fillId="14" borderId="38" xfId="0" applyFont="1" applyFill="1" applyBorder="1" applyAlignment="1">
      <alignment vertical="center"/>
    </xf>
    <xf numFmtId="0" fontId="25" fillId="14" borderId="39" xfId="0" applyFont="1" applyFill="1" applyBorder="1" applyAlignment="1">
      <alignment vertical="center"/>
    </xf>
    <xf numFmtId="0" fontId="15" fillId="5" borderId="0" xfId="0" applyFont="1" applyFill="1" applyAlignment="1">
      <alignment horizontal="center"/>
    </xf>
    <xf numFmtId="0" fontId="0" fillId="5" borderId="0" xfId="0" applyFill="1"/>
    <xf numFmtId="0" fontId="15" fillId="8" borderId="0" xfId="0" applyFont="1" applyFill="1" applyAlignment="1">
      <alignment horizontal="center"/>
    </xf>
    <xf numFmtId="44" fontId="15" fillId="8" borderId="0" xfId="1" applyFont="1" applyFill="1" applyBorder="1" applyAlignment="1">
      <alignment horizontal="center"/>
    </xf>
    <xf numFmtId="0" fontId="2" fillId="8" borderId="0" xfId="1" applyNumberFormat="1" applyFont="1" applyFill="1" applyBorder="1" applyAlignment="1">
      <alignment horizontal="center"/>
    </xf>
    <xf numFmtId="44" fontId="20" fillId="15" borderId="0" xfId="0" applyNumberFormat="1" applyFont="1" applyFill="1" applyAlignment="1">
      <alignment horizontal="center"/>
    </xf>
    <xf numFmtId="0" fontId="15" fillId="8" borderId="0" xfId="0" applyFont="1" applyFill="1"/>
    <xf numFmtId="49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5" fillId="5" borderId="24" xfId="1" applyNumberFormat="1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0" fillId="7" borderId="0" xfId="0" applyFill="1" applyAlignment="1">
      <alignment horizontal="center"/>
    </xf>
    <xf numFmtId="0" fontId="0" fillId="13" borderId="1" xfId="0" applyFill="1" applyBorder="1" applyAlignment="1">
      <alignment horizontal="center"/>
    </xf>
    <xf numFmtId="49" fontId="0" fillId="7" borderId="3" xfId="0" applyNumberFormat="1" applyFill="1" applyBorder="1" applyAlignment="1">
      <alignment horizontal="center"/>
    </xf>
    <xf numFmtId="44" fontId="15" fillId="5" borderId="0" xfId="1" applyFont="1" applyFill="1" applyAlignment="1">
      <alignment horizontal="center"/>
    </xf>
    <xf numFmtId="0" fontId="2" fillId="5" borderId="0" xfId="1" applyNumberFormat="1" applyFont="1" applyFill="1" applyAlignment="1">
      <alignment horizontal="center"/>
    </xf>
    <xf numFmtId="44" fontId="20" fillId="6" borderId="0" xfId="0" applyNumberFormat="1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3" xfId="1" applyNumberFormat="1" applyFont="1" applyFill="1" applyBorder="1" applyAlignment="1">
      <alignment horizontal="center"/>
    </xf>
    <xf numFmtId="0" fontId="0" fillId="7" borderId="10" xfId="0" applyFill="1" applyBorder="1" applyAlignment="1" applyProtection="1">
      <alignment horizontal="center"/>
      <protection hidden="1"/>
    </xf>
    <xf numFmtId="0" fontId="0" fillId="0" borderId="2" xfId="0" applyBorder="1" applyAlignment="1">
      <alignment horizontal="center"/>
    </xf>
    <xf numFmtId="0" fontId="7" fillId="13" borderId="41" xfId="0" applyFont="1" applyFill="1" applyBorder="1"/>
    <xf numFmtId="1" fontId="8" fillId="13" borderId="7" xfId="0" applyNumberFormat="1" applyFont="1" applyFill="1" applyBorder="1" applyAlignment="1">
      <alignment horizontal="center" vertical="center"/>
    </xf>
    <xf numFmtId="1" fontId="8" fillId="13" borderId="42" xfId="0" applyNumberFormat="1" applyFont="1" applyFill="1" applyBorder="1" applyAlignment="1">
      <alignment horizontal="center" vertical="center"/>
    </xf>
    <xf numFmtId="0" fontId="7" fillId="13" borderId="6" xfId="0" applyFont="1" applyFill="1" applyBorder="1"/>
    <xf numFmtId="0" fontId="0" fillId="13" borderId="0" xfId="0" applyFill="1"/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/>
    <xf numFmtId="0" fontId="0" fillId="13" borderId="11" xfId="0" applyFill="1" applyBorder="1"/>
    <xf numFmtId="0" fontId="0" fillId="13" borderId="43" xfId="0" applyFill="1" applyBorder="1"/>
    <xf numFmtId="0" fontId="0" fillId="13" borderId="27" xfId="0" applyFill="1" applyBorder="1"/>
    <xf numFmtId="0" fontId="0" fillId="13" borderId="44" xfId="0" applyFill="1" applyBorder="1"/>
    <xf numFmtId="0" fontId="2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5" borderId="27" xfId="0" applyFont="1" applyFill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6" fillId="7" borderId="4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5" fillId="5" borderId="40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44" fontId="2" fillId="8" borderId="7" xfId="1" applyFont="1" applyFill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7" fillId="3" borderId="3" xfId="0" applyFont="1" applyFill="1" applyBorder="1"/>
    <xf numFmtId="0" fontId="0" fillId="0" borderId="3" xfId="0" applyBorder="1"/>
    <xf numFmtId="0" fontId="7" fillId="8" borderId="0" xfId="0" applyFont="1" applyFill="1"/>
    <xf numFmtId="0" fontId="0" fillId="8" borderId="0" xfId="0" applyFill="1"/>
    <xf numFmtId="0" fontId="7" fillId="3" borderId="1" xfId="0" applyFont="1" applyFill="1" applyBorder="1"/>
    <xf numFmtId="0" fontId="0" fillId="0" borderId="5" xfId="0" applyBorder="1"/>
    <xf numFmtId="0" fontId="0" fillId="0" borderId="2" xfId="0" applyBorder="1"/>
    <xf numFmtId="0" fontId="2" fillId="7" borderId="4" xfId="0" quotePrefix="1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right"/>
    </xf>
    <xf numFmtId="0" fontId="2" fillId="8" borderId="11" xfId="0" applyFont="1" applyFill="1" applyBorder="1" applyAlignment="1">
      <alignment horizontal="right"/>
    </xf>
    <xf numFmtId="0" fontId="17" fillId="9" borderId="12" xfId="0" applyFont="1" applyFill="1" applyBorder="1" applyAlignment="1">
      <alignment vertical="center"/>
    </xf>
    <xf numFmtId="0" fontId="17" fillId="9" borderId="13" xfId="0" applyFont="1" applyFill="1" applyBorder="1" applyAlignment="1">
      <alignment vertical="center"/>
    </xf>
    <xf numFmtId="0" fontId="17" fillId="9" borderId="14" xfId="0" applyFont="1" applyFill="1" applyBorder="1" applyAlignment="1">
      <alignment vertical="center"/>
    </xf>
    <xf numFmtId="0" fontId="17" fillId="9" borderId="20" xfId="0" applyFont="1" applyFill="1" applyBorder="1" applyAlignment="1">
      <alignment vertical="center"/>
    </xf>
    <xf numFmtId="0" fontId="17" fillId="9" borderId="21" xfId="0" applyFont="1" applyFill="1" applyBorder="1" applyAlignment="1">
      <alignment vertical="center"/>
    </xf>
    <xf numFmtId="0" fontId="17" fillId="9" borderId="22" xfId="0" applyFont="1" applyFill="1" applyBorder="1" applyAlignment="1">
      <alignment vertical="center"/>
    </xf>
    <xf numFmtId="0" fontId="28" fillId="12" borderId="36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1679786</xdr:colOff>
      <xdr:row>0</xdr:row>
      <xdr:rowOff>20320</xdr:rowOff>
    </xdr:from>
    <xdr:to>
      <xdr:col>5</xdr:col>
      <xdr:colOff>347428</xdr:colOff>
      <xdr:row>9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E6887-245B-7A42-AC27-33847BD1C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053" y="20320"/>
          <a:ext cx="2545375" cy="2499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AEF-3381-6940-9B44-A5B656CFAA76}">
  <dimension ref="A1:T651"/>
  <sheetViews>
    <sheetView showGridLines="0" tabSelected="1" topLeftCell="A483" zoomScale="106" zoomScaleNormal="120" workbookViewId="0">
      <selection activeCell="M503" sqref="M503"/>
    </sheetView>
  </sheetViews>
  <sheetFormatPr baseColWidth="10" defaultRowHeight="16"/>
  <cols>
    <col min="1" max="1" width="10.83203125" style="12"/>
    <col min="2" max="2" width="15.1640625" style="12" bestFit="1" customWidth="1"/>
    <col min="3" max="3" width="16.33203125" customWidth="1"/>
    <col min="4" max="4" width="26" customWidth="1"/>
    <col min="5" max="5" width="24.83203125" customWidth="1"/>
    <col min="6" max="6" width="8.1640625" customWidth="1"/>
    <col min="7" max="7" width="15.1640625" bestFit="1" customWidth="1"/>
    <col min="8" max="8" width="13.33203125" customWidth="1"/>
    <col min="9" max="9" width="7.33203125" customWidth="1"/>
    <col min="10" max="10" width="10.6640625" customWidth="1"/>
    <col min="11" max="11" width="11.5" customWidth="1"/>
    <col min="12" max="12" width="6.33203125" style="13" customWidth="1"/>
    <col min="13" max="20" width="10.83203125" style="12"/>
  </cols>
  <sheetData>
    <row r="1" spans="1:20" s="13" customFormat="1">
      <c r="A1" s="12"/>
      <c r="B1" s="12"/>
      <c r="C1" s="15" t="s">
        <v>47</v>
      </c>
      <c r="D1" s="12"/>
      <c r="E1" s="12"/>
      <c r="F1" s="12"/>
      <c r="G1" s="12"/>
      <c r="H1" s="12"/>
      <c r="I1" s="15" t="s">
        <v>48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13" customFormat="1">
      <c r="A2" s="12"/>
      <c r="B2" s="12"/>
      <c r="C2" s="1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s="13" customFormat="1">
      <c r="A3" s="12"/>
      <c r="B3" s="12"/>
      <c r="C3" s="15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s="13" customFormat="1">
      <c r="A4" s="12"/>
      <c r="B4" s="12"/>
      <c r="C4" s="15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13" customFormat="1">
      <c r="A5" s="12"/>
      <c r="B5" s="12"/>
      <c r="C5" s="15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s="13" customForma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33">
      <c r="C7" s="1"/>
      <c r="D7" s="2"/>
      <c r="E7" s="2"/>
      <c r="F7" s="2"/>
      <c r="G7" s="3"/>
      <c r="H7" s="3"/>
      <c r="I7" s="79"/>
      <c r="J7" s="4"/>
      <c r="K7" s="12"/>
      <c r="L7" s="12"/>
    </row>
    <row r="8" spans="1:20" ht="33">
      <c r="C8" s="1"/>
      <c r="D8" s="2"/>
      <c r="E8" s="2"/>
      <c r="F8" s="2"/>
      <c r="G8" s="3"/>
      <c r="H8" s="3"/>
      <c r="I8" s="79"/>
      <c r="J8" s="4"/>
      <c r="K8" s="12"/>
      <c r="L8" s="12"/>
    </row>
    <row r="9" spans="1:20" ht="33">
      <c r="C9" s="1"/>
      <c r="D9" s="2"/>
      <c r="E9" s="14" t="s">
        <v>141</v>
      </c>
      <c r="F9" s="14"/>
      <c r="G9" s="3"/>
      <c r="H9" s="3"/>
      <c r="I9" s="79"/>
      <c r="J9" s="4"/>
      <c r="K9" s="12"/>
      <c r="L9" s="12"/>
    </row>
    <row r="10" spans="1:20" ht="20" customHeight="1">
      <c r="C10" s="5"/>
      <c r="D10" s="2"/>
      <c r="E10" s="20" t="s">
        <v>51</v>
      </c>
      <c r="F10" s="20"/>
      <c r="G10" s="3"/>
      <c r="H10" s="3"/>
      <c r="I10" s="79"/>
      <c r="J10" s="4"/>
      <c r="K10" s="12"/>
      <c r="L10" s="12"/>
    </row>
    <row r="11" spans="1:20" ht="13" customHeight="1">
      <c r="C11" s="4"/>
      <c r="D11" s="6"/>
      <c r="E11" s="6"/>
      <c r="F11" s="6"/>
      <c r="G11" s="6"/>
      <c r="H11" s="6"/>
      <c r="I11" s="79"/>
      <c r="J11" s="4"/>
      <c r="K11" s="12"/>
      <c r="L11" s="12"/>
    </row>
    <row r="12" spans="1:20">
      <c r="C12" s="7"/>
      <c r="D12" s="7"/>
      <c r="E12" s="7"/>
      <c r="F12" s="7"/>
      <c r="G12" s="7"/>
      <c r="H12" s="7"/>
      <c r="I12" s="79"/>
      <c r="J12" s="4"/>
      <c r="K12" s="12"/>
      <c r="L12" s="12"/>
    </row>
    <row r="13" spans="1:20">
      <c r="C13" s="70" t="s">
        <v>71</v>
      </c>
      <c r="D13" s="59"/>
      <c r="E13" s="70" t="s">
        <v>72</v>
      </c>
      <c r="F13" s="172"/>
      <c r="G13" s="173"/>
      <c r="H13" s="174"/>
      <c r="I13" s="12"/>
      <c r="J13" s="12"/>
      <c r="K13" s="12"/>
      <c r="L13" s="12"/>
    </row>
    <row r="14" spans="1:20">
      <c r="C14" s="71" t="s">
        <v>2</v>
      </c>
      <c r="D14" s="59"/>
      <c r="E14" s="71" t="s">
        <v>2</v>
      </c>
      <c r="F14" s="172"/>
      <c r="G14" s="173"/>
      <c r="H14" s="174"/>
      <c r="I14" s="12"/>
      <c r="J14" s="12"/>
      <c r="K14" s="12"/>
      <c r="L14" s="12"/>
    </row>
    <row r="15" spans="1:20">
      <c r="C15" s="71" t="s">
        <v>3</v>
      </c>
      <c r="D15" s="59"/>
      <c r="E15" s="71" t="s">
        <v>3</v>
      </c>
      <c r="F15" s="172"/>
      <c r="G15" s="173"/>
      <c r="H15" s="174"/>
      <c r="I15" s="12"/>
      <c r="J15" s="12"/>
      <c r="K15" s="12"/>
      <c r="L15" s="12"/>
    </row>
    <row r="16" spans="1:20">
      <c r="C16" s="71" t="s">
        <v>4</v>
      </c>
      <c r="D16" s="59"/>
      <c r="E16" s="71" t="s">
        <v>4</v>
      </c>
      <c r="F16" s="172"/>
      <c r="G16" s="173"/>
      <c r="H16" s="174"/>
      <c r="I16" s="12"/>
      <c r="J16" s="12"/>
      <c r="K16" s="12"/>
      <c r="L16" s="12"/>
    </row>
    <row r="17" spans="2:13">
      <c r="B17" s="110"/>
      <c r="C17" s="71" t="s">
        <v>5</v>
      </c>
      <c r="D17" s="75"/>
      <c r="E17" s="71" t="s">
        <v>5</v>
      </c>
      <c r="F17" s="172"/>
      <c r="G17" s="173"/>
      <c r="H17" s="174"/>
      <c r="I17" s="12"/>
      <c r="J17" s="12"/>
      <c r="K17" s="12"/>
      <c r="L17" s="12"/>
    </row>
    <row r="18" spans="2:13">
      <c r="C18" s="71" t="s">
        <v>6</v>
      </c>
      <c r="D18" s="59"/>
      <c r="E18" s="71" t="s">
        <v>6</v>
      </c>
      <c r="F18" s="172"/>
      <c r="G18" s="173"/>
      <c r="H18" s="174"/>
      <c r="I18" s="12"/>
      <c r="J18" s="12"/>
      <c r="K18" s="12"/>
      <c r="L18" s="12"/>
    </row>
    <row r="19" spans="2:13">
      <c r="C19" s="71" t="s">
        <v>7</v>
      </c>
      <c r="D19" s="59"/>
      <c r="E19" s="71"/>
      <c r="F19" s="4"/>
      <c r="G19" s="4"/>
      <c r="H19" s="12"/>
      <c r="I19" s="12"/>
      <c r="J19" s="12"/>
      <c r="K19" s="12"/>
      <c r="L19" s="12"/>
    </row>
    <row r="20" spans="2:13">
      <c r="C20" s="71" t="s">
        <v>8</v>
      </c>
      <c r="D20" s="59"/>
      <c r="E20" s="71" t="s">
        <v>38</v>
      </c>
      <c r="F20" s="168"/>
      <c r="G20" s="169"/>
      <c r="H20" s="169"/>
      <c r="I20" s="12"/>
      <c r="J20" s="12"/>
      <c r="K20" s="12"/>
      <c r="L20" s="12"/>
    </row>
    <row r="21" spans="2:13">
      <c r="C21" s="71"/>
      <c r="D21" s="72"/>
      <c r="E21" s="73"/>
      <c r="F21" s="168"/>
      <c r="G21" s="169"/>
      <c r="H21" s="169"/>
      <c r="I21" s="12"/>
      <c r="J21" s="12"/>
      <c r="K21" s="12"/>
      <c r="L21" s="12"/>
    </row>
    <row r="22" spans="2:13">
      <c r="C22" s="71"/>
      <c r="D22" s="72"/>
      <c r="E22" s="73"/>
      <c r="F22" s="168"/>
      <c r="G22" s="169"/>
      <c r="H22" s="169"/>
      <c r="I22" s="12"/>
      <c r="J22" s="12"/>
      <c r="K22" s="12"/>
      <c r="L22" s="12"/>
    </row>
    <row r="23" spans="2:13">
      <c r="C23" s="4"/>
      <c r="D23" s="16"/>
      <c r="E23" s="16"/>
      <c r="F23" s="16"/>
      <c r="G23" s="16"/>
      <c r="H23" s="170"/>
      <c r="I23" s="171"/>
      <c r="J23" s="171"/>
      <c r="K23" s="12"/>
      <c r="L23" s="12"/>
    </row>
    <row r="24" spans="2:13">
      <c r="C24" s="74"/>
      <c r="D24" s="50" t="s">
        <v>9</v>
      </c>
      <c r="E24" s="51">
        <f>SUM(I508)</f>
        <v>0</v>
      </c>
      <c r="F24" s="51"/>
      <c r="G24" s="50" t="s">
        <v>10</v>
      </c>
      <c r="H24" s="85">
        <f>SUM(J508)</f>
        <v>0</v>
      </c>
      <c r="I24" s="12"/>
      <c r="J24" s="12"/>
      <c r="K24" s="12"/>
      <c r="L24" s="12"/>
    </row>
    <row r="25" spans="2:13">
      <c r="C25" s="16"/>
      <c r="D25" s="47" t="s">
        <v>11</v>
      </c>
      <c r="E25" s="17" t="s">
        <v>103</v>
      </c>
      <c r="F25" s="60"/>
      <c r="G25" s="60" t="s">
        <v>12</v>
      </c>
      <c r="H25" s="88" t="s">
        <v>50</v>
      </c>
      <c r="I25" s="86"/>
      <c r="J25" s="16"/>
      <c r="K25" s="12"/>
      <c r="L25" s="12"/>
    </row>
    <row r="26" spans="2:13">
      <c r="C26" s="53"/>
      <c r="D26" s="48"/>
      <c r="E26" s="49"/>
      <c r="F26" s="49"/>
      <c r="G26" s="18">
        <v>45536</v>
      </c>
      <c r="H26" s="87">
        <v>45323</v>
      </c>
      <c r="I26" s="80"/>
      <c r="J26" s="12"/>
      <c r="K26" s="12"/>
      <c r="L26" s="12"/>
    </row>
    <row r="27" spans="2:13" ht="15" customHeight="1" thickBot="1">
      <c r="C27" s="53"/>
      <c r="D27" s="54"/>
      <c r="E27" s="55"/>
      <c r="F27" s="55"/>
      <c r="G27" s="56"/>
      <c r="H27" s="4"/>
      <c r="I27" s="79"/>
      <c r="J27" s="16"/>
      <c r="K27" s="4"/>
      <c r="L27" s="4"/>
      <c r="M27" s="4"/>
    </row>
    <row r="28" spans="2:13">
      <c r="B28" s="104" t="s">
        <v>143</v>
      </c>
      <c r="C28" s="61" t="s">
        <v>13</v>
      </c>
      <c r="D28" s="62" t="s">
        <v>14</v>
      </c>
      <c r="E28" s="62" t="s">
        <v>15</v>
      </c>
      <c r="F28" s="62" t="s">
        <v>40</v>
      </c>
      <c r="G28" s="63" t="s">
        <v>16</v>
      </c>
      <c r="H28" s="63" t="s">
        <v>323</v>
      </c>
      <c r="I28" s="114" t="s">
        <v>324</v>
      </c>
      <c r="J28" s="64" t="s">
        <v>19</v>
      </c>
      <c r="K28" s="12"/>
      <c r="L28" s="12"/>
    </row>
    <row r="29" spans="2:13">
      <c r="C29" s="106"/>
      <c r="D29" s="106"/>
      <c r="E29" s="106"/>
      <c r="F29" s="106"/>
      <c r="G29" s="107"/>
      <c r="H29" s="107"/>
      <c r="I29" s="108"/>
      <c r="J29" s="109"/>
      <c r="K29" s="12"/>
      <c r="L29" s="12"/>
    </row>
    <row r="30" spans="2:13">
      <c r="B30" s="156" t="s">
        <v>142</v>
      </c>
      <c r="C30" s="157"/>
      <c r="D30" s="157"/>
      <c r="E30" s="157"/>
      <c r="F30" s="157"/>
      <c r="G30" s="157"/>
      <c r="H30" s="157"/>
      <c r="I30" s="157"/>
      <c r="J30" s="157"/>
      <c r="K30" s="12"/>
      <c r="L30" s="12"/>
    </row>
    <row r="31" spans="2:13">
      <c r="B31" s="111" t="s">
        <v>149</v>
      </c>
      <c r="C31" s="9" t="s">
        <v>150</v>
      </c>
      <c r="D31" s="139" t="s">
        <v>151</v>
      </c>
      <c r="E31" s="112" t="s">
        <v>20</v>
      </c>
      <c r="F31" s="112" t="s">
        <v>17</v>
      </c>
      <c r="G31" s="19">
        <v>16</v>
      </c>
      <c r="H31" s="19">
        <v>32</v>
      </c>
      <c r="I31" s="125"/>
      <c r="J31" s="69">
        <f>SUM(G31*I31)</f>
        <v>0</v>
      </c>
      <c r="K31" s="12"/>
      <c r="L31" s="12"/>
    </row>
    <row r="32" spans="2:13">
      <c r="B32" s="111" t="s">
        <v>152</v>
      </c>
      <c r="C32" s="9" t="s">
        <v>153</v>
      </c>
      <c r="D32" s="141"/>
      <c r="E32" s="112" t="s">
        <v>154</v>
      </c>
      <c r="F32" s="112" t="s">
        <v>17</v>
      </c>
      <c r="G32" s="19">
        <v>16</v>
      </c>
      <c r="H32" s="19">
        <v>32</v>
      </c>
      <c r="I32" s="125"/>
      <c r="J32" s="69">
        <f t="shared" ref="J31:J32" si="0">SUM(G32*I32)</f>
        <v>0</v>
      </c>
      <c r="K32" s="12"/>
      <c r="L32" s="12"/>
    </row>
    <row r="33" spans="2:12">
      <c r="B33" s="119" t="s">
        <v>155</v>
      </c>
      <c r="C33" s="11" t="s">
        <v>156</v>
      </c>
      <c r="D33" s="142" t="s">
        <v>157</v>
      </c>
      <c r="E33" s="113" t="s">
        <v>20</v>
      </c>
      <c r="F33" s="113" t="s">
        <v>17</v>
      </c>
      <c r="G33" s="40">
        <v>25</v>
      </c>
      <c r="H33" s="40">
        <v>50</v>
      </c>
      <c r="I33" s="81"/>
      <c r="J33" s="69">
        <f>SUM(G33*I33)</f>
        <v>0</v>
      </c>
      <c r="K33" s="12"/>
      <c r="L33" s="12"/>
    </row>
    <row r="34" spans="2:12">
      <c r="B34" s="119" t="s">
        <v>158</v>
      </c>
      <c r="C34" s="11" t="s">
        <v>159</v>
      </c>
      <c r="D34" s="144"/>
      <c r="E34" s="113" t="s">
        <v>160</v>
      </c>
      <c r="F34" s="113" t="s">
        <v>17</v>
      </c>
      <c r="G34" s="40">
        <v>25</v>
      </c>
      <c r="H34" s="40">
        <v>50</v>
      </c>
      <c r="I34" s="81"/>
      <c r="J34" s="69">
        <f t="shared" ref="J34" si="1">SUM(G34*I34)</f>
        <v>0</v>
      </c>
      <c r="K34" s="12"/>
      <c r="L34" s="12"/>
    </row>
    <row r="35" spans="2:12">
      <c r="B35" s="111" t="s">
        <v>144</v>
      </c>
      <c r="C35" s="9" t="s">
        <v>145</v>
      </c>
      <c r="D35" s="139" t="s">
        <v>146</v>
      </c>
      <c r="E35" s="112" t="s">
        <v>20</v>
      </c>
      <c r="F35" s="112" t="s">
        <v>17</v>
      </c>
      <c r="G35" s="19">
        <v>16</v>
      </c>
      <c r="H35" s="19">
        <v>32</v>
      </c>
      <c r="I35" s="125"/>
      <c r="J35" s="69">
        <f>SUM(G35*I35)</f>
        <v>0</v>
      </c>
      <c r="K35" s="12"/>
      <c r="L35" s="12"/>
    </row>
    <row r="36" spans="2:12">
      <c r="B36" s="111" t="s">
        <v>147</v>
      </c>
      <c r="C36" s="9" t="s">
        <v>148</v>
      </c>
      <c r="D36" s="141"/>
      <c r="E36" s="112" t="s">
        <v>34</v>
      </c>
      <c r="F36" s="112" t="s">
        <v>17</v>
      </c>
      <c r="G36" s="19">
        <v>16</v>
      </c>
      <c r="H36" s="19">
        <v>32</v>
      </c>
      <c r="I36" s="125"/>
      <c r="J36" s="69">
        <f t="shared" ref="J36" si="2">SUM(G36*I36)</f>
        <v>0</v>
      </c>
      <c r="K36" s="12"/>
      <c r="L36" s="12"/>
    </row>
    <row r="37" spans="2:12">
      <c r="B37" s="119" t="s">
        <v>161</v>
      </c>
      <c r="C37" s="11" t="s">
        <v>162</v>
      </c>
      <c r="D37" s="142" t="s">
        <v>163</v>
      </c>
      <c r="E37" s="113" t="s">
        <v>20</v>
      </c>
      <c r="F37" s="113" t="s">
        <v>17</v>
      </c>
      <c r="G37" s="40">
        <v>20</v>
      </c>
      <c r="H37" s="40">
        <v>40</v>
      </c>
      <c r="I37" s="81"/>
      <c r="J37" s="69">
        <f t="shared" ref="J37:J38" si="3">SUM(G37*I37)</f>
        <v>0</v>
      </c>
      <c r="K37" s="12"/>
      <c r="L37" s="12"/>
    </row>
    <row r="38" spans="2:12">
      <c r="B38" s="119" t="s">
        <v>164</v>
      </c>
      <c r="C38" s="11" t="s">
        <v>165</v>
      </c>
      <c r="D38" s="141"/>
      <c r="E38" s="113" t="s">
        <v>21</v>
      </c>
      <c r="F38" s="113" t="s">
        <v>17</v>
      </c>
      <c r="G38" s="40">
        <v>20</v>
      </c>
      <c r="H38" s="40">
        <v>40</v>
      </c>
      <c r="I38" s="81"/>
      <c r="J38" s="69">
        <f t="shared" si="3"/>
        <v>0</v>
      </c>
      <c r="K38" s="12"/>
      <c r="L38" s="12"/>
    </row>
    <row r="39" spans="2:12">
      <c r="B39" s="111" t="s">
        <v>166</v>
      </c>
      <c r="C39" s="9" t="s">
        <v>167</v>
      </c>
      <c r="D39" s="139" t="s">
        <v>168</v>
      </c>
      <c r="E39" s="112" t="s">
        <v>108</v>
      </c>
      <c r="F39" s="112" t="s">
        <v>17</v>
      </c>
      <c r="G39" s="19">
        <v>17</v>
      </c>
      <c r="H39" s="19">
        <v>34</v>
      </c>
      <c r="I39" s="125"/>
      <c r="J39" s="69">
        <f>SUM(G39*I39)</f>
        <v>0</v>
      </c>
      <c r="K39" s="12"/>
      <c r="L39" s="12"/>
    </row>
    <row r="40" spans="2:12">
      <c r="B40" s="111" t="s">
        <v>169</v>
      </c>
      <c r="C40" s="9" t="s">
        <v>170</v>
      </c>
      <c r="D40" s="141"/>
      <c r="E40" s="112" t="s">
        <v>171</v>
      </c>
      <c r="F40" s="112" t="s">
        <v>17</v>
      </c>
      <c r="G40" s="19">
        <v>17</v>
      </c>
      <c r="H40" s="19">
        <v>34</v>
      </c>
      <c r="I40" s="125"/>
      <c r="J40" s="69">
        <f t="shared" ref="J40" si="4">SUM(G40*I40)</f>
        <v>0</v>
      </c>
      <c r="K40" s="12"/>
      <c r="L40" s="12"/>
    </row>
    <row r="41" spans="2:12">
      <c r="B41" s="153" t="s">
        <v>106</v>
      </c>
      <c r="C41" s="154"/>
      <c r="D41" s="154"/>
      <c r="E41" s="154"/>
      <c r="F41" s="154"/>
      <c r="G41" s="154"/>
      <c r="H41" s="154"/>
      <c r="I41" s="154"/>
      <c r="J41" s="158"/>
      <c r="K41" s="12"/>
      <c r="L41" s="12"/>
    </row>
    <row r="42" spans="2:12" ht="16" customHeight="1">
      <c r="B42" s="111" t="s">
        <v>172</v>
      </c>
      <c r="C42" s="9" t="s">
        <v>173</v>
      </c>
      <c r="D42" s="139" t="s">
        <v>104</v>
      </c>
      <c r="E42" s="112" t="s">
        <v>20</v>
      </c>
      <c r="F42" s="112" t="s">
        <v>17</v>
      </c>
      <c r="G42" s="19">
        <v>12</v>
      </c>
      <c r="H42" s="19">
        <v>24</v>
      </c>
      <c r="I42" s="41"/>
      <c r="J42" s="42">
        <f>SUM(G42*I42)</f>
        <v>0</v>
      </c>
      <c r="K42" s="12"/>
      <c r="L42" s="12"/>
    </row>
    <row r="43" spans="2:12" ht="16" customHeight="1">
      <c r="B43" s="111" t="s">
        <v>174</v>
      </c>
      <c r="C43" s="9" t="s">
        <v>185</v>
      </c>
      <c r="D43" s="140"/>
      <c r="E43" s="112" t="s">
        <v>186</v>
      </c>
      <c r="F43" s="112" t="s">
        <v>17</v>
      </c>
      <c r="G43" s="19">
        <v>12</v>
      </c>
      <c r="H43" s="19">
        <v>24</v>
      </c>
      <c r="I43" s="41"/>
      <c r="J43" s="42">
        <f t="shared" ref="J43:J95" si="5">SUM(G43*I43)</f>
        <v>0</v>
      </c>
      <c r="K43" s="12"/>
      <c r="L43" s="12"/>
    </row>
    <row r="44" spans="2:12" ht="16" customHeight="1">
      <c r="B44" s="111" t="s">
        <v>176</v>
      </c>
      <c r="C44" s="9" t="s">
        <v>177</v>
      </c>
      <c r="D44" s="140"/>
      <c r="E44" s="112" t="s">
        <v>107</v>
      </c>
      <c r="F44" s="112" t="s">
        <v>17</v>
      </c>
      <c r="G44" s="19">
        <v>12</v>
      </c>
      <c r="H44" s="19">
        <v>24</v>
      </c>
      <c r="I44" s="41"/>
      <c r="J44" s="42">
        <f t="shared" si="5"/>
        <v>0</v>
      </c>
      <c r="K44" s="12"/>
      <c r="L44" s="12"/>
    </row>
    <row r="45" spans="2:12" ht="16" customHeight="1">
      <c r="B45" s="111" t="s">
        <v>178</v>
      </c>
      <c r="C45" s="9" t="s">
        <v>175</v>
      </c>
      <c r="D45" s="140"/>
      <c r="E45" s="112" t="s">
        <v>26</v>
      </c>
      <c r="F45" s="112" t="s">
        <v>17</v>
      </c>
      <c r="G45" s="19">
        <v>12</v>
      </c>
      <c r="H45" s="19">
        <v>24</v>
      </c>
      <c r="I45" s="41"/>
      <c r="J45" s="42">
        <f t="shared" si="5"/>
        <v>0</v>
      </c>
      <c r="K45" s="12"/>
      <c r="L45" s="12"/>
    </row>
    <row r="46" spans="2:12" ht="16" customHeight="1">
      <c r="B46" s="111" t="s">
        <v>181</v>
      </c>
      <c r="C46" s="9" t="s">
        <v>179</v>
      </c>
      <c r="D46" s="140"/>
      <c r="E46" s="112" t="s">
        <v>180</v>
      </c>
      <c r="F46" s="112" t="s">
        <v>17</v>
      </c>
      <c r="G46" s="19">
        <v>12</v>
      </c>
      <c r="H46" s="19">
        <v>24</v>
      </c>
      <c r="I46" s="41"/>
      <c r="J46" s="42">
        <f t="shared" si="5"/>
        <v>0</v>
      </c>
      <c r="K46" s="12"/>
      <c r="L46" s="12"/>
    </row>
    <row r="47" spans="2:12" ht="16" customHeight="1">
      <c r="B47" s="111" t="s">
        <v>184</v>
      </c>
      <c r="C47" s="9" t="s">
        <v>182</v>
      </c>
      <c r="D47" s="141"/>
      <c r="E47" s="112" t="s">
        <v>183</v>
      </c>
      <c r="F47" s="112" t="s">
        <v>17</v>
      </c>
      <c r="G47" s="19">
        <v>12</v>
      </c>
      <c r="H47" s="19">
        <v>24</v>
      </c>
      <c r="I47" s="41"/>
      <c r="J47" s="42">
        <f t="shared" si="5"/>
        <v>0</v>
      </c>
      <c r="K47" s="12"/>
      <c r="L47" s="12"/>
    </row>
    <row r="48" spans="2:12" ht="16" customHeight="1">
      <c r="B48" s="119" t="s">
        <v>187</v>
      </c>
      <c r="C48" s="11" t="s">
        <v>190</v>
      </c>
      <c r="D48" s="159" t="s">
        <v>105</v>
      </c>
      <c r="E48" s="113" t="s">
        <v>20</v>
      </c>
      <c r="F48" s="113" t="s">
        <v>17</v>
      </c>
      <c r="G48" s="40">
        <v>12</v>
      </c>
      <c r="H48" s="40">
        <v>24</v>
      </c>
      <c r="I48" s="11"/>
      <c r="J48" s="42">
        <f t="shared" si="5"/>
        <v>0</v>
      </c>
      <c r="K48" s="12"/>
      <c r="L48" s="12"/>
    </row>
    <row r="49" spans="2:12" ht="16" customHeight="1">
      <c r="B49" s="119" t="s">
        <v>189</v>
      </c>
      <c r="C49" s="11" t="s">
        <v>188</v>
      </c>
      <c r="D49" s="160"/>
      <c r="E49" s="113" t="s">
        <v>34</v>
      </c>
      <c r="F49" s="113" t="s">
        <v>17</v>
      </c>
      <c r="G49" s="40">
        <v>12</v>
      </c>
      <c r="H49" s="40">
        <v>24</v>
      </c>
      <c r="I49" s="11"/>
      <c r="J49" s="42">
        <f t="shared" si="5"/>
        <v>0</v>
      </c>
      <c r="K49" s="12"/>
      <c r="L49" s="12"/>
    </row>
    <row r="50" spans="2:12" ht="16" customHeight="1">
      <c r="B50" s="119" t="s">
        <v>191</v>
      </c>
      <c r="C50" s="11" t="s">
        <v>192</v>
      </c>
      <c r="D50" s="160"/>
      <c r="E50" s="113" t="s">
        <v>31</v>
      </c>
      <c r="F50" s="113" t="s">
        <v>17</v>
      </c>
      <c r="G50" s="40">
        <v>12</v>
      </c>
      <c r="H50" s="40">
        <v>24</v>
      </c>
      <c r="I50" s="11"/>
      <c r="J50" s="42">
        <f t="shared" si="5"/>
        <v>0</v>
      </c>
      <c r="K50" s="12"/>
      <c r="L50" s="12"/>
    </row>
    <row r="51" spans="2:12" ht="16" customHeight="1">
      <c r="B51" s="119" t="s">
        <v>193</v>
      </c>
      <c r="C51" s="11" t="s">
        <v>194</v>
      </c>
      <c r="D51" s="161"/>
      <c r="E51" s="113" t="s">
        <v>1113</v>
      </c>
      <c r="F51" s="113" t="s">
        <v>17</v>
      </c>
      <c r="G51" s="40">
        <v>12</v>
      </c>
      <c r="H51" s="40">
        <v>24</v>
      </c>
      <c r="I51" s="11"/>
      <c r="J51" s="42">
        <f t="shared" si="5"/>
        <v>0</v>
      </c>
      <c r="K51" s="12"/>
      <c r="L51" s="12"/>
    </row>
    <row r="52" spans="2:12" ht="16" customHeight="1">
      <c r="B52" s="153" t="s">
        <v>68</v>
      </c>
      <c r="C52" s="154"/>
      <c r="D52" s="154"/>
      <c r="E52" s="154"/>
      <c r="F52" s="154"/>
      <c r="G52" s="154"/>
      <c r="H52" s="154"/>
      <c r="I52" s="154"/>
      <c r="J52" s="155"/>
      <c r="K52" s="12"/>
      <c r="L52" s="12"/>
    </row>
    <row r="53" spans="2:12" ht="16" customHeight="1">
      <c r="B53" s="111" t="s">
        <v>201</v>
      </c>
      <c r="C53" s="9" t="s">
        <v>202</v>
      </c>
      <c r="D53" s="139" t="s">
        <v>203</v>
      </c>
      <c r="E53" s="112" t="s">
        <v>20</v>
      </c>
      <c r="F53" s="112" t="s">
        <v>17</v>
      </c>
      <c r="G53" s="19">
        <v>10</v>
      </c>
      <c r="H53" s="19">
        <v>20</v>
      </c>
      <c r="I53" s="9"/>
      <c r="J53" s="42">
        <f>SUM(G53*I53)</f>
        <v>0</v>
      </c>
      <c r="K53" s="12"/>
      <c r="L53" s="12"/>
    </row>
    <row r="54" spans="2:12" ht="16" customHeight="1">
      <c r="B54" s="111" t="s">
        <v>204</v>
      </c>
      <c r="C54" s="9" t="s">
        <v>205</v>
      </c>
      <c r="D54" s="146"/>
      <c r="E54" s="112" t="s">
        <v>195</v>
      </c>
      <c r="F54" s="112" t="s">
        <v>17</v>
      </c>
      <c r="G54" s="19">
        <v>10</v>
      </c>
      <c r="H54" s="19">
        <v>20</v>
      </c>
      <c r="I54" s="9"/>
      <c r="J54" s="42">
        <f t="shared" si="5"/>
        <v>0</v>
      </c>
      <c r="K54" s="12"/>
      <c r="L54" s="12"/>
    </row>
    <row r="55" spans="2:12" ht="16" customHeight="1">
      <c r="B55" s="111" t="s">
        <v>212</v>
      </c>
      <c r="C55" s="9" t="s">
        <v>213</v>
      </c>
      <c r="D55" s="146"/>
      <c r="E55" s="112" t="s">
        <v>32</v>
      </c>
      <c r="F55" s="112" t="s">
        <v>17</v>
      </c>
      <c r="G55" s="19">
        <v>10</v>
      </c>
      <c r="H55" s="19">
        <v>20</v>
      </c>
      <c r="I55" s="9"/>
      <c r="J55" s="42">
        <f t="shared" si="5"/>
        <v>0</v>
      </c>
      <c r="K55" s="12"/>
      <c r="L55" s="12"/>
    </row>
    <row r="56" spans="2:12" ht="16" customHeight="1">
      <c r="B56" s="111" t="s">
        <v>210</v>
      </c>
      <c r="C56" s="9" t="s">
        <v>211</v>
      </c>
      <c r="D56" s="146"/>
      <c r="E56" s="112" t="s">
        <v>196</v>
      </c>
      <c r="F56" s="112" t="s">
        <v>17</v>
      </c>
      <c r="G56" s="19">
        <v>10</v>
      </c>
      <c r="H56" s="19">
        <v>20</v>
      </c>
      <c r="I56" s="9"/>
      <c r="J56" s="42">
        <f t="shared" si="5"/>
        <v>0</v>
      </c>
      <c r="K56" s="12"/>
      <c r="L56" s="12"/>
    </row>
    <row r="57" spans="2:12" ht="16" customHeight="1">
      <c r="B57" s="111" t="s">
        <v>216</v>
      </c>
      <c r="C57" s="9" t="s">
        <v>217</v>
      </c>
      <c r="D57" s="146"/>
      <c r="E57" s="112" t="s">
        <v>112</v>
      </c>
      <c r="F57" s="112" t="s">
        <v>17</v>
      </c>
      <c r="G57" s="19">
        <v>10</v>
      </c>
      <c r="H57" s="19">
        <v>20</v>
      </c>
      <c r="I57" s="9"/>
      <c r="J57" s="42">
        <f t="shared" si="5"/>
        <v>0</v>
      </c>
      <c r="K57" s="12"/>
      <c r="L57" s="12"/>
    </row>
    <row r="58" spans="2:12" ht="16" customHeight="1">
      <c r="B58" s="111" t="s">
        <v>214</v>
      </c>
      <c r="C58" s="9" t="s">
        <v>215</v>
      </c>
      <c r="D58" s="146"/>
      <c r="E58" s="112" t="s">
        <v>197</v>
      </c>
      <c r="F58" s="112" t="s">
        <v>17</v>
      </c>
      <c r="G58" s="19">
        <v>10</v>
      </c>
      <c r="H58" s="19">
        <v>20</v>
      </c>
      <c r="I58" s="9"/>
      <c r="J58" s="42">
        <f t="shared" si="5"/>
        <v>0</v>
      </c>
      <c r="K58" s="12"/>
      <c r="L58" s="12"/>
    </row>
    <row r="59" spans="2:12" ht="16" customHeight="1">
      <c r="B59" s="111" t="s">
        <v>206</v>
      </c>
      <c r="C59" s="9" t="s">
        <v>207</v>
      </c>
      <c r="D59" s="146"/>
      <c r="E59" s="112" t="s">
        <v>107</v>
      </c>
      <c r="F59" s="112" t="s">
        <v>17</v>
      </c>
      <c r="G59" s="19">
        <v>10</v>
      </c>
      <c r="H59" s="19">
        <v>20</v>
      </c>
      <c r="I59" s="9"/>
      <c r="J59" s="42">
        <f t="shared" si="5"/>
        <v>0</v>
      </c>
      <c r="K59" s="12"/>
      <c r="L59" s="12"/>
    </row>
    <row r="60" spans="2:12" ht="16" customHeight="1">
      <c r="B60" s="111" t="s">
        <v>220</v>
      </c>
      <c r="C60" s="9" t="s">
        <v>221</v>
      </c>
      <c r="D60" s="146"/>
      <c r="E60" s="112" t="s">
        <v>199</v>
      </c>
      <c r="F60" s="112" t="s">
        <v>17</v>
      </c>
      <c r="G60" s="19">
        <v>10</v>
      </c>
      <c r="H60" s="19">
        <v>20</v>
      </c>
      <c r="I60" s="9"/>
      <c r="J60" s="42">
        <f t="shared" si="5"/>
        <v>0</v>
      </c>
      <c r="K60" s="12"/>
      <c r="L60" s="12"/>
    </row>
    <row r="61" spans="2:12" ht="16" customHeight="1">
      <c r="B61" s="111" t="s">
        <v>222</v>
      </c>
      <c r="C61" s="9" t="s">
        <v>223</v>
      </c>
      <c r="D61" s="146"/>
      <c r="E61" s="112" t="s">
        <v>200</v>
      </c>
      <c r="F61" s="112" t="s">
        <v>17</v>
      </c>
      <c r="G61" s="19">
        <v>10</v>
      </c>
      <c r="H61" s="19">
        <v>20</v>
      </c>
      <c r="I61" s="9"/>
      <c r="J61" s="42">
        <f t="shared" si="5"/>
        <v>0</v>
      </c>
      <c r="K61" s="12"/>
      <c r="L61" s="12"/>
    </row>
    <row r="62" spans="2:12" ht="16" customHeight="1">
      <c r="B62" s="111" t="s">
        <v>218</v>
      </c>
      <c r="C62" s="9" t="s">
        <v>219</v>
      </c>
      <c r="D62" s="146"/>
      <c r="E62" s="112" t="s">
        <v>198</v>
      </c>
      <c r="F62" s="112" t="s">
        <v>17</v>
      </c>
      <c r="G62" s="19">
        <v>10</v>
      </c>
      <c r="H62" s="19">
        <v>20</v>
      </c>
      <c r="I62" s="9"/>
      <c r="J62" s="42">
        <f t="shared" ref="J62:J64" si="6">SUM(G62*I62)</f>
        <v>0</v>
      </c>
      <c r="K62" s="12"/>
      <c r="L62" s="12"/>
    </row>
    <row r="63" spans="2:12" ht="16" customHeight="1">
      <c r="B63" s="111" t="s">
        <v>224</v>
      </c>
      <c r="C63" s="9" t="s">
        <v>225</v>
      </c>
      <c r="D63" s="146"/>
      <c r="E63" s="112" t="s">
        <v>171</v>
      </c>
      <c r="F63" s="112" t="s">
        <v>17</v>
      </c>
      <c r="G63" s="19">
        <v>10</v>
      </c>
      <c r="H63" s="19">
        <v>20</v>
      </c>
      <c r="I63" s="9"/>
      <c r="J63" s="42">
        <f t="shared" si="6"/>
        <v>0</v>
      </c>
      <c r="K63" s="12"/>
      <c r="L63" s="12"/>
    </row>
    <row r="64" spans="2:12" ht="16" customHeight="1">
      <c r="B64" s="111" t="s">
        <v>208</v>
      </c>
      <c r="C64" s="9" t="s">
        <v>209</v>
      </c>
      <c r="D64" s="147"/>
      <c r="E64" s="112" t="s">
        <v>29</v>
      </c>
      <c r="F64" s="112" t="s">
        <v>17</v>
      </c>
      <c r="G64" s="19">
        <v>10</v>
      </c>
      <c r="H64" s="19">
        <v>20</v>
      </c>
      <c r="I64" s="9"/>
      <c r="J64" s="42">
        <f t="shared" si="6"/>
        <v>0</v>
      </c>
      <c r="K64" s="12"/>
      <c r="L64" s="12"/>
    </row>
    <row r="65" spans="2:12" ht="16" customHeight="1">
      <c r="B65" s="119" t="s">
        <v>233</v>
      </c>
      <c r="C65" s="11" t="s">
        <v>234</v>
      </c>
      <c r="D65" s="142" t="s">
        <v>228</v>
      </c>
      <c r="E65" s="113" t="s">
        <v>20</v>
      </c>
      <c r="F65" s="113" t="s">
        <v>17</v>
      </c>
      <c r="G65" s="40">
        <v>11</v>
      </c>
      <c r="H65" s="40">
        <v>22</v>
      </c>
      <c r="I65" s="11"/>
      <c r="J65" s="42">
        <f t="shared" si="5"/>
        <v>0</v>
      </c>
      <c r="K65" s="12"/>
      <c r="L65" s="12"/>
    </row>
    <row r="66" spans="2:12" ht="16" customHeight="1">
      <c r="B66" s="119" t="s">
        <v>230</v>
      </c>
      <c r="C66" s="11" t="s">
        <v>231</v>
      </c>
      <c r="D66" s="148"/>
      <c r="E66" s="113" t="s">
        <v>232</v>
      </c>
      <c r="F66" s="113" t="s">
        <v>17</v>
      </c>
      <c r="G66" s="40">
        <v>11</v>
      </c>
      <c r="H66" s="40">
        <v>22</v>
      </c>
      <c r="I66" s="11"/>
      <c r="J66" s="42">
        <f t="shared" ref="J66" si="7">SUM(G66*I66)</f>
        <v>0</v>
      </c>
      <c r="K66" s="12"/>
      <c r="L66" s="12"/>
    </row>
    <row r="67" spans="2:12" ht="16" customHeight="1">
      <c r="B67" s="119" t="s">
        <v>226</v>
      </c>
      <c r="C67" s="11" t="s">
        <v>227</v>
      </c>
      <c r="D67" s="149"/>
      <c r="E67" s="113" t="s">
        <v>229</v>
      </c>
      <c r="F67" s="113" t="s">
        <v>17</v>
      </c>
      <c r="G67" s="40">
        <v>11</v>
      </c>
      <c r="H67" s="40">
        <v>22</v>
      </c>
      <c r="I67" s="11"/>
      <c r="J67" s="42">
        <f t="shared" ref="J67" si="8">SUM(G67*I67)</f>
        <v>0</v>
      </c>
      <c r="K67" s="12"/>
      <c r="L67" s="12"/>
    </row>
    <row r="68" spans="2:12" ht="16" customHeight="1">
      <c r="B68" s="111" t="s">
        <v>235</v>
      </c>
      <c r="C68" s="9" t="s">
        <v>236</v>
      </c>
      <c r="D68" s="139" t="s">
        <v>109</v>
      </c>
      <c r="E68" s="112" t="s">
        <v>20</v>
      </c>
      <c r="F68" s="112" t="s">
        <v>17</v>
      </c>
      <c r="G68" s="19">
        <v>12</v>
      </c>
      <c r="H68" s="19">
        <v>24</v>
      </c>
      <c r="I68" s="9"/>
      <c r="J68" s="42">
        <f t="shared" si="5"/>
        <v>0</v>
      </c>
      <c r="K68" s="12"/>
      <c r="L68" s="12"/>
    </row>
    <row r="69" spans="2:12" ht="16" customHeight="1">
      <c r="B69" s="111" t="s">
        <v>237</v>
      </c>
      <c r="C69" s="9" t="s">
        <v>238</v>
      </c>
      <c r="D69" s="140"/>
      <c r="E69" s="112" t="s">
        <v>31</v>
      </c>
      <c r="F69" s="112" t="s">
        <v>17</v>
      </c>
      <c r="G69" s="19">
        <v>12</v>
      </c>
      <c r="H69" s="19">
        <v>24</v>
      </c>
      <c r="I69" s="9"/>
      <c r="J69" s="42">
        <f t="shared" si="5"/>
        <v>0</v>
      </c>
      <c r="K69" s="12"/>
      <c r="L69" s="12"/>
    </row>
    <row r="70" spans="2:12" ht="16" customHeight="1">
      <c r="B70" s="111" t="s">
        <v>239</v>
      </c>
      <c r="C70" s="9" t="s">
        <v>240</v>
      </c>
      <c r="D70" s="141"/>
      <c r="E70" s="112" t="s">
        <v>34</v>
      </c>
      <c r="F70" s="112" t="s">
        <v>17</v>
      </c>
      <c r="G70" s="19">
        <v>12</v>
      </c>
      <c r="H70" s="19">
        <v>24</v>
      </c>
      <c r="I70" s="9"/>
      <c r="J70" s="42">
        <f t="shared" si="5"/>
        <v>0</v>
      </c>
      <c r="K70" s="12"/>
      <c r="L70" s="12"/>
    </row>
    <row r="71" spans="2:12" ht="16" customHeight="1">
      <c r="B71" s="119" t="s">
        <v>241</v>
      </c>
      <c r="C71" s="11" t="s">
        <v>242</v>
      </c>
      <c r="D71" s="142" t="s">
        <v>243</v>
      </c>
      <c r="E71" s="113" t="s">
        <v>20</v>
      </c>
      <c r="F71" s="113" t="s">
        <v>17</v>
      </c>
      <c r="G71" s="40">
        <v>12</v>
      </c>
      <c r="H71" s="40">
        <v>24</v>
      </c>
      <c r="I71" s="11"/>
      <c r="J71" s="42">
        <f t="shared" si="5"/>
        <v>0</v>
      </c>
      <c r="K71" s="12"/>
      <c r="L71" s="12"/>
    </row>
    <row r="72" spans="2:12" ht="16" customHeight="1">
      <c r="B72" s="119" t="s">
        <v>244</v>
      </c>
      <c r="C72" s="11" t="s">
        <v>245</v>
      </c>
      <c r="D72" s="140"/>
      <c r="E72" s="113" t="s">
        <v>22</v>
      </c>
      <c r="F72" s="113" t="s">
        <v>17</v>
      </c>
      <c r="G72" s="40">
        <v>12</v>
      </c>
      <c r="H72" s="40">
        <v>24</v>
      </c>
      <c r="I72" s="11"/>
      <c r="J72" s="42">
        <f t="shared" si="5"/>
        <v>0</v>
      </c>
      <c r="K72" s="12"/>
      <c r="L72" s="12"/>
    </row>
    <row r="73" spans="2:12" ht="16" customHeight="1">
      <c r="B73" s="119" t="s">
        <v>246</v>
      </c>
      <c r="C73" s="11" t="s">
        <v>247</v>
      </c>
      <c r="D73" s="141"/>
      <c r="E73" s="113" t="s">
        <v>180</v>
      </c>
      <c r="F73" s="113" t="s">
        <v>17</v>
      </c>
      <c r="G73" s="40">
        <v>12</v>
      </c>
      <c r="H73" s="40">
        <v>24</v>
      </c>
      <c r="I73" s="11"/>
      <c r="J73" s="42">
        <f t="shared" si="5"/>
        <v>0</v>
      </c>
      <c r="K73" s="12"/>
      <c r="L73" s="12"/>
    </row>
    <row r="74" spans="2:12" ht="16" customHeight="1">
      <c r="B74" s="111" t="s">
        <v>254</v>
      </c>
      <c r="C74" s="9" t="s">
        <v>255</v>
      </c>
      <c r="D74" s="139" t="s">
        <v>53</v>
      </c>
      <c r="E74" s="112" t="s">
        <v>20</v>
      </c>
      <c r="F74" s="112" t="s">
        <v>17</v>
      </c>
      <c r="G74" s="19">
        <v>13</v>
      </c>
      <c r="H74" s="19">
        <v>26</v>
      </c>
      <c r="I74" s="9"/>
      <c r="J74" s="42">
        <f t="shared" si="5"/>
        <v>0</v>
      </c>
      <c r="K74" s="12"/>
      <c r="L74" s="12"/>
    </row>
    <row r="75" spans="2:12" ht="16" customHeight="1">
      <c r="B75" s="111" t="s">
        <v>256</v>
      </c>
      <c r="C75" s="9" t="s">
        <v>257</v>
      </c>
      <c r="D75" s="146"/>
      <c r="E75" s="112" t="s">
        <v>107</v>
      </c>
      <c r="F75" s="112" t="s">
        <v>17</v>
      </c>
      <c r="G75" s="19">
        <v>13</v>
      </c>
      <c r="H75" s="19">
        <v>26</v>
      </c>
      <c r="I75" s="9"/>
      <c r="J75" s="42">
        <f t="shared" si="5"/>
        <v>0</v>
      </c>
      <c r="K75" s="12"/>
      <c r="L75" s="12"/>
    </row>
    <row r="76" spans="2:12" ht="16" customHeight="1">
      <c r="B76" s="111" t="s">
        <v>260</v>
      </c>
      <c r="C76" s="9" t="s">
        <v>261</v>
      </c>
      <c r="D76" s="146"/>
      <c r="E76" s="112" t="s">
        <v>22</v>
      </c>
      <c r="F76" s="112" t="s">
        <v>17</v>
      </c>
      <c r="G76" s="19">
        <v>13</v>
      </c>
      <c r="H76" s="19">
        <v>26</v>
      </c>
      <c r="I76" s="9"/>
      <c r="J76" s="42">
        <f t="shared" si="5"/>
        <v>0</v>
      </c>
      <c r="K76" s="12"/>
      <c r="L76" s="12"/>
    </row>
    <row r="77" spans="2:12" ht="16" customHeight="1">
      <c r="B77" s="111" t="s">
        <v>258</v>
      </c>
      <c r="C77" s="9" t="s">
        <v>259</v>
      </c>
      <c r="D77" s="147"/>
      <c r="E77" s="112" t="s">
        <v>112</v>
      </c>
      <c r="F77" s="112" t="s">
        <v>17</v>
      </c>
      <c r="G77" s="19">
        <v>13</v>
      </c>
      <c r="H77" s="19">
        <v>26</v>
      </c>
      <c r="I77" s="9"/>
      <c r="J77" s="42">
        <f t="shared" ref="J77" si="9">SUM(G77*I77)</f>
        <v>0</v>
      </c>
      <c r="K77" s="12"/>
      <c r="L77" s="12"/>
    </row>
    <row r="78" spans="2:12" ht="16" customHeight="1">
      <c r="B78" s="119" t="s">
        <v>262</v>
      </c>
      <c r="C78" s="11" t="s">
        <v>263</v>
      </c>
      <c r="D78" s="142" t="s">
        <v>55</v>
      </c>
      <c r="E78" s="113" t="s">
        <v>20</v>
      </c>
      <c r="F78" s="113" t="s">
        <v>17</v>
      </c>
      <c r="G78" s="40">
        <v>13</v>
      </c>
      <c r="H78" s="40">
        <v>26</v>
      </c>
      <c r="I78" s="11"/>
      <c r="J78" s="42">
        <f t="shared" si="5"/>
        <v>0</v>
      </c>
      <c r="K78" s="12"/>
      <c r="L78" s="12"/>
    </row>
    <row r="79" spans="2:12" ht="16" customHeight="1">
      <c r="B79" s="119" t="s">
        <v>264</v>
      </c>
      <c r="C79" s="11" t="s">
        <v>265</v>
      </c>
      <c r="D79" s="143"/>
      <c r="E79" s="113" t="s">
        <v>31</v>
      </c>
      <c r="F79" s="113" t="s">
        <v>17</v>
      </c>
      <c r="G79" s="40">
        <v>13</v>
      </c>
      <c r="H79" s="40">
        <v>26</v>
      </c>
      <c r="I79" s="11"/>
      <c r="J79" s="42">
        <f t="shared" si="5"/>
        <v>0</v>
      </c>
      <c r="K79" s="12"/>
      <c r="L79" s="12"/>
    </row>
    <row r="80" spans="2:12" ht="16" customHeight="1">
      <c r="B80" s="119" t="s">
        <v>266</v>
      </c>
      <c r="C80" s="11" t="s">
        <v>267</v>
      </c>
      <c r="D80" s="143"/>
      <c r="E80" s="113" t="s">
        <v>268</v>
      </c>
      <c r="F80" s="113" t="s">
        <v>17</v>
      </c>
      <c r="G80" s="40">
        <v>13</v>
      </c>
      <c r="H80" s="40">
        <v>26</v>
      </c>
      <c r="I80" s="11"/>
      <c r="J80" s="42">
        <f t="shared" si="5"/>
        <v>0</v>
      </c>
      <c r="K80" s="12"/>
      <c r="L80" s="12"/>
    </row>
    <row r="81" spans="2:12" ht="16" customHeight="1">
      <c r="B81" s="119" t="s">
        <v>269</v>
      </c>
      <c r="C81" s="11" t="s">
        <v>270</v>
      </c>
      <c r="D81" s="144"/>
      <c r="E81" s="113" t="s">
        <v>197</v>
      </c>
      <c r="F81" s="113" t="s">
        <v>17</v>
      </c>
      <c r="G81" s="40">
        <v>13</v>
      </c>
      <c r="H81" s="40">
        <v>26</v>
      </c>
      <c r="I81" s="11"/>
      <c r="J81" s="42">
        <f t="shared" si="5"/>
        <v>0</v>
      </c>
      <c r="K81" s="12"/>
      <c r="L81" s="12"/>
    </row>
    <row r="82" spans="2:12" ht="16" customHeight="1">
      <c r="B82" s="111" t="s">
        <v>248</v>
      </c>
      <c r="C82" s="9" t="s">
        <v>249</v>
      </c>
      <c r="D82" s="139" t="s">
        <v>52</v>
      </c>
      <c r="E82" s="112" t="s">
        <v>20</v>
      </c>
      <c r="F82" s="112" t="s">
        <v>17</v>
      </c>
      <c r="G82" s="19">
        <v>13</v>
      </c>
      <c r="H82" s="19">
        <v>26</v>
      </c>
      <c r="I82" s="9"/>
      <c r="J82" s="42">
        <f t="shared" ref="J82:J84" si="10">SUM(G82*I82)</f>
        <v>0</v>
      </c>
      <c r="K82" s="12"/>
      <c r="L82" s="12"/>
    </row>
    <row r="83" spans="2:12" ht="16" customHeight="1">
      <c r="B83" s="111" t="s">
        <v>252</v>
      </c>
      <c r="C83" s="9" t="s">
        <v>253</v>
      </c>
      <c r="D83" s="146"/>
      <c r="E83" s="112" t="s">
        <v>26</v>
      </c>
      <c r="F83" s="112" t="s">
        <v>17</v>
      </c>
      <c r="G83" s="19">
        <v>13</v>
      </c>
      <c r="H83" s="19">
        <v>26</v>
      </c>
      <c r="I83" s="9"/>
      <c r="J83" s="42">
        <f t="shared" ref="J83" si="11">SUM(G83*I83)</f>
        <v>0</v>
      </c>
      <c r="K83" s="12"/>
      <c r="L83" s="12"/>
    </row>
    <row r="84" spans="2:12" ht="16" customHeight="1">
      <c r="B84" s="111" t="s">
        <v>250</v>
      </c>
      <c r="C84" s="9" t="s">
        <v>251</v>
      </c>
      <c r="D84" s="147"/>
      <c r="E84" s="112" t="s">
        <v>29</v>
      </c>
      <c r="F84" s="112" t="s">
        <v>17</v>
      </c>
      <c r="G84" s="19">
        <v>13</v>
      </c>
      <c r="H84" s="19">
        <v>26</v>
      </c>
      <c r="I84" s="9"/>
      <c r="J84" s="42">
        <f t="shared" si="10"/>
        <v>0</v>
      </c>
      <c r="K84" s="12"/>
      <c r="L84" s="12"/>
    </row>
    <row r="85" spans="2:12" ht="16" customHeight="1">
      <c r="B85" s="119" t="s">
        <v>271</v>
      </c>
      <c r="C85" s="11" t="s">
        <v>272</v>
      </c>
      <c r="D85" s="142" t="s">
        <v>111</v>
      </c>
      <c r="E85" s="113" t="s">
        <v>195</v>
      </c>
      <c r="F85" s="113" t="s">
        <v>17</v>
      </c>
      <c r="G85" s="40">
        <v>12</v>
      </c>
      <c r="H85" s="40">
        <v>24</v>
      </c>
      <c r="I85" s="11"/>
      <c r="J85" s="42">
        <f t="shared" si="5"/>
        <v>0</v>
      </c>
      <c r="K85" s="12"/>
      <c r="L85" s="12"/>
    </row>
    <row r="86" spans="2:12" ht="16" customHeight="1">
      <c r="B86" s="119" t="s">
        <v>273</v>
      </c>
      <c r="C86" s="11" t="s">
        <v>274</v>
      </c>
      <c r="D86" s="140"/>
      <c r="E86" s="113" t="s">
        <v>31</v>
      </c>
      <c r="F86" s="113" t="s">
        <v>17</v>
      </c>
      <c r="G86" s="40">
        <v>12</v>
      </c>
      <c r="H86" s="40">
        <v>24</v>
      </c>
      <c r="I86" s="11"/>
      <c r="J86" s="42">
        <f t="shared" si="5"/>
        <v>0</v>
      </c>
      <c r="K86" s="12"/>
      <c r="L86" s="12"/>
    </row>
    <row r="87" spans="2:12" ht="16" customHeight="1">
      <c r="B87" s="119" t="s">
        <v>275</v>
      </c>
      <c r="C87" s="11" t="s">
        <v>276</v>
      </c>
      <c r="D87" s="141"/>
      <c r="E87" s="113" t="s">
        <v>112</v>
      </c>
      <c r="F87" s="113" t="s">
        <v>17</v>
      </c>
      <c r="G87" s="40">
        <v>12</v>
      </c>
      <c r="H87" s="40">
        <v>24</v>
      </c>
      <c r="I87" s="11"/>
      <c r="J87" s="42">
        <f t="shared" si="5"/>
        <v>0</v>
      </c>
      <c r="K87" s="12"/>
      <c r="L87" s="12"/>
    </row>
    <row r="88" spans="2:12" ht="16" customHeight="1">
      <c r="B88" s="111" t="s">
        <v>277</v>
      </c>
      <c r="C88" s="9" t="s">
        <v>278</v>
      </c>
      <c r="D88" s="139" t="s">
        <v>54</v>
      </c>
      <c r="E88" s="112" t="s">
        <v>20</v>
      </c>
      <c r="F88" s="112" t="s">
        <v>17</v>
      </c>
      <c r="G88" s="19">
        <v>13</v>
      </c>
      <c r="H88" s="19">
        <v>26</v>
      </c>
      <c r="I88" s="9"/>
      <c r="J88" s="42">
        <f t="shared" si="5"/>
        <v>0</v>
      </c>
      <c r="K88" s="12"/>
      <c r="L88" s="12"/>
    </row>
    <row r="89" spans="2:12" ht="16" customHeight="1">
      <c r="B89" s="111" t="s">
        <v>279</v>
      </c>
      <c r="C89" s="9" t="s">
        <v>280</v>
      </c>
      <c r="D89" s="146"/>
      <c r="E89" s="112" t="s">
        <v>107</v>
      </c>
      <c r="F89" s="112" t="s">
        <v>17</v>
      </c>
      <c r="G89" s="19">
        <v>13</v>
      </c>
      <c r="H89" s="19">
        <v>26</v>
      </c>
      <c r="I89" s="9"/>
      <c r="J89" s="42">
        <f t="shared" si="5"/>
        <v>0</v>
      </c>
      <c r="K89" s="12"/>
      <c r="L89" s="12"/>
    </row>
    <row r="90" spans="2:12" ht="16" customHeight="1">
      <c r="B90" s="111" t="s">
        <v>283</v>
      </c>
      <c r="C90" s="9" t="s">
        <v>284</v>
      </c>
      <c r="D90" s="146"/>
      <c r="E90" s="112" t="s">
        <v>110</v>
      </c>
      <c r="F90" s="112" t="s">
        <v>17</v>
      </c>
      <c r="G90" s="19">
        <v>13</v>
      </c>
      <c r="H90" s="19">
        <v>26</v>
      </c>
      <c r="I90" s="9"/>
      <c r="J90" s="42">
        <f t="shared" ref="J90" si="12">SUM(G90*I90)</f>
        <v>0</v>
      </c>
      <c r="K90" s="12"/>
      <c r="L90" s="12"/>
    </row>
    <row r="91" spans="2:12" ht="16" customHeight="1">
      <c r="B91" s="111" t="s">
        <v>281</v>
      </c>
      <c r="C91" s="9" t="s">
        <v>282</v>
      </c>
      <c r="D91" s="147"/>
      <c r="E91" s="112" t="s">
        <v>32</v>
      </c>
      <c r="F91" s="112" t="s">
        <v>17</v>
      </c>
      <c r="G91" s="19">
        <v>13</v>
      </c>
      <c r="H91" s="19">
        <v>26</v>
      </c>
      <c r="I91" s="9"/>
      <c r="J91" s="42">
        <f t="shared" si="5"/>
        <v>0</v>
      </c>
      <c r="K91" s="12"/>
      <c r="L91" s="12"/>
    </row>
    <row r="92" spans="2:12" ht="16" customHeight="1">
      <c r="B92" s="119" t="s">
        <v>285</v>
      </c>
      <c r="C92" s="11" t="s">
        <v>286</v>
      </c>
      <c r="D92" s="142" t="s">
        <v>56</v>
      </c>
      <c r="E92" s="113" t="s">
        <v>1114</v>
      </c>
      <c r="F92" s="113" t="s">
        <v>17</v>
      </c>
      <c r="G92" s="40">
        <v>13</v>
      </c>
      <c r="H92" s="40">
        <v>26</v>
      </c>
      <c r="I92" s="11"/>
      <c r="J92" s="42">
        <f t="shared" si="5"/>
        <v>0</v>
      </c>
      <c r="K92" s="12"/>
      <c r="L92" s="12"/>
    </row>
    <row r="93" spans="2:12" ht="16" customHeight="1">
      <c r="B93" s="119" t="s">
        <v>289</v>
      </c>
      <c r="C93" s="11" t="s">
        <v>290</v>
      </c>
      <c r="D93" s="146"/>
      <c r="E93" s="113" t="s">
        <v>1115</v>
      </c>
      <c r="F93" s="113" t="s">
        <v>17</v>
      </c>
      <c r="G93" s="40">
        <v>13</v>
      </c>
      <c r="H93" s="40">
        <v>26</v>
      </c>
      <c r="I93" s="11"/>
      <c r="J93" s="42">
        <f t="shared" ref="J93" si="13">SUM(G93*I93)</f>
        <v>0</v>
      </c>
      <c r="K93" s="12"/>
      <c r="L93" s="12"/>
    </row>
    <row r="94" spans="2:12" ht="16" customHeight="1">
      <c r="B94" s="119" t="s">
        <v>287</v>
      </c>
      <c r="C94" s="11" t="s">
        <v>288</v>
      </c>
      <c r="D94" s="146"/>
      <c r="E94" s="113" t="s">
        <v>1116</v>
      </c>
      <c r="F94" s="113" t="s">
        <v>17</v>
      </c>
      <c r="G94" s="40">
        <v>13</v>
      </c>
      <c r="H94" s="40">
        <v>26</v>
      </c>
      <c r="I94" s="11"/>
      <c r="J94" s="42">
        <f t="shared" si="5"/>
        <v>0</v>
      </c>
      <c r="K94" s="12"/>
      <c r="L94" s="12"/>
    </row>
    <row r="95" spans="2:12" ht="16" customHeight="1">
      <c r="B95" s="119" t="s">
        <v>292</v>
      </c>
      <c r="C95" s="11" t="s">
        <v>293</v>
      </c>
      <c r="D95" s="147"/>
      <c r="E95" s="113" t="s">
        <v>1117</v>
      </c>
      <c r="F95" s="113" t="s">
        <v>17</v>
      </c>
      <c r="G95" s="40">
        <v>13</v>
      </c>
      <c r="H95" s="40">
        <v>26</v>
      </c>
      <c r="I95" s="11"/>
      <c r="J95" s="42">
        <f t="shared" si="5"/>
        <v>0</v>
      </c>
      <c r="K95" s="12"/>
      <c r="L95" s="12"/>
    </row>
    <row r="96" spans="2:12" ht="16" customHeight="1">
      <c r="B96" s="153" t="s">
        <v>69</v>
      </c>
      <c r="C96" s="153"/>
      <c r="D96" s="153"/>
      <c r="E96" s="153"/>
      <c r="F96" s="153"/>
      <c r="G96" s="153"/>
      <c r="H96" s="153"/>
      <c r="I96" s="153"/>
      <c r="J96" s="162"/>
      <c r="K96" s="12"/>
      <c r="L96" s="12"/>
    </row>
    <row r="97" spans="2:12" ht="16" customHeight="1">
      <c r="B97" s="111" t="s">
        <v>294</v>
      </c>
      <c r="C97" s="9" t="s">
        <v>295</v>
      </c>
      <c r="D97" s="139" t="s">
        <v>296</v>
      </c>
      <c r="E97" s="112" t="s">
        <v>20</v>
      </c>
      <c r="F97" s="112" t="s">
        <v>17</v>
      </c>
      <c r="G97" s="19">
        <v>12</v>
      </c>
      <c r="H97" s="19">
        <v>24</v>
      </c>
      <c r="I97" s="9"/>
      <c r="J97" s="10">
        <f>SUM(G97*I97)</f>
        <v>0</v>
      </c>
      <c r="K97" s="12"/>
      <c r="L97" s="12"/>
    </row>
    <row r="98" spans="2:12" ht="16" customHeight="1">
      <c r="B98" s="111" t="s">
        <v>319</v>
      </c>
      <c r="C98" s="9" t="s">
        <v>320</v>
      </c>
      <c r="D98" s="146"/>
      <c r="E98" s="112" t="s">
        <v>1118</v>
      </c>
      <c r="F98" s="112" t="s">
        <v>17</v>
      </c>
      <c r="G98" s="19">
        <v>12</v>
      </c>
      <c r="H98" s="19">
        <v>24</v>
      </c>
      <c r="I98" s="9"/>
      <c r="J98" s="10">
        <f t="shared" ref="J98:J105" si="14">SUM(G98*I98)</f>
        <v>0</v>
      </c>
      <c r="K98" s="12"/>
      <c r="L98" s="12"/>
    </row>
    <row r="99" spans="2:12" ht="16" customHeight="1">
      <c r="B99" s="111" t="s">
        <v>305</v>
      </c>
      <c r="C99" s="9" t="s">
        <v>306</v>
      </c>
      <c r="D99" s="146"/>
      <c r="E99" s="112" t="s">
        <v>154</v>
      </c>
      <c r="F99" s="112" t="s">
        <v>17</v>
      </c>
      <c r="G99" s="19">
        <v>12</v>
      </c>
      <c r="H99" s="19">
        <v>24</v>
      </c>
      <c r="I99" s="9"/>
      <c r="J99" s="10">
        <f>SUM(G99*I99)</f>
        <v>0</v>
      </c>
      <c r="K99" s="12"/>
      <c r="L99" s="12"/>
    </row>
    <row r="100" spans="2:12" ht="16" customHeight="1">
      <c r="B100" s="111" t="s">
        <v>307</v>
      </c>
      <c r="C100" s="9" t="s">
        <v>308</v>
      </c>
      <c r="D100" s="146"/>
      <c r="E100" s="112" t="s">
        <v>309</v>
      </c>
      <c r="F100" s="112" t="s">
        <v>17</v>
      </c>
      <c r="G100" s="19">
        <v>12</v>
      </c>
      <c r="H100" s="19">
        <v>24</v>
      </c>
      <c r="I100" s="9"/>
      <c r="J100" s="10">
        <f t="shared" si="14"/>
        <v>0</v>
      </c>
      <c r="K100" s="12"/>
      <c r="L100" s="12"/>
    </row>
    <row r="101" spans="2:12" ht="16" customHeight="1">
      <c r="B101" s="111" t="s">
        <v>312</v>
      </c>
      <c r="C101" s="9" t="s">
        <v>313</v>
      </c>
      <c r="D101" s="146"/>
      <c r="E101" s="112" t="s">
        <v>314</v>
      </c>
      <c r="F101" s="112" t="s">
        <v>17</v>
      </c>
      <c r="G101" s="19">
        <v>12</v>
      </c>
      <c r="H101" s="19">
        <v>24</v>
      </c>
      <c r="I101" s="9"/>
      <c r="J101" s="10">
        <f t="shared" si="14"/>
        <v>0</v>
      </c>
      <c r="K101" s="12"/>
      <c r="L101" s="12"/>
    </row>
    <row r="102" spans="2:12" ht="16" customHeight="1">
      <c r="B102" s="111" t="s">
        <v>302</v>
      </c>
      <c r="C102" s="9" t="s">
        <v>303</v>
      </c>
      <c r="D102" s="146"/>
      <c r="E102" s="112" t="s">
        <v>304</v>
      </c>
      <c r="F102" s="112" t="s">
        <v>17</v>
      </c>
      <c r="G102" s="19">
        <v>12</v>
      </c>
      <c r="H102" s="19">
        <v>24</v>
      </c>
      <c r="I102" s="9"/>
      <c r="J102" s="10">
        <f t="shared" si="14"/>
        <v>0</v>
      </c>
      <c r="K102" s="12"/>
      <c r="L102" s="12"/>
    </row>
    <row r="103" spans="2:12" ht="16" customHeight="1">
      <c r="B103" s="111" t="s">
        <v>321</v>
      </c>
      <c r="C103" s="9" t="s">
        <v>322</v>
      </c>
      <c r="D103" s="146"/>
      <c r="E103" s="112" t="s">
        <v>21</v>
      </c>
      <c r="F103" s="112" t="s">
        <v>17</v>
      </c>
      <c r="G103" s="19">
        <v>12</v>
      </c>
      <c r="H103" s="19">
        <v>24</v>
      </c>
      <c r="I103" s="9"/>
      <c r="J103" s="10">
        <f t="shared" si="14"/>
        <v>0</v>
      </c>
      <c r="K103" s="12"/>
      <c r="L103" s="12"/>
    </row>
    <row r="104" spans="2:12" ht="16" customHeight="1">
      <c r="B104" s="111" t="s">
        <v>315</v>
      </c>
      <c r="C104" s="9" t="s">
        <v>316</v>
      </c>
      <c r="D104" s="146"/>
      <c r="E104" s="112" t="s">
        <v>22</v>
      </c>
      <c r="F104" s="112" t="s">
        <v>17</v>
      </c>
      <c r="G104" s="19">
        <v>12</v>
      </c>
      <c r="H104" s="19">
        <v>24</v>
      </c>
      <c r="I104" s="9"/>
      <c r="J104" s="10">
        <f t="shared" si="14"/>
        <v>0</v>
      </c>
      <c r="K104" s="12"/>
      <c r="L104" s="12"/>
    </row>
    <row r="105" spans="2:12" ht="16" customHeight="1">
      <c r="B105" s="111" t="s">
        <v>310</v>
      </c>
      <c r="C105" s="9" t="s">
        <v>311</v>
      </c>
      <c r="D105" s="146"/>
      <c r="E105" s="112" t="s">
        <v>171</v>
      </c>
      <c r="F105" s="112" t="s">
        <v>17</v>
      </c>
      <c r="G105" s="19">
        <v>12</v>
      </c>
      <c r="H105" s="19">
        <v>24</v>
      </c>
      <c r="I105" s="9"/>
      <c r="J105" s="10">
        <f t="shared" si="14"/>
        <v>0</v>
      </c>
      <c r="K105" s="12"/>
      <c r="L105" s="12"/>
    </row>
    <row r="106" spans="2:12" ht="16" customHeight="1">
      <c r="B106" s="111" t="s">
        <v>299</v>
      </c>
      <c r="C106" s="9" t="s">
        <v>300</v>
      </c>
      <c r="D106" s="146"/>
      <c r="E106" s="112" t="s">
        <v>301</v>
      </c>
      <c r="F106" s="112" t="s">
        <v>17</v>
      </c>
      <c r="G106" s="19">
        <v>12</v>
      </c>
      <c r="H106" s="19">
        <v>24</v>
      </c>
      <c r="I106" s="9"/>
      <c r="J106" s="10">
        <f t="shared" ref="J106:J160" si="15">SUM(G106*I106)</f>
        <v>0</v>
      </c>
      <c r="K106" s="12"/>
      <c r="L106" s="12"/>
    </row>
    <row r="107" spans="2:12" ht="16" customHeight="1">
      <c r="B107" s="111" t="s">
        <v>317</v>
      </c>
      <c r="C107" s="9" t="s">
        <v>318</v>
      </c>
      <c r="D107" s="146"/>
      <c r="E107" s="112" t="s">
        <v>268</v>
      </c>
      <c r="F107" s="112" t="s">
        <v>17</v>
      </c>
      <c r="G107" s="19">
        <v>12</v>
      </c>
      <c r="H107" s="19">
        <v>24</v>
      </c>
      <c r="I107" s="9"/>
      <c r="J107" s="10">
        <f t="shared" si="15"/>
        <v>0</v>
      </c>
      <c r="K107" s="12"/>
      <c r="L107" s="12"/>
    </row>
    <row r="108" spans="2:12" ht="16" customHeight="1">
      <c r="B108" s="111" t="s">
        <v>297</v>
      </c>
      <c r="C108" s="9" t="s">
        <v>298</v>
      </c>
      <c r="D108" s="147"/>
      <c r="E108" s="112" t="s">
        <v>29</v>
      </c>
      <c r="F108" s="112" t="s">
        <v>17</v>
      </c>
      <c r="G108" s="19">
        <v>12</v>
      </c>
      <c r="H108" s="19">
        <v>24</v>
      </c>
      <c r="I108" s="9"/>
      <c r="J108" s="10">
        <f t="shared" ref="J108" si="16">SUM(G108*I108)</f>
        <v>0</v>
      </c>
      <c r="K108" s="12"/>
      <c r="L108" s="12"/>
    </row>
    <row r="109" spans="2:12" ht="16" customHeight="1">
      <c r="B109" s="119" t="s">
        <v>325</v>
      </c>
      <c r="C109" s="11" t="s">
        <v>326</v>
      </c>
      <c r="D109" s="142" t="s">
        <v>59</v>
      </c>
      <c r="E109" s="113" t="s">
        <v>1119</v>
      </c>
      <c r="F109" s="113" t="s">
        <v>17</v>
      </c>
      <c r="G109" s="40">
        <v>12</v>
      </c>
      <c r="H109" s="40">
        <v>24</v>
      </c>
      <c r="I109" s="11"/>
      <c r="J109" s="10">
        <f t="shared" si="15"/>
        <v>0</v>
      </c>
      <c r="K109" s="12"/>
      <c r="L109" s="12"/>
    </row>
    <row r="110" spans="2:12" ht="16" customHeight="1">
      <c r="B110" s="119" t="s">
        <v>331</v>
      </c>
      <c r="C110" s="11" t="s">
        <v>332</v>
      </c>
      <c r="D110" s="146"/>
      <c r="E110" s="113" t="s">
        <v>1122</v>
      </c>
      <c r="F110" s="113" t="s">
        <v>17</v>
      </c>
      <c r="G110" s="40">
        <v>12</v>
      </c>
      <c r="H110" s="40">
        <v>24</v>
      </c>
      <c r="I110" s="11"/>
      <c r="J110" s="10">
        <f t="shared" si="15"/>
        <v>0</v>
      </c>
      <c r="K110" s="12"/>
      <c r="L110" s="12"/>
    </row>
    <row r="111" spans="2:12" ht="16" customHeight="1">
      <c r="B111" s="119" t="s">
        <v>329</v>
      </c>
      <c r="C111" s="11" t="s">
        <v>330</v>
      </c>
      <c r="D111" s="146"/>
      <c r="E111" s="113" t="s">
        <v>1121</v>
      </c>
      <c r="F111" s="113" t="s">
        <v>17</v>
      </c>
      <c r="G111" s="40">
        <v>12</v>
      </c>
      <c r="H111" s="40">
        <v>24</v>
      </c>
      <c r="I111" s="11"/>
      <c r="J111" s="10">
        <f t="shared" ref="J111:J112" si="17">SUM(G111*I111)</f>
        <v>0</v>
      </c>
      <c r="K111" s="12"/>
      <c r="L111" s="12"/>
    </row>
    <row r="112" spans="2:12" ht="16" customHeight="1">
      <c r="B112" s="119" t="s">
        <v>333</v>
      </c>
      <c r="C112" s="11" t="s">
        <v>334</v>
      </c>
      <c r="D112" s="146"/>
      <c r="E112" s="113" t="s">
        <v>1123</v>
      </c>
      <c r="F112" s="113" t="s">
        <v>17</v>
      </c>
      <c r="G112" s="40">
        <v>12</v>
      </c>
      <c r="H112" s="40">
        <v>24</v>
      </c>
      <c r="I112" s="11"/>
      <c r="J112" s="10">
        <f t="shared" si="17"/>
        <v>0</v>
      </c>
      <c r="K112" s="12"/>
      <c r="L112" s="12"/>
    </row>
    <row r="113" spans="2:12" ht="16" customHeight="1">
      <c r="B113" s="119" t="s">
        <v>327</v>
      </c>
      <c r="C113" s="11" t="s">
        <v>328</v>
      </c>
      <c r="D113" s="146"/>
      <c r="E113" s="113" t="s">
        <v>1120</v>
      </c>
      <c r="F113" s="113" t="s">
        <v>17</v>
      </c>
      <c r="G113" s="40">
        <v>12</v>
      </c>
      <c r="H113" s="40">
        <v>24</v>
      </c>
      <c r="I113" s="11"/>
      <c r="J113" s="10">
        <f t="shared" si="15"/>
        <v>0</v>
      </c>
      <c r="K113" s="12"/>
      <c r="L113" s="12"/>
    </row>
    <row r="114" spans="2:12" ht="16" customHeight="1">
      <c r="B114" s="119" t="s">
        <v>335</v>
      </c>
      <c r="C114" s="11" t="s">
        <v>336</v>
      </c>
      <c r="D114" s="147"/>
      <c r="E114" s="113" t="s">
        <v>1124</v>
      </c>
      <c r="F114" s="113" t="s">
        <v>17</v>
      </c>
      <c r="G114" s="40">
        <v>12</v>
      </c>
      <c r="H114" s="40">
        <v>24</v>
      </c>
      <c r="I114" s="11"/>
      <c r="J114" s="10">
        <f t="shared" ref="J114" si="18">SUM(G114*I114)</f>
        <v>0</v>
      </c>
      <c r="K114" s="12"/>
      <c r="L114" s="12"/>
    </row>
    <row r="115" spans="2:12" ht="16" customHeight="1">
      <c r="B115" s="111" t="s">
        <v>338</v>
      </c>
      <c r="C115" s="9" t="s">
        <v>339</v>
      </c>
      <c r="D115" s="139" t="s">
        <v>57</v>
      </c>
      <c r="E115" s="112" t="s">
        <v>340</v>
      </c>
      <c r="F115" s="112" t="s">
        <v>17</v>
      </c>
      <c r="G115" s="19">
        <v>12</v>
      </c>
      <c r="H115" s="19">
        <v>24</v>
      </c>
      <c r="I115" s="9"/>
      <c r="J115" s="10">
        <f t="shared" si="15"/>
        <v>0</v>
      </c>
      <c r="K115" s="12"/>
      <c r="L115" s="12"/>
    </row>
    <row r="116" spans="2:12" ht="16" customHeight="1">
      <c r="B116" s="111" t="s">
        <v>341</v>
      </c>
      <c r="C116" s="9" t="s">
        <v>342</v>
      </c>
      <c r="D116" s="146"/>
      <c r="E116" s="112" t="s">
        <v>34</v>
      </c>
      <c r="F116" s="112" t="s">
        <v>17</v>
      </c>
      <c r="G116" s="19">
        <v>12</v>
      </c>
      <c r="H116" s="19">
        <v>24</v>
      </c>
      <c r="I116" s="9"/>
      <c r="J116" s="10">
        <f t="shared" si="15"/>
        <v>0</v>
      </c>
      <c r="K116" s="12"/>
      <c r="L116" s="12"/>
    </row>
    <row r="117" spans="2:12" ht="16" customHeight="1">
      <c r="B117" s="111" t="s">
        <v>347</v>
      </c>
      <c r="C117" s="9" t="s">
        <v>348</v>
      </c>
      <c r="D117" s="146"/>
      <c r="E117" s="112" t="s">
        <v>107</v>
      </c>
      <c r="F117" s="112" t="s">
        <v>17</v>
      </c>
      <c r="G117" s="19">
        <v>12</v>
      </c>
      <c r="H117" s="19">
        <v>24</v>
      </c>
      <c r="I117" s="9"/>
      <c r="J117" s="10">
        <f t="shared" ref="J117:J118" si="19">SUM(G117*I117)</f>
        <v>0</v>
      </c>
      <c r="K117" s="12"/>
      <c r="L117" s="12"/>
    </row>
    <row r="118" spans="2:12" ht="16" customHeight="1">
      <c r="B118" s="111" t="s">
        <v>345</v>
      </c>
      <c r="C118" s="9" t="s">
        <v>346</v>
      </c>
      <c r="D118" s="146"/>
      <c r="E118" s="112" t="s">
        <v>186</v>
      </c>
      <c r="F118" s="112" t="s">
        <v>17</v>
      </c>
      <c r="G118" s="19">
        <v>12</v>
      </c>
      <c r="H118" s="19">
        <v>24</v>
      </c>
      <c r="I118" s="9"/>
      <c r="J118" s="10">
        <f t="shared" si="19"/>
        <v>0</v>
      </c>
      <c r="K118" s="12"/>
      <c r="L118" s="12"/>
    </row>
    <row r="119" spans="2:12" ht="16" customHeight="1">
      <c r="B119" s="111" t="s">
        <v>343</v>
      </c>
      <c r="C119" s="9" t="s">
        <v>344</v>
      </c>
      <c r="D119" s="147"/>
      <c r="E119" s="112" t="s">
        <v>22</v>
      </c>
      <c r="F119" s="112" t="s">
        <v>17</v>
      </c>
      <c r="G119" s="19">
        <v>12</v>
      </c>
      <c r="H119" s="19">
        <v>24</v>
      </c>
      <c r="I119" s="9"/>
      <c r="J119" s="10">
        <f t="shared" si="15"/>
        <v>0</v>
      </c>
      <c r="K119" s="12"/>
      <c r="L119" s="12"/>
    </row>
    <row r="120" spans="2:12" ht="16" customHeight="1">
      <c r="B120" s="119" t="s">
        <v>349</v>
      </c>
      <c r="C120" s="11" t="s">
        <v>350</v>
      </c>
      <c r="D120" s="142" t="s">
        <v>58</v>
      </c>
      <c r="E120" s="113" t="s">
        <v>20</v>
      </c>
      <c r="F120" s="113" t="s">
        <v>17</v>
      </c>
      <c r="G120" s="40">
        <v>12</v>
      </c>
      <c r="H120" s="40">
        <v>24</v>
      </c>
      <c r="I120" s="11"/>
      <c r="J120" s="10">
        <f t="shared" si="15"/>
        <v>0</v>
      </c>
      <c r="K120" s="12"/>
      <c r="L120" s="12"/>
    </row>
    <row r="121" spans="2:12" ht="16" customHeight="1">
      <c r="B121" s="119" t="s">
        <v>353</v>
      </c>
      <c r="C121" s="11" t="s">
        <v>354</v>
      </c>
      <c r="D121" s="146"/>
      <c r="E121" s="113" t="s">
        <v>112</v>
      </c>
      <c r="F121" s="113" t="s">
        <v>17</v>
      </c>
      <c r="G121" s="40">
        <v>12</v>
      </c>
      <c r="H121" s="40">
        <v>24</v>
      </c>
      <c r="I121" s="11"/>
      <c r="J121" s="10">
        <f t="shared" ref="J121" si="20">SUM(G121*I121)</f>
        <v>0</v>
      </c>
      <c r="K121" s="12"/>
      <c r="L121" s="12"/>
    </row>
    <row r="122" spans="2:12" ht="16" customHeight="1">
      <c r="B122" s="119" t="s">
        <v>351</v>
      </c>
      <c r="C122" s="11" t="s">
        <v>352</v>
      </c>
      <c r="D122" s="147"/>
      <c r="E122" s="113" t="s">
        <v>337</v>
      </c>
      <c r="F122" s="113" t="s">
        <v>17</v>
      </c>
      <c r="G122" s="40">
        <v>12</v>
      </c>
      <c r="H122" s="40">
        <v>24</v>
      </c>
      <c r="I122" s="11"/>
      <c r="J122" s="10">
        <f t="shared" si="15"/>
        <v>0</v>
      </c>
      <c r="K122" s="12"/>
      <c r="L122" s="12"/>
    </row>
    <row r="123" spans="2:12" ht="16" customHeight="1">
      <c r="B123" s="111" t="s">
        <v>355</v>
      </c>
      <c r="C123" s="9" t="s">
        <v>356</v>
      </c>
      <c r="D123" s="139" t="s">
        <v>357</v>
      </c>
      <c r="E123" s="112" t="s">
        <v>1125</v>
      </c>
      <c r="F123" s="112" t="s">
        <v>17</v>
      </c>
      <c r="G123" s="19">
        <v>12</v>
      </c>
      <c r="H123" s="19">
        <v>24</v>
      </c>
      <c r="I123" s="9"/>
      <c r="J123" s="10">
        <f t="shared" si="15"/>
        <v>0</v>
      </c>
      <c r="K123" s="12"/>
      <c r="L123" s="12"/>
    </row>
    <row r="124" spans="2:12" ht="16" customHeight="1">
      <c r="B124" s="111" t="s">
        <v>360</v>
      </c>
      <c r="C124" s="9" t="s">
        <v>361</v>
      </c>
      <c r="D124" s="146"/>
      <c r="E124" s="112" t="s">
        <v>1126</v>
      </c>
      <c r="F124" s="112" t="s">
        <v>17</v>
      </c>
      <c r="G124" s="19">
        <v>12</v>
      </c>
      <c r="H124" s="19">
        <v>24</v>
      </c>
      <c r="I124" s="9"/>
      <c r="J124" s="10">
        <f t="shared" si="15"/>
        <v>0</v>
      </c>
      <c r="K124" s="12"/>
      <c r="L124" s="12"/>
    </row>
    <row r="125" spans="2:12" ht="16" customHeight="1">
      <c r="B125" s="111" t="s">
        <v>364</v>
      </c>
      <c r="C125" s="9" t="s">
        <v>365</v>
      </c>
      <c r="D125" s="146"/>
      <c r="E125" s="112" t="s">
        <v>1129</v>
      </c>
      <c r="F125" s="112" t="s">
        <v>17</v>
      </c>
      <c r="G125" s="19">
        <v>12</v>
      </c>
      <c r="H125" s="19">
        <v>24</v>
      </c>
      <c r="I125" s="9"/>
      <c r="J125" s="10">
        <f t="shared" ref="J125:J127" si="21">SUM(G125*I125)</f>
        <v>0</v>
      </c>
      <c r="K125" s="12"/>
      <c r="L125" s="12"/>
    </row>
    <row r="126" spans="2:12" ht="16" customHeight="1">
      <c r="B126" s="111" t="s">
        <v>366</v>
      </c>
      <c r="C126" s="9" t="s">
        <v>367</v>
      </c>
      <c r="D126" s="146"/>
      <c r="E126" s="112" t="s">
        <v>1130</v>
      </c>
      <c r="F126" s="112" t="s">
        <v>17</v>
      </c>
      <c r="G126" s="19">
        <v>12</v>
      </c>
      <c r="H126" s="19">
        <v>24</v>
      </c>
      <c r="I126" s="9"/>
      <c r="J126" s="10">
        <f t="shared" si="21"/>
        <v>0</v>
      </c>
      <c r="K126" s="12"/>
      <c r="L126" s="12"/>
    </row>
    <row r="127" spans="2:12" ht="16" customHeight="1">
      <c r="B127" s="111" t="s">
        <v>370</v>
      </c>
      <c r="C127" s="9" t="s">
        <v>371</v>
      </c>
      <c r="D127" s="146"/>
      <c r="E127" s="112" t="s">
        <v>1132</v>
      </c>
      <c r="F127" s="112" t="s">
        <v>17</v>
      </c>
      <c r="G127" s="19">
        <v>12</v>
      </c>
      <c r="H127" s="19">
        <v>24</v>
      </c>
      <c r="I127" s="9"/>
      <c r="J127" s="10">
        <f t="shared" si="21"/>
        <v>0</v>
      </c>
      <c r="K127" s="12"/>
      <c r="L127" s="12"/>
    </row>
    <row r="128" spans="2:12" ht="16" customHeight="1">
      <c r="B128" s="111" t="s">
        <v>362</v>
      </c>
      <c r="C128" s="9" t="s">
        <v>363</v>
      </c>
      <c r="D128" s="146"/>
      <c r="E128" s="112" t="s">
        <v>1128</v>
      </c>
      <c r="F128" s="112" t="s">
        <v>17</v>
      </c>
      <c r="G128" s="19">
        <v>12</v>
      </c>
      <c r="H128" s="19">
        <v>24</v>
      </c>
      <c r="I128" s="9"/>
      <c r="J128" s="10">
        <f t="shared" si="15"/>
        <v>0</v>
      </c>
      <c r="K128" s="12"/>
      <c r="L128" s="12"/>
    </row>
    <row r="129" spans="2:12" ht="16" customHeight="1">
      <c r="B129" s="111" t="s">
        <v>368</v>
      </c>
      <c r="C129" s="9" t="s">
        <v>369</v>
      </c>
      <c r="D129" s="146"/>
      <c r="E129" s="112" t="s">
        <v>1131</v>
      </c>
      <c r="F129" s="112" t="s">
        <v>17</v>
      </c>
      <c r="G129" s="19">
        <v>12</v>
      </c>
      <c r="H129" s="19">
        <v>24</v>
      </c>
      <c r="I129" s="9"/>
      <c r="J129" s="10">
        <f t="shared" si="15"/>
        <v>0</v>
      </c>
      <c r="K129" s="12"/>
      <c r="L129" s="12"/>
    </row>
    <row r="130" spans="2:12" ht="16" customHeight="1">
      <c r="B130" s="111" t="s">
        <v>358</v>
      </c>
      <c r="C130" s="9" t="s">
        <v>359</v>
      </c>
      <c r="D130" s="147"/>
      <c r="E130" s="112" t="s">
        <v>1127</v>
      </c>
      <c r="F130" s="112" t="s">
        <v>17</v>
      </c>
      <c r="G130" s="19">
        <v>12</v>
      </c>
      <c r="H130" s="19">
        <v>24</v>
      </c>
      <c r="I130" s="9"/>
      <c r="J130" s="10">
        <f t="shared" ref="J130" si="22">SUM(G130*I130)</f>
        <v>0</v>
      </c>
      <c r="K130" s="12"/>
      <c r="L130" s="12"/>
    </row>
    <row r="131" spans="2:12" ht="16" customHeight="1">
      <c r="B131" s="119" t="s">
        <v>372</v>
      </c>
      <c r="C131" s="11" t="s">
        <v>373</v>
      </c>
      <c r="D131" s="142" t="s">
        <v>60</v>
      </c>
      <c r="E131" s="113" t="s">
        <v>20</v>
      </c>
      <c r="F131" s="113" t="s">
        <v>17</v>
      </c>
      <c r="G131" s="40">
        <v>12</v>
      </c>
      <c r="H131" s="40">
        <v>24</v>
      </c>
      <c r="I131" s="11"/>
      <c r="J131" s="10">
        <f t="shared" si="15"/>
        <v>0</v>
      </c>
      <c r="K131" s="12"/>
      <c r="L131" s="12"/>
    </row>
    <row r="132" spans="2:12" ht="16" customHeight="1">
      <c r="B132" s="119" t="s">
        <v>374</v>
      </c>
      <c r="C132" s="11" t="s">
        <v>375</v>
      </c>
      <c r="D132" s="146"/>
      <c r="E132" s="113" t="s">
        <v>31</v>
      </c>
      <c r="F132" s="113" t="s">
        <v>17</v>
      </c>
      <c r="G132" s="40">
        <v>12</v>
      </c>
      <c r="H132" s="40">
        <v>24</v>
      </c>
      <c r="I132" s="11"/>
      <c r="J132" s="10">
        <f t="shared" si="15"/>
        <v>0</v>
      </c>
      <c r="K132" s="12"/>
      <c r="L132" s="12"/>
    </row>
    <row r="133" spans="2:12" ht="16" customHeight="1">
      <c r="B133" s="119" t="s">
        <v>378</v>
      </c>
      <c r="C133" s="11" t="s">
        <v>379</v>
      </c>
      <c r="D133" s="146"/>
      <c r="E133" s="113" t="s">
        <v>183</v>
      </c>
      <c r="F133" s="113" t="s">
        <v>17</v>
      </c>
      <c r="G133" s="40">
        <v>12</v>
      </c>
      <c r="H133" s="40">
        <v>24</v>
      </c>
      <c r="I133" s="11"/>
      <c r="J133" s="10">
        <f t="shared" ref="J133:J134" si="23">SUM(G133*I133)</f>
        <v>0</v>
      </c>
      <c r="K133" s="12"/>
      <c r="L133" s="12"/>
    </row>
    <row r="134" spans="2:12" ht="16" customHeight="1">
      <c r="B134" s="119" t="s">
        <v>382</v>
      </c>
      <c r="C134" s="11" t="s">
        <v>383</v>
      </c>
      <c r="D134" s="146"/>
      <c r="E134" s="113" t="s">
        <v>195</v>
      </c>
      <c r="F134" s="113" t="s">
        <v>17</v>
      </c>
      <c r="G134" s="40">
        <v>12</v>
      </c>
      <c r="H134" s="40">
        <v>24</v>
      </c>
      <c r="I134" s="11"/>
      <c r="J134" s="10">
        <f t="shared" si="23"/>
        <v>0</v>
      </c>
      <c r="K134" s="12"/>
      <c r="L134" s="12"/>
    </row>
    <row r="135" spans="2:12" ht="16" customHeight="1">
      <c r="B135" s="119" t="s">
        <v>380</v>
      </c>
      <c r="C135" s="11" t="s">
        <v>381</v>
      </c>
      <c r="D135" s="146"/>
      <c r="E135" s="113" t="s">
        <v>171</v>
      </c>
      <c r="F135" s="113" t="s">
        <v>17</v>
      </c>
      <c r="G135" s="40">
        <v>12</v>
      </c>
      <c r="H135" s="40">
        <v>24</v>
      </c>
      <c r="I135" s="11"/>
      <c r="J135" s="10">
        <f t="shared" si="15"/>
        <v>0</v>
      </c>
      <c r="K135" s="12"/>
      <c r="L135" s="12"/>
    </row>
    <row r="136" spans="2:12" ht="16" customHeight="1">
      <c r="B136" s="119" t="s">
        <v>376</v>
      </c>
      <c r="C136" s="11" t="s">
        <v>377</v>
      </c>
      <c r="D136" s="147"/>
      <c r="E136" s="113" t="s">
        <v>337</v>
      </c>
      <c r="F136" s="113" t="s">
        <v>17</v>
      </c>
      <c r="G136" s="40">
        <v>12</v>
      </c>
      <c r="H136" s="40">
        <v>24</v>
      </c>
      <c r="I136" s="11"/>
      <c r="J136" s="10">
        <f t="shared" ref="J136" si="24">SUM(G136*I136)</f>
        <v>0</v>
      </c>
      <c r="K136" s="12"/>
      <c r="L136" s="12"/>
    </row>
    <row r="137" spans="2:12" ht="16" customHeight="1">
      <c r="B137" s="111" t="s">
        <v>384</v>
      </c>
      <c r="C137" s="9" t="s">
        <v>385</v>
      </c>
      <c r="D137" s="139" t="s">
        <v>61</v>
      </c>
      <c r="E137" s="112" t="s">
        <v>386</v>
      </c>
      <c r="F137" s="112" t="s">
        <v>17</v>
      </c>
      <c r="G137" s="19">
        <v>13</v>
      </c>
      <c r="H137" s="19">
        <v>26</v>
      </c>
      <c r="I137" s="9"/>
      <c r="J137" s="10">
        <f t="shared" si="15"/>
        <v>0</v>
      </c>
      <c r="K137" s="12"/>
      <c r="L137" s="12"/>
    </row>
    <row r="138" spans="2:12" ht="16" customHeight="1">
      <c r="B138" s="111" t="s">
        <v>389</v>
      </c>
      <c r="C138" s="9" t="s">
        <v>390</v>
      </c>
      <c r="D138" s="146"/>
      <c r="E138" s="112" t="s">
        <v>32</v>
      </c>
      <c r="F138" s="112" t="s">
        <v>17</v>
      </c>
      <c r="G138" s="19">
        <v>13</v>
      </c>
      <c r="H138" s="19">
        <v>26</v>
      </c>
      <c r="I138" s="9"/>
      <c r="J138" s="10">
        <f t="shared" ref="J138" si="25">SUM(G138*I138)</f>
        <v>0</v>
      </c>
      <c r="K138" s="12"/>
      <c r="L138" s="12"/>
    </row>
    <row r="139" spans="2:12" ht="16" customHeight="1">
      <c r="B139" s="111" t="s">
        <v>387</v>
      </c>
      <c r="C139" s="9" t="s">
        <v>388</v>
      </c>
      <c r="D139" s="147"/>
      <c r="E139" s="112" t="s">
        <v>107</v>
      </c>
      <c r="F139" s="112" t="s">
        <v>17</v>
      </c>
      <c r="G139" s="19">
        <v>13</v>
      </c>
      <c r="H139" s="19">
        <v>26</v>
      </c>
      <c r="I139" s="9"/>
      <c r="J139" s="10">
        <f t="shared" si="15"/>
        <v>0</v>
      </c>
      <c r="K139" s="12"/>
      <c r="L139" s="12"/>
    </row>
    <row r="140" spans="2:12" ht="16" customHeight="1">
      <c r="B140" s="119" t="s">
        <v>393</v>
      </c>
      <c r="C140" s="11" t="s">
        <v>394</v>
      </c>
      <c r="D140" s="142" t="s">
        <v>35</v>
      </c>
      <c r="E140" s="113" t="s">
        <v>20</v>
      </c>
      <c r="F140" s="113" t="s">
        <v>17</v>
      </c>
      <c r="G140" s="40">
        <v>16</v>
      </c>
      <c r="H140" s="40">
        <v>32</v>
      </c>
      <c r="I140" s="11"/>
      <c r="J140" s="10">
        <f t="shared" si="15"/>
        <v>0</v>
      </c>
      <c r="K140" s="12"/>
      <c r="L140" s="12"/>
    </row>
    <row r="141" spans="2:12" ht="16" customHeight="1">
      <c r="B141" s="119" t="s">
        <v>391</v>
      </c>
      <c r="C141" s="11" t="s">
        <v>392</v>
      </c>
      <c r="D141" s="148"/>
      <c r="E141" s="113" t="s">
        <v>34</v>
      </c>
      <c r="F141" s="113" t="s">
        <v>17</v>
      </c>
      <c r="G141" s="40">
        <v>16</v>
      </c>
      <c r="H141" s="40">
        <v>32</v>
      </c>
      <c r="I141" s="11"/>
      <c r="J141" s="10">
        <f t="shared" ref="J141:J145" si="26">SUM(G141*I141)</f>
        <v>0</v>
      </c>
      <c r="K141" s="12"/>
      <c r="L141" s="12"/>
    </row>
    <row r="142" spans="2:12" ht="16" customHeight="1">
      <c r="B142" s="119" t="s">
        <v>395</v>
      </c>
      <c r="C142" s="11" t="s">
        <v>396</v>
      </c>
      <c r="D142" s="149"/>
      <c r="E142" s="113" t="s">
        <v>107</v>
      </c>
      <c r="F142" s="113" t="s">
        <v>17</v>
      </c>
      <c r="G142" s="40">
        <v>16</v>
      </c>
      <c r="H142" s="40">
        <v>32</v>
      </c>
      <c r="I142" s="11"/>
      <c r="J142" s="10">
        <f t="shared" si="26"/>
        <v>0</v>
      </c>
      <c r="K142" s="12"/>
      <c r="L142" s="12"/>
    </row>
    <row r="143" spans="2:12" ht="16" customHeight="1">
      <c r="B143" s="111" t="s">
        <v>401</v>
      </c>
      <c r="C143" s="9" t="s">
        <v>402</v>
      </c>
      <c r="D143" s="139" t="s">
        <v>62</v>
      </c>
      <c r="E143" s="112" t="s">
        <v>171</v>
      </c>
      <c r="F143" s="112" t="s">
        <v>17</v>
      </c>
      <c r="G143" s="19">
        <v>13</v>
      </c>
      <c r="H143" s="19">
        <v>26</v>
      </c>
      <c r="I143" s="9"/>
      <c r="J143" s="10">
        <f t="shared" ref="J143:J144" si="27">SUM(G143*I143)</f>
        <v>0</v>
      </c>
      <c r="K143" s="12"/>
      <c r="L143" s="12"/>
    </row>
    <row r="144" spans="2:12" ht="16" customHeight="1">
      <c r="B144" s="111" t="s">
        <v>399</v>
      </c>
      <c r="C144" s="9" t="s">
        <v>400</v>
      </c>
      <c r="D144" s="146"/>
      <c r="E144" s="112" t="s">
        <v>107</v>
      </c>
      <c r="F144" s="112" t="s">
        <v>17</v>
      </c>
      <c r="G144" s="19">
        <v>13</v>
      </c>
      <c r="H144" s="19">
        <v>26</v>
      </c>
      <c r="I144" s="9"/>
      <c r="J144" s="10">
        <f t="shared" si="27"/>
        <v>0</v>
      </c>
      <c r="K144" s="12"/>
      <c r="L144" s="12"/>
    </row>
    <row r="145" spans="2:12" ht="16" customHeight="1">
      <c r="B145" s="111" t="s">
        <v>397</v>
      </c>
      <c r="C145" s="9" t="s">
        <v>398</v>
      </c>
      <c r="D145" s="147"/>
      <c r="E145" s="112" t="s">
        <v>23</v>
      </c>
      <c r="F145" s="112" t="s">
        <v>17</v>
      </c>
      <c r="G145" s="19">
        <v>13</v>
      </c>
      <c r="H145" s="19">
        <v>26</v>
      </c>
      <c r="I145" s="9"/>
      <c r="J145" s="10">
        <f t="shared" si="26"/>
        <v>0</v>
      </c>
      <c r="K145" s="12"/>
      <c r="L145" s="12"/>
    </row>
    <row r="146" spans="2:12" ht="16" customHeight="1">
      <c r="B146" s="119" t="s">
        <v>403</v>
      </c>
      <c r="C146" s="11" t="s">
        <v>404</v>
      </c>
      <c r="D146" s="142" t="s">
        <v>114</v>
      </c>
      <c r="E146" s="113" t="s">
        <v>20</v>
      </c>
      <c r="F146" s="113" t="s">
        <v>17</v>
      </c>
      <c r="G146" s="40">
        <v>13</v>
      </c>
      <c r="H146" s="40">
        <v>26</v>
      </c>
      <c r="I146" s="11"/>
      <c r="J146" s="10">
        <f t="shared" si="15"/>
        <v>0</v>
      </c>
      <c r="K146" s="12"/>
      <c r="L146" s="12"/>
    </row>
    <row r="147" spans="2:12" ht="16" customHeight="1">
      <c r="B147" s="119" t="s">
        <v>405</v>
      </c>
      <c r="C147" s="11" t="s">
        <v>406</v>
      </c>
      <c r="D147" s="140"/>
      <c r="E147" s="113" t="s">
        <v>34</v>
      </c>
      <c r="F147" s="113" t="s">
        <v>17</v>
      </c>
      <c r="G147" s="40">
        <v>13</v>
      </c>
      <c r="H147" s="40">
        <v>26</v>
      </c>
      <c r="I147" s="11"/>
      <c r="J147" s="10">
        <f t="shared" si="15"/>
        <v>0</v>
      </c>
      <c r="K147" s="12"/>
      <c r="L147" s="12"/>
    </row>
    <row r="148" spans="2:12" ht="16" customHeight="1">
      <c r="B148" s="119" t="s">
        <v>407</v>
      </c>
      <c r="C148" s="11" t="s">
        <v>408</v>
      </c>
      <c r="D148" s="141"/>
      <c r="E148" s="113" t="s">
        <v>32</v>
      </c>
      <c r="F148" s="113" t="s">
        <v>17</v>
      </c>
      <c r="G148" s="40">
        <v>13</v>
      </c>
      <c r="H148" s="40">
        <v>26</v>
      </c>
      <c r="I148" s="11"/>
      <c r="J148" s="10">
        <f t="shared" si="15"/>
        <v>0</v>
      </c>
      <c r="K148" s="12"/>
      <c r="L148" s="12"/>
    </row>
    <row r="149" spans="2:12" ht="16" customHeight="1">
      <c r="B149" s="111" t="s">
        <v>409</v>
      </c>
      <c r="C149" s="9" t="s">
        <v>410</v>
      </c>
      <c r="D149" s="139" t="s">
        <v>115</v>
      </c>
      <c r="E149" s="112" t="s">
        <v>1133</v>
      </c>
      <c r="F149" s="112" t="s">
        <v>17</v>
      </c>
      <c r="G149" s="19">
        <v>13</v>
      </c>
      <c r="H149" s="19">
        <v>26</v>
      </c>
      <c r="I149" s="9"/>
      <c r="J149" s="10">
        <f t="shared" si="15"/>
        <v>0</v>
      </c>
      <c r="K149" s="12"/>
      <c r="L149" s="12"/>
    </row>
    <row r="150" spans="2:12" ht="16" customHeight="1">
      <c r="B150" s="111" t="s">
        <v>411</v>
      </c>
      <c r="C150" s="9" t="s">
        <v>412</v>
      </c>
      <c r="D150" s="140"/>
      <c r="E150" s="112" t="s">
        <v>1134</v>
      </c>
      <c r="F150" s="112" t="s">
        <v>17</v>
      </c>
      <c r="G150" s="65">
        <v>13</v>
      </c>
      <c r="H150" s="19">
        <v>26</v>
      </c>
      <c r="I150" s="9"/>
      <c r="J150" s="10">
        <f t="shared" si="15"/>
        <v>0</v>
      </c>
      <c r="K150" s="12"/>
      <c r="L150" s="12"/>
    </row>
    <row r="151" spans="2:12" ht="16" customHeight="1">
      <c r="B151" s="111" t="s">
        <v>413</v>
      </c>
      <c r="C151" s="9" t="s">
        <v>414</v>
      </c>
      <c r="D151" s="141"/>
      <c r="E151" s="112" t="s">
        <v>1135</v>
      </c>
      <c r="F151" s="112" t="s">
        <v>17</v>
      </c>
      <c r="G151" s="19">
        <v>13</v>
      </c>
      <c r="H151" s="19">
        <v>26</v>
      </c>
      <c r="I151" s="9"/>
      <c r="J151" s="10">
        <f t="shared" si="15"/>
        <v>0</v>
      </c>
      <c r="K151" s="12"/>
      <c r="L151" s="12"/>
    </row>
    <row r="152" spans="2:12" ht="16" customHeight="1">
      <c r="B152" s="119" t="s">
        <v>415</v>
      </c>
      <c r="C152" s="11" t="s">
        <v>416</v>
      </c>
      <c r="D152" s="142" t="s">
        <v>417</v>
      </c>
      <c r="E152" s="113" t="s">
        <v>20</v>
      </c>
      <c r="F152" s="113" t="s">
        <v>17</v>
      </c>
      <c r="G152" s="40">
        <v>13</v>
      </c>
      <c r="H152" s="40">
        <v>26</v>
      </c>
      <c r="I152" s="11"/>
      <c r="J152" s="10">
        <f t="shared" si="15"/>
        <v>0</v>
      </c>
      <c r="K152" s="12"/>
      <c r="L152" s="12"/>
    </row>
    <row r="153" spans="2:12" ht="16" customHeight="1">
      <c r="B153" s="119" t="s">
        <v>420</v>
      </c>
      <c r="C153" s="11" t="s">
        <v>421</v>
      </c>
      <c r="D153" s="146"/>
      <c r="E153" s="113" t="s">
        <v>30</v>
      </c>
      <c r="F153" s="113" t="s">
        <v>17</v>
      </c>
      <c r="G153" s="40">
        <v>13</v>
      </c>
      <c r="H153" s="40">
        <v>26</v>
      </c>
      <c r="I153" s="11"/>
      <c r="J153" s="10">
        <f t="shared" ref="J153" si="28">SUM(G153*I153)</f>
        <v>0</v>
      </c>
      <c r="K153" s="12"/>
      <c r="L153" s="12"/>
    </row>
    <row r="154" spans="2:12" ht="16" customHeight="1">
      <c r="B154" s="119" t="s">
        <v>418</v>
      </c>
      <c r="C154" s="11" t="s">
        <v>419</v>
      </c>
      <c r="D154" s="147"/>
      <c r="E154" s="113" t="s">
        <v>107</v>
      </c>
      <c r="F154" s="113" t="s">
        <v>17</v>
      </c>
      <c r="G154" s="40">
        <v>13</v>
      </c>
      <c r="H154" s="40">
        <v>26</v>
      </c>
      <c r="I154" s="11"/>
      <c r="J154" s="10">
        <f t="shared" si="15"/>
        <v>0</v>
      </c>
      <c r="K154" s="12"/>
      <c r="L154" s="12"/>
    </row>
    <row r="155" spans="2:12" ht="16" customHeight="1">
      <c r="B155" s="111" t="s">
        <v>422</v>
      </c>
      <c r="C155" s="9" t="s">
        <v>423</v>
      </c>
      <c r="D155" s="139" t="s">
        <v>424</v>
      </c>
      <c r="E155" s="112" t="s">
        <v>30</v>
      </c>
      <c r="F155" s="112" t="s">
        <v>17</v>
      </c>
      <c r="G155" s="19">
        <v>14</v>
      </c>
      <c r="H155" s="19">
        <v>28</v>
      </c>
      <c r="I155" s="9"/>
      <c r="J155" s="10">
        <f t="shared" si="15"/>
        <v>0</v>
      </c>
      <c r="K155" s="12"/>
      <c r="L155" s="12"/>
    </row>
    <row r="156" spans="2:12" ht="16" customHeight="1">
      <c r="B156" s="111" t="s">
        <v>425</v>
      </c>
      <c r="C156" s="9" t="s">
        <v>426</v>
      </c>
      <c r="D156" s="140"/>
      <c r="E156" s="112" t="s">
        <v>32</v>
      </c>
      <c r="F156" s="112" t="s">
        <v>17</v>
      </c>
      <c r="G156" s="19">
        <v>14</v>
      </c>
      <c r="H156" s="19">
        <v>28</v>
      </c>
      <c r="I156" s="9"/>
      <c r="J156" s="10">
        <f t="shared" si="15"/>
        <v>0</v>
      </c>
      <c r="K156" s="12"/>
      <c r="L156" s="12"/>
    </row>
    <row r="157" spans="2:12" ht="16" customHeight="1">
      <c r="B157" s="111" t="s">
        <v>427</v>
      </c>
      <c r="C157" s="9" t="s">
        <v>428</v>
      </c>
      <c r="D157" s="141"/>
      <c r="E157" s="112" t="s">
        <v>23</v>
      </c>
      <c r="F157" s="112" t="s">
        <v>17</v>
      </c>
      <c r="G157" s="19">
        <v>14</v>
      </c>
      <c r="H157" s="19">
        <v>28</v>
      </c>
      <c r="I157" s="9"/>
      <c r="J157" s="10">
        <f t="shared" si="15"/>
        <v>0</v>
      </c>
      <c r="K157" s="12"/>
      <c r="L157" s="12"/>
    </row>
    <row r="158" spans="2:12" ht="16" customHeight="1">
      <c r="B158" s="119" t="s">
        <v>432</v>
      </c>
      <c r="C158" s="11" t="s">
        <v>433</v>
      </c>
      <c r="D158" s="139" t="s">
        <v>431</v>
      </c>
      <c r="E158" s="113" t="s">
        <v>113</v>
      </c>
      <c r="F158" s="113" t="s">
        <v>17</v>
      </c>
      <c r="G158" s="40">
        <v>15</v>
      </c>
      <c r="H158" s="40">
        <v>30</v>
      </c>
      <c r="I158" s="11"/>
      <c r="J158" s="10">
        <f t="shared" ref="J158" si="29">SUM(G158*I158)</f>
        <v>0</v>
      </c>
      <c r="K158" s="12"/>
      <c r="L158" s="12"/>
    </row>
    <row r="159" spans="2:12" ht="16" customHeight="1">
      <c r="B159" s="119" t="s">
        <v>429</v>
      </c>
      <c r="C159" s="11" t="s">
        <v>430</v>
      </c>
      <c r="D159" s="146"/>
      <c r="E159" s="113" t="s">
        <v>32</v>
      </c>
      <c r="F159" s="113" t="s">
        <v>17</v>
      </c>
      <c r="G159" s="40">
        <v>15</v>
      </c>
      <c r="H159" s="40">
        <v>30</v>
      </c>
      <c r="I159" s="11"/>
      <c r="J159" s="10">
        <f t="shared" si="15"/>
        <v>0</v>
      </c>
      <c r="K159" s="12"/>
      <c r="L159" s="12"/>
    </row>
    <row r="160" spans="2:12" ht="16" customHeight="1">
      <c r="B160" s="119" t="s">
        <v>434</v>
      </c>
      <c r="C160" s="11" t="s">
        <v>435</v>
      </c>
      <c r="D160" s="147"/>
      <c r="E160" s="113" t="s">
        <v>108</v>
      </c>
      <c r="F160" s="113" t="s">
        <v>17</v>
      </c>
      <c r="G160" s="40">
        <v>15</v>
      </c>
      <c r="H160" s="40">
        <v>30</v>
      </c>
      <c r="I160" s="11"/>
      <c r="J160" s="10">
        <f t="shared" si="15"/>
        <v>0</v>
      </c>
      <c r="K160" s="12"/>
      <c r="L160" s="12"/>
    </row>
    <row r="161" spans="2:12" ht="16" customHeight="1">
      <c r="B161" s="163" t="s">
        <v>70</v>
      </c>
      <c r="C161" s="164"/>
      <c r="D161" s="164"/>
      <c r="E161" s="164"/>
      <c r="F161" s="164"/>
      <c r="G161" s="164"/>
      <c r="H161" s="164"/>
      <c r="I161" s="164"/>
      <c r="J161" s="165"/>
      <c r="K161" s="12"/>
      <c r="L161" s="12"/>
    </row>
    <row r="162" spans="2:12" ht="16" customHeight="1">
      <c r="B162" s="111" t="s">
        <v>436</v>
      </c>
      <c r="C162" s="9" t="s">
        <v>437</v>
      </c>
      <c r="D162" s="139" t="s">
        <v>438</v>
      </c>
      <c r="E162" s="112" t="s">
        <v>20</v>
      </c>
      <c r="F162" s="19" t="s">
        <v>17</v>
      </c>
      <c r="G162" s="19">
        <v>11</v>
      </c>
      <c r="H162" s="19">
        <v>22</v>
      </c>
      <c r="I162" s="43"/>
      <c r="J162" s="45">
        <f>SUM(G162*I162)</f>
        <v>0</v>
      </c>
      <c r="K162" s="12"/>
      <c r="L162" s="12"/>
    </row>
    <row r="163" spans="2:12" ht="16" customHeight="1">
      <c r="B163" s="111" t="s">
        <v>449</v>
      </c>
      <c r="C163" s="9" t="s">
        <v>450</v>
      </c>
      <c r="D163" s="146"/>
      <c r="E163" s="112" t="s">
        <v>34</v>
      </c>
      <c r="F163" s="19" t="s">
        <v>17</v>
      </c>
      <c r="G163" s="19">
        <v>11</v>
      </c>
      <c r="H163" s="19">
        <v>22</v>
      </c>
      <c r="I163" s="43"/>
      <c r="J163" s="45">
        <f t="shared" ref="J163" si="30">SUM(G163*I163)</f>
        <v>0</v>
      </c>
      <c r="K163" s="12"/>
      <c r="L163" s="12"/>
    </row>
    <row r="164" spans="2:12" ht="16" customHeight="1">
      <c r="B164" s="111" t="s">
        <v>439</v>
      </c>
      <c r="C164" s="9" t="s">
        <v>440</v>
      </c>
      <c r="D164" s="146"/>
      <c r="E164" s="112" t="s">
        <v>31</v>
      </c>
      <c r="F164" s="19" t="s">
        <v>17</v>
      </c>
      <c r="G164" s="19">
        <v>11</v>
      </c>
      <c r="H164" s="19">
        <v>22</v>
      </c>
      <c r="I164" s="43"/>
      <c r="J164" s="45">
        <f t="shared" ref="J164:J192" si="31">SUM(G164*I164)</f>
        <v>0</v>
      </c>
      <c r="K164" s="12"/>
      <c r="L164" s="12"/>
    </row>
    <row r="165" spans="2:12" ht="16" customHeight="1">
      <c r="B165" s="111" t="s">
        <v>446</v>
      </c>
      <c r="C165" s="9" t="s">
        <v>447</v>
      </c>
      <c r="D165" s="146"/>
      <c r="E165" s="112" t="s">
        <v>448</v>
      </c>
      <c r="F165" s="19" t="s">
        <v>17</v>
      </c>
      <c r="G165" s="19">
        <v>11</v>
      </c>
      <c r="H165" s="19">
        <v>22</v>
      </c>
      <c r="I165" s="43"/>
      <c r="J165" s="45">
        <f t="shared" ref="J165" si="32">SUM(G165*I165)</f>
        <v>0</v>
      </c>
      <c r="K165" s="12"/>
      <c r="L165" s="12"/>
    </row>
    <row r="166" spans="2:12" ht="16" customHeight="1">
      <c r="B166" s="111" t="s">
        <v>441</v>
      </c>
      <c r="C166" s="9" t="s">
        <v>442</v>
      </c>
      <c r="D166" s="146"/>
      <c r="E166" s="112" t="s">
        <v>195</v>
      </c>
      <c r="F166" s="19" t="s">
        <v>17</v>
      </c>
      <c r="G166" s="19">
        <v>11</v>
      </c>
      <c r="H166" s="19">
        <v>22</v>
      </c>
      <c r="I166" s="43"/>
      <c r="J166" s="45">
        <f t="shared" si="31"/>
        <v>0</v>
      </c>
      <c r="K166" s="12"/>
      <c r="L166" s="12"/>
    </row>
    <row r="167" spans="2:12" ht="16" customHeight="1">
      <c r="B167" s="111" t="s">
        <v>443</v>
      </c>
      <c r="C167" s="9" t="s">
        <v>444</v>
      </c>
      <c r="D167" s="147"/>
      <c r="E167" s="112" t="s">
        <v>445</v>
      </c>
      <c r="F167" s="19" t="s">
        <v>17</v>
      </c>
      <c r="G167" s="19">
        <v>11</v>
      </c>
      <c r="H167" s="19">
        <v>22</v>
      </c>
      <c r="I167" s="43"/>
      <c r="J167" s="45">
        <f t="shared" si="31"/>
        <v>0</v>
      </c>
      <c r="K167" s="12"/>
      <c r="L167" s="12"/>
    </row>
    <row r="168" spans="2:12" ht="16" customHeight="1">
      <c r="B168" s="119" t="s">
        <v>451</v>
      </c>
      <c r="C168" s="11" t="s">
        <v>452</v>
      </c>
      <c r="D168" s="142" t="s">
        <v>453</v>
      </c>
      <c r="E168" s="113" t="s">
        <v>20</v>
      </c>
      <c r="F168" s="40" t="s">
        <v>17</v>
      </c>
      <c r="G168" s="40">
        <v>12</v>
      </c>
      <c r="H168" s="40">
        <v>24</v>
      </c>
      <c r="I168" s="66"/>
      <c r="J168" s="45">
        <f t="shared" si="31"/>
        <v>0</v>
      </c>
      <c r="K168" s="12"/>
      <c r="L168" s="12"/>
    </row>
    <row r="169" spans="2:12" ht="16" customHeight="1">
      <c r="B169" s="119" t="s">
        <v>454</v>
      </c>
      <c r="C169" s="11" t="s">
        <v>455</v>
      </c>
      <c r="D169" s="140"/>
      <c r="E169" s="113" t="s">
        <v>32</v>
      </c>
      <c r="F169" s="40" t="s">
        <v>17</v>
      </c>
      <c r="G169" s="40">
        <v>12</v>
      </c>
      <c r="H169" s="40">
        <v>24</v>
      </c>
      <c r="I169" s="66"/>
      <c r="J169" s="45">
        <f t="shared" si="31"/>
        <v>0</v>
      </c>
      <c r="K169" s="12"/>
      <c r="L169" s="12"/>
    </row>
    <row r="170" spans="2:12" ht="16" customHeight="1">
      <c r="B170" s="119" t="s">
        <v>456</v>
      </c>
      <c r="C170" s="11" t="s">
        <v>457</v>
      </c>
      <c r="D170" s="141"/>
      <c r="E170" s="113" t="s">
        <v>199</v>
      </c>
      <c r="F170" s="40" t="s">
        <v>17</v>
      </c>
      <c r="G170" s="40">
        <v>12</v>
      </c>
      <c r="H170" s="40">
        <v>24</v>
      </c>
      <c r="I170" s="66"/>
      <c r="J170" s="45">
        <f>SUM(G170*I170)</f>
        <v>0</v>
      </c>
      <c r="K170" s="12"/>
      <c r="L170" s="12"/>
    </row>
    <row r="171" spans="2:12" ht="16" customHeight="1">
      <c r="B171" s="111" t="s">
        <v>460</v>
      </c>
      <c r="C171" s="9" t="s">
        <v>461</v>
      </c>
      <c r="D171" s="139" t="s">
        <v>116</v>
      </c>
      <c r="E171" s="112" t="s">
        <v>462</v>
      </c>
      <c r="F171" s="19" t="s">
        <v>17</v>
      </c>
      <c r="G171" s="19">
        <v>14</v>
      </c>
      <c r="H171" s="19">
        <v>28</v>
      </c>
      <c r="I171" s="9"/>
      <c r="J171" s="45">
        <f t="shared" ref="J171" si="33">SUM(G171*I171)</f>
        <v>0</v>
      </c>
      <c r="K171" s="12"/>
      <c r="L171" s="12"/>
    </row>
    <row r="172" spans="2:12" ht="16" customHeight="1">
      <c r="B172" s="111" t="s">
        <v>458</v>
      </c>
      <c r="C172" s="9" t="s">
        <v>459</v>
      </c>
      <c r="D172" s="146"/>
      <c r="E172" s="112" t="s">
        <v>196</v>
      </c>
      <c r="F172" s="19" t="s">
        <v>17</v>
      </c>
      <c r="G172" s="19">
        <v>14</v>
      </c>
      <c r="H172" s="19">
        <v>28</v>
      </c>
      <c r="I172" s="9"/>
      <c r="J172" s="45">
        <f t="shared" si="31"/>
        <v>0</v>
      </c>
      <c r="K172" s="12"/>
      <c r="L172" s="12"/>
    </row>
    <row r="173" spans="2:12" ht="16" customHeight="1">
      <c r="B173" s="111" t="s">
        <v>463</v>
      </c>
      <c r="C173" s="9" t="s">
        <v>464</v>
      </c>
      <c r="D173" s="147"/>
      <c r="E173" s="112" t="s">
        <v>314</v>
      </c>
      <c r="F173" s="19" t="s">
        <v>17</v>
      </c>
      <c r="G173" s="19">
        <v>14</v>
      </c>
      <c r="H173" s="19">
        <v>28</v>
      </c>
      <c r="I173" s="9"/>
      <c r="J173" s="45">
        <f t="shared" si="31"/>
        <v>0</v>
      </c>
      <c r="K173" s="12"/>
      <c r="L173" s="12"/>
    </row>
    <row r="174" spans="2:12" ht="16" customHeight="1">
      <c r="B174" s="119" t="s">
        <v>465</v>
      </c>
      <c r="C174" s="11" t="s">
        <v>466</v>
      </c>
      <c r="D174" s="175" t="s">
        <v>118</v>
      </c>
      <c r="E174" s="113" t="s">
        <v>22</v>
      </c>
      <c r="F174" s="40" t="s">
        <v>17</v>
      </c>
      <c r="G174" s="40">
        <v>13</v>
      </c>
      <c r="H174" s="40">
        <v>26</v>
      </c>
      <c r="I174" s="66"/>
      <c r="J174" s="45">
        <f t="shared" si="31"/>
        <v>0</v>
      </c>
      <c r="K174" s="12"/>
      <c r="L174" s="12"/>
    </row>
    <row r="175" spans="2:12" ht="16" customHeight="1">
      <c r="B175" s="119" t="s">
        <v>469</v>
      </c>
      <c r="C175" s="11" t="s">
        <v>470</v>
      </c>
      <c r="D175" s="146"/>
      <c r="E175" s="113" t="s">
        <v>107</v>
      </c>
      <c r="F175" s="40" t="s">
        <v>17</v>
      </c>
      <c r="G175" s="40">
        <v>13</v>
      </c>
      <c r="H175" s="40">
        <v>26</v>
      </c>
      <c r="I175" s="66"/>
      <c r="J175" s="45">
        <f t="shared" ref="J175" si="34">SUM(G175*I175)</f>
        <v>0</v>
      </c>
      <c r="K175" s="12"/>
      <c r="L175" s="12"/>
    </row>
    <row r="176" spans="2:12" ht="16" customHeight="1">
      <c r="B176" s="119" t="s">
        <v>467</v>
      </c>
      <c r="C176" s="11" t="s">
        <v>468</v>
      </c>
      <c r="D176" s="147"/>
      <c r="E176" s="113" t="s">
        <v>32</v>
      </c>
      <c r="F176" s="40" t="s">
        <v>17</v>
      </c>
      <c r="G176" s="40">
        <v>13</v>
      </c>
      <c r="H176" s="40">
        <v>26</v>
      </c>
      <c r="I176" s="66"/>
      <c r="J176" s="45">
        <f t="shared" si="31"/>
        <v>0</v>
      </c>
      <c r="K176" s="12"/>
      <c r="L176" s="12"/>
    </row>
    <row r="177" spans="2:20" ht="16" customHeight="1">
      <c r="B177" s="111" t="s">
        <v>478</v>
      </c>
      <c r="C177" s="116" t="s">
        <v>479</v>
      </c>
      <c r="D177" s="139" t="s">
        <v>480</v>
      </c>
      <c r="E177" s="112" t="s">
        <v>20</v>
      </c>
      <c r="F177" s="19" t="s">
        <v>17</v>
      </c>
      <c r="G177" s="19">
        <v>13</v>
      </c>
      <c r="H177" s="19">
        <v>26</v>
      </c>
      <c r="I177" s="9"/>
      <c r="J177" s="45">
        <f t="shared" ref="J177:J180" si="35">SUM(G177*I177)</f>
        <v>0</v>
      </c>
      <c r="K177" s="12"/>
      <c r="L177" s="12"/>
    </row>
    <row r="178" spans="2:20" ht="16" customHeight="1">
      <c r="B178" s="111" t="s">
        <v>481</v>
      </c>
      <c r="C178" s="116" t="s">
        <v>482</v>
      </c>
      <c r="D178" s="140"/>
      <c r="E178" s="112" t="s">
        <v>22</v>
      </c>
      <c r="F178" s="19" t="s">
        <v>17</v>
      </c>
      <c r="G178" s="19">
        <v>13</v>
      </c>
      <c r="H178" s="19">
        <v>26</v>
      </c>
      <c r="I178" s="9"/>
      <c r="J178" s="45">
        <f t="shared" si="35"/>
        <v>0</v>
      </c>
      <c r="K178" s="12"/>
      <c r="L178" s="12"/>
    </row>
    <row r="179" spans="2:20" ht="16" customHeight="1">
      <c r="B179" s="111" t="s">
        <v>483</v>
      </c>
      <c r="C179" s="116" t="s">
        <v>484</v>
      </c>
      <c r="D179" s="141"/>
      <c r="E179" s="112" t="s">
        <v>232</v>
      </c>
      <c r="F179" s="19" t="s">
        <v>17</v>
      </c>
      <c r="G179" s="19">
        <v>13</v>
      </c>
      <c r="H179" s="19">
        <v>26</v>
      </c>
      <c r="I179" s="9"/>
      <c r="J179" s="45">
        <f t="shared" si="35"/>
        <v>0</v>
      </c>
      <c r="K179" s="12"/>
      <c r="L179" s="12"/>
    </row>
    <row r="180" spans="2:20" ht="16" customHeight="1">
      <c r="B180" s="119" t="s">
        <v>474</v>
      </c>
      <c r="C180" s="11" t="s">
        <v>475</v>
      </c>
      <c r="D180" s="142" t="s">
        <v>473</v>
      </c>
      <c r="E180" s="113" t="s">
        <v>20</v>
      </c>
      <c r="F180" s="40" t="s">
        <v>17</v>
      </c>
      <c r="G180" s="40">
        <v>13</v>
      </c>
      <c r="H180" s="40">
        <v>26</v>
      </c>
      <c r="I180" s="11"/>
      <c r="J180" s="45">
        <f t="shared" si="35"/>
        <v>0</v>
      </c>
      <c r="K180" s="12"/>
      <c r="L180" s="12"/>
    </row>
    <row r="181" spans="2:20" ht="16" customHeight="1">
      <c r="B181" s="119" t="s">
        <v>471</v>
      </c>
      <c r="C181" s="11" t="s">
        <v>472</v>
      </c>
      <c r="D181" s="146"/>
      <c r="E181" s="113" t="s">
        <v>171</v>
      </c>
      <c r="F181" s="40" t="s">
        <v>17</v>
      </c>
      <c r="G181" s="40">
        <v>13</v>
      </c>
      <c r="H181" s="40">
        <v>26</v>
      </c>
      <c r="I181" s="11"/>
      <c r="J181" s="45">
        <f t="shared" si="31"/>
        <v>0</v>
      </c>
      <c r="K181" s="12"/>
      <c r="L181" s="12"/>
    </row>
    <row r="182" spans="2:20" ht="16" customHeight="1">
      <c r="B182" s="119" t="s">
        <v>476</v>
      </c>
      <c r="C182" s="11" t="s">
        <v>477</v>
      </c>
      <c r="D182" s="147"/>
      <c r="E182" s="113" t="s">
        <v>31</v>
      </c>
      <c r="F182" s="40" t="s">
        <v>17</v>
      </c>
      <c r="G182" s="40">
        <v>13</v>
      </c>
      <c r="H182" s="40">
        <v>26</v>
      </c>
      <c r="I182" s="11"/>
      <c r="J182" s="45">
        <f t="shared" si="31"/>
        <v>0</v>
      </c>
      <c r="K182" s="12"/>
      <c r="L182" s="12"/>
    </row>
    <row r="183" spans="2:20" ht="16" customHeight="1">
      <c r="B183" s="111" t="s">
        <v>501</v>
      </c>
      <c r="C183" s="116" t="s">
        <v>502</v>
      </c>
      <c r="D183" s="139" t="s">
        <v>117</v>
      </c>
      <c r="E183" s="112" t="s">
        <v>20</v>
      </c>
      <c r="F183" s="19" t="s">
        <v>17</v>
      </c>
      <c r="G183" s="19">
        <v>13</v>
      </c>
      <c r="H183" s="19">
        <v>26</v>
      </c>
      <c r="I183" s="9"/>
      <c r="J183" s="45">
        <f t="shared" si="31"/>
        <v>0</v>
      </c>
      <c r="K183" s="12"/>
      <c r="L183" s="12"/>
    </row>
    <row r="184" spans="2:20" ht="16" customHeight="1">
      <c r="B184" s="111" t="s">
        <v>503</v>
      </c>
      <c r="C184" s="116" t="s">
        <v>504</v>
      </c>
      <c r="D184" s="140"/>
      <c r="E184" s="112" t="s">
        <v>32</v>
      </c>
      <c r="F184" s="19" t="s">
        <v>17</v>
      </c>
      <c r="G184" s="19">
        <v>13</v>
      </c>
      <c r="H184" s="19">
        <v>26</v>
      </c>
      <c r="I184" s="9"/>
      <c r="J184" s="45">
        <f t="shared" si="31"/>
        <v>0</v>
      </c>
      <c r="K184" s="12"/>
      <c r="L184" s="12"/>
    </row>
    <row r="185" spans="2:20" ht="16" customHeight="1">
      <c r="B185" s="111" t="s">
        <v>505</v>
      </c>
      <c r="C185" s="116" t="s">
        <v>506</v>
      </c>
      <c r="D185" s="141"/>
      <c r="E185" s="112" t="s">
        <v>112</v>
      </c>
      <c r="F185" s="19" t="s">
        <v>17</v>
      </c>
      <c r="G185" s="19">
        <v>13</v>
      </c>
      <c r="H185" s="19">
        <v>26</v>
      </c>
      <c r="I185" s="9"/>
      <c r="J185" s="45">
        <f t="shared" si="31"/>
        <v>0</v>
      </c>
      <c r="K185" s="12"/>
      <c r="L185" s="12"/>
    </row>
    <row r="186" spans="2:20" ht="16" customHeight="1">
      <c r="B186" s="119" t="s">
        <v>494</v>
      </c>
      <c r="C186" s="115" t="s">
        <v>495</v>
      </c>
      <c r="D186" s="142" t="s">
        <v>496</v>
      </c>
      <c r="E186" s="113" t="s">
        <v>20</v>
      </c>
      <c r="F186" s="40" t="s">
        <v>17</v>
      </c>
      <c r="G186" s="40">
        <v>13</v>
      </c>
      <c r="H186" s="40">
        <v>26</v>
      </c>
      <c r="I186" s="66"/>
      <c r="J186" s="45">
        <f t="shared" ref="J186:J188" si="36">SUM(G186*I186)</f>
        <v>0</v>
      </c>
      <c r="K186" s="12"/>
      <c r="L186" s="12"/>
    </row>
    <row r="187" spans="2:20" ht="16" customHeight="1">
      <c r="B187" s="119" t="s">
        <v>499</v>
      </c>
      <c r="C187" s="115" t="s">
        <v>500</v>
      </c>
      <c r="D187" s="146"/>
      <c r="E187" s="113" t="s">
        <v>337</v>
      </c>
      <c r="F187" s="40" t="s">
        <v>17</v>
      </c>
      <c r="G187" s="40">
        <v>13</v>
      </c>
      <c r="H187" s="40">
        <v>26</v>
      </c>
      <c r="I187" s="11"/>
      <c r="J187" s="45">
        <f t="shared" ref="J187" si="37">SUM(G187*I187)</f>
        <v>0</v>
      </c>
      <c r="K187" s="12"/>
      <c r="L187" s="12"/>
    </row>
    <row r="188" spans="2:20" ht="16" customHeight="1">
      <c r="B188" s="119" t="s">
        <v>497</v>
      </c>
      <c r="C188" s="115" t="s">
        <v>498</v>
      </c>
      <c r="D188" s="147"/>
      <c r="E188" s="113" t="s">
        <v>171</v>
      </c>
      <c r="F188" s="40" t="s">
        <v>17</v>
      </c>
      <c r="G188" s="40">
        <v>13</v>
      </c>
      <c r="H188" s="40">
        <v>26</v>
      </c>
      <c r="I188" s="11"/>
      <c r="J188" s="45">
        <f t="shared" si="36"/>
        <v>0</v>
      </c>
      <c r="K188" s="12"/>
      <c r="L188" s="12"/>
    </row>
    <row r="189" spans="2:20" customFormat="1" ht="16" customHeight="1">
      <c r="B189" s="111" t="s">
        <v>485</v>
      </c>
      <c r="C189" s="116" t="s">
        <v>486</v>
      </c>
      <c r="D189" s="139" t="s">
        <v>487</v>
      </c>
      <c r="E189" s="112" t="s">
        <v>32</v>
      </c>
      <c r="F189" s="65" t="s">
        <v>17</v>
      </c>
      <c r="G189" s="65">
        <v>13</v>
      </c>
      <c r="H189" s="65">
        <v>26</v>
      </c>
      <c r="I189" s="9"/>
      <c r="J189" s="10">
        <f t="shared" si="31"/>
        <v>0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 spans="2:20" customFormat="1" ht="16" customHeight="1">
      <c r="B190" s="111" t="s">
        <v>488</v>
      </c>
      <c r="C190" s="116" t="s">
        <v>489</v>
      </c>
      <c r="D190" s="146"/>
      <c r="E190" s="112" t="s">
        <v>23</v>
      </c>
      <c r="F190" s="65" t="s">
        <v>17</v>
      </c>
      <c r="G190" s="65">
        <v>13</v>
      </c>
      <c r="H190" s="65">
        <v>26</v>
      </c>
      <c r="I190" s="9"/>
      <c r="J190" s="10">
        <f t="shared" si="31"/>
        <v>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 spans="2:20" customFormat="1" ht="16" customHeight="1">
      <c r="B191" s="111" t="s">
        <v>492</v>
      </c>
      <c r="C191" s="116" t="s">
        <v>493</v>
      </c>
      <c r="D191" s="146"/>
      <c r="E191" s="112" t="s">
        <v>26</v>
      </c>
      <c r="F191" s="65" t="s">
        <v>17</v>
      </c>
      <c r="G191" s="65">
        <v>13</v>
      </c>
      <c r="H191" s="65">
        <v>26</v>
      </c>
      <c r="I191" s="9"/>
      <c r="J191" s="10">
        <f t="shared" ref="J191" si="38">SUM(G191*I191)</f>
        <v>0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 spans="2:20" customFormat="1" ht="16" customHeight="1">
      <c r="B192" s="111" t="s">
        <v>490</v>
      </c>
      <c r="C192" s="116" t="s">
        <v>491</v>
      </c>
      <c r="D192" s="147"/>
      <c r="E192" s="112" t="s">
        <v>20</v>
      </c>
      <c r="F192" s="65" t="s">
        <v>17</v>
      </c>
      <c r="G192" s="65">
        <v>13</v>
      </c>
      <c r="H192" s="65">
        <v>26</v>
      </c>
      <c r="I192" s="9"/>
      <c r="J192" s="10">
        <f t="shared" si="31"/>
        <v>0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 spans="2:12">
      <c r="B193" s="153" t="s">
        <v>63</v>
      </c>
      <c r="C193" s="154"/>
      <c r="D193" s="154"/>
      <c r="E193" s="154"/>
      <c r="F193" s="154"/>
      <c r="G193" s="154"/>
      <c r="H193" s="154"/>
      <c r="I193" s="154"/>
      <c r="J193" s="155"/>
      <c r="K193" s="12"/>
      <c r="L193" s="12"/>
    </row>
    <row r="194" spans="2:12" s="12" customFormat="1" ht="16" customHeight="1">
      <c r="B194" s="111" t="s">
        <v>507</v>
      </c>
      <c r="C194" s="116" t="s">
        <v>508</v>
      </c>
      <c r="D194" s="139" t="s">
        <v>509</v>
      </c>
      <c r="E194" s="112" t="s">
        <v>20</v>
      </c>
      <c r="F194" s="19" t="s">
        <v>17</v>
      </c>
      <c r="G194" s="19">
        <v>10</v>
      </c>
      <c r="H194" s="19">
        <v>20</v>
      </c>
      <c r="I194" s="9"/>
      <c r="J194" s="10">
        <f>SUM(G194*I194)</f>
        <v>0</v>
      </c>
    </row>
    <row r="195" spans="2:12" s="12" customFormat="1" ht="16" customHeight="1">
      <c r="B195" s="111" t="s">
        <v>512</v>
      </c>
      <c r="C195" s="116" t="s">
        <v>513</v>
      </c>
      <c r="D195" s="146"/>
      <c r="E195" s="112" t="s">
        <v>34</v>
      </c>
      <c r="F195" s="19" t="s">
        <v>17</v>
      </c>
      <c r="G195" s="19">
        <v>10</v>
      </c>
      <c r="H195" s="19">
        <v>20</v>
      </c>
      <c r="I195" s="9"/>
      <c r="J195" s="10">
        <f t="shared" ref="J195" si="39">SUM(G195*I195)</f>
        <v>0</v>
      </c>
    </row>
    <row r="196" spans="2:12" s="12" customFormat="1" ht="16" customHeight="1">
      <c r="B196" s="111" t="s">
        <v>510</v>
      </c>
      <c r="C196" s="116" t="s">
        <v>511</v>
      </c>
      <c r="D196" s="146"/>
      <c r="E196" s="112" t="s">
        <v>31</v>
      </c>
      <c r="F196" s="19" t="s">
        <v>17</v>
      </c>
      <c r="G196" s="19">
        <v>10</v>
      </c>
      <c r="H196" s="19">
        <v>20</v>
      </c>
      <c r="I196" s="9"/>
      <c r="J196" s="10">
        <f t="shared" ref="J196:J209" si="40">SUM(G196*I196)</f>
        <v>0</v>
      </c>
    </row>
    <row r="197" spans="2:12" s="12" customFormat="1" ht="16" customHeight="1">
      <c r="B197" s="111" t="s">
        <v>514</v>
      </c>
      <c r="C197" s="116" t="s">
        <v>515</v>
      </c>
      <c r="D197" s="146"/>
      <c r="E197" s="112" t="s">
        <v>112</v>
      </c>
      <c r="F197" s="19" t="s">
        <v>17</v>
      </c>
      <c r="G197" s="19">
        <v>10</v>
      </c>
      <c r="H197" s="19">
        <v>20</v>
      </c>
      <c r="I197" s="9"/>
      <c r="J197" s="10">
        <f t="shared" si="40"/>
        <v>0</v>
      </c>
    </row>
    <row r="198" spans="2:12" s="12" customFormat="1" ht="16" customHeight="1">
      <c r="B198" s="111" t="s">
        <v>516</v>
      </c>
      <c r="C198" s="116" t="s">
        <v>517</v>
      </c>
      <c r="D198" s="146"/>
      <c r="E198" s="112" t="s">
        <v>337</v>
      </c>
      <c r="F198" s="19" t="s">
        <v>17</v>
      </c>
      <c r="G198" s="19">
        <v>10</v>
      </c>
      <c r="H198" s="19">
        <v>20</v>
      </c>
      <c r="I198" s="9"/>
      <c r="J198" s="10">
        <f t="shared" si="40"/>
        <v>0</v>
      </c>
    </row>
    <row r="199" spans="2:12" s="12" customFormat="1" ht="16" customHeight="1">
      <c r="B199" s="111" t="s">
        <v>518</v>
      </c>
      <c r="C199" s="116" t="s">
        <v>519</v>
      </c>
      <c r="D199" s="147"/>
      <c r="E199" s="112" t="s">
        <v>110</v>
      </c>
      <c r="F199" s="19" t="s">
        <v>17</v>
      </c>
      <c r="G199" s="19">
        <v>10</v>
      </c>
      <c r="H199" s="19">
        <v>20</v>
      </c>
      <c r="I199" s="9"/>
      <c r="J199" s="10">
        <f t="shared" si="40"/>
        <v>0</v>
      </c>
    </row>
    <row r="200" spans="2:12" s="12" customFormat="1" ht="16" customHeight="1">
      <c r="B200" s="119" t="s">
        <v>520</v>
      </c>
      <c r="C200" s="115" t="s">
        <v>521</v>
      </c>
      <c r="D200" s="142" t="s">
        <v>522</v>
      </c>
      <c r="E200" s="113" t="s">
        <v>20</v>
      </c>
      <c r="F200" s="40" t="s">
        <v>17</v>
      </c>
      <c r="G200" s="40">
        <v>11</v>
      </c>
      <c r="H200" s="40">
        <v>22</v>
      </c>
      <c r="I200" s="11"/>
      <c r="J200" s="10">
        <f t="shared" si="40"/>
        <v>0</v>
      </c>
    </row>
    <row r="201" spans="2:12" s="12" customFormat="1" ht="16" customHeight="1">
      <c r="B201" s="119" t="s">
        <v>525</v>
      </c>
      <c r="C201" s="115" t="s">
        <v>526</v>
      </c>
      <c r="D201" s="146"/>
      <c r="E201" s="113" t="s">
        <v>32</v>
      </c>
      <c r="F201" s="40" t="s">
        <v>17</v>
      </c>
      <c r="G201" s="40">
        <v>11</v>
      </c>
      <c r="H201" s="40">
        <v>22</v>
      </c>
      <c r="I201" s="11"/>
      <c r="J201" s="10">
        <f t="shared" ref="J201:J202" si="41">SUM(G201*I201)</f>
        <v>0</v>
      </c>
    </row>
    <row r="202" spans="2:12" s="12" customFormat="1" ht="16" customHeight="1">
      <c r="B202" s="119" t="s">
        <v>530</v>
      </c>
      <c r="C202" s="115" t="s">
        <v>531</v>
      </c>
      <c r="D202" s="146"/>
      <c r="E202" s="113" t="s">
        <v>107</v>
      </c>
      <c r="F202" s="40" t="s">
        <v>17</v>
      </c>
      <c r="G202" s="40">
        <v>11</v>
      </c>
      <c r="H202" s="40">
        <v>22</v>
      </c>
      <c r="I202" s="11"/>
      <c r="J202" s="10">
        <f t="shared" si="41"/>
        <v>0</v>
      </c>
    </row>
    <row r="203" spans="2:12" s="12" customFormat="1" ht="16" customHeight="1">
      <c r="B203" s="119" t="s">
        <v>532</v>
      </c>
      <c r="C203" s="115" t="s">
        <v>533</v>
      </c>
      <c r="D203" s="146"/>
      <c r="E203" s="113" t="s">
        <v>22</v>
      </c>
      <c r="F203" s="40" t="s">
        <v>17</v>
      </c>
      <c r="G203" s="40">
        <v>11</v>
      </c>
      <c r="H203" s="40">
        <v>22</v>
      </c>
      <c r="I203" s="11"/>
      <c r="J203" s="10">
        <f t="shared" ref="J203:J204" si="42">SUM(G203*I203)</f>
        <v>0</v>
      </c>
    </row>
    <row r="204" spans="2:12" s="12" customFormat="1" ht="16" customHeight="1">
      <c r="B204" s="119" t="s">
        <v>527</v>
      </c>
      <c r="C204" s="115" t="s">
        <v>528</v>
      </c>
      <c r="D204" s="146"/>
      <c r="E204" s="113" t="s">
        <v>529</v>
      </c>
      <c r="F204" s="40" t="s">
        <v>17</v>
      </c>
      <c r="G204" s="40">
        <v>11</v>
      </c>
      <c r="H204" s="40">
        <v>22</v>
      </c>
      <c r="I204" s="11"/>
      <c r="J204" s="10">
        <f>SUM(G204*I204)</f>
        <v>0</v>
      </c>
    </row>
    <row r="205" spans="2:12" s="12" customFormat="1" ht="16" customHeight="1">
      <c r="B205" s="119" t="s">
        <v>523</v>
      </c>
      <c r="C205" s="115" t="s">
        <v>524</v>
      </c>
      <c r="D205" s="147"/>
      <c r="E205" s="113" t="s">
        <v>171</v>
      </c>
      <c r="F205" s="40" t="s">
        <v>17</v>
      </c>
      <c r="G205" s="40">
        <v>11</v>
      </c>
      <c r="H205" s="40">
        <v>22</v>
      </c>
      <c r="I205" s="11"/>
      <c r="J205" s="10">
        <f t="shared" ref="J205" si="43">SUM(G205*I205)</f>
        <v>0</v>
      </c>
    </row>
    <row r="206" spans="2:12" s="12" customFormat="1" ht="16" customHeight="1">
      <c r="B206" s="111" t="s">
        <v>534</v>
      </c>
      <c r="C206" s="9" t="s">
        <v>535</v>
      </c>
      <c r="D206" s="139" t="s">
        <v>536</v>
      </c>
      <c r="E206" s="112" t="s">
        <v>20</v>
      </c>
      <c r="F206" s="19" t="s">
        <v>17</v>
      </c>
      <c r="G206" s="19">
        <v>11</v>
      </c>
      <c r="H206" s="19">
        <v>22</v>
      </c>
      <c r="I206" s="9"/>
      <c r="J206" s="10">
        <f t="shared" si="40"/>
        <v>0</v>
      </c>
    </row>
    <row r="207" spans="2:12" s="12" customFormat="1" ht="16" customHeight="1">
      <c r="B207" s="111" t="s">
        <v>541</v>
      </c>
      <c r="C207" s="9" t="s">
        <v>542</v>
      </c>
      <c r="D207" s="146"/>
      <c r="E207" s="112" t="s">
        <v>195</v>
      </c>
      <c r="F207" s="19" t="s">
        <v>17</v>
      </c>
      <c r="G207" s="19">
        <v>11</v>
      </c>
      <c r="H207" s="19">
        <v>22</v>
      </c>
      <c r="I207" s="9"/>
      <c r="J207" s="10">
        <f t="shared" ref="J207" si="44">SUM(G207*I207)</f>
        <v>0</v>
      </c>
    </row>
    <row r="208" spans="2:12" s="12" customFormat="1" ht="16" customHeight="1">
      <c r="B208" s="111" t="s">
        <v>537</v>
      </c>
      <c r="C208" s="9" t="s">
        <v>538</v>
      </c>
      <c r="D208" s="146"/>
      <c r="E208" s="112" t="s">
        <v>26</v>
      </c>
      <c r="F208" s="19" t="s">
        <v>17</v>
      </c>
      <c r="G208" s="19">
        <v>11</v>
      </c>
      <c r="H208" s="19">
        <v>22</v>
      </c>
      <c r="I208" s="9"/>
      <c r="J208" s="10">
        <f t="shared" si="40"/>
        <v>0</v>
      </c>
    </row>
    <row r="209" spans="2:20" s="12" customFormat="1" ht="16" customHeight="1">
      <c r="B209" s="111" t="s">
        <v>539</v>
      </c>
      <c r="C209" s="9" t="s">
        <v>540</v>
      </c>
      <c r="D209" s="147"/>
      <c r="E209" s="112" t="s">
        <v>107</v>
      </c>
      <c r="F209" s="19" t="s">
        <v>17</v>
      </c>
      <c r="G209" s="19">
        <v>11</v>
      </c>
      <c r="H209" s="19">
        <v>22</v>
      </c>
      <c r="I209" s="9"/>
      <c r="J209" s="10">
        <f t="shared" si="40"/>
        <v>0</v>
      </c>
    </row>
    <row r="210" spans="2:20" ht="18" customHeight="1">
      <c r="B210" s="150" t="s">
        <v>670</v>
      </c>
      <c r="C210" s="151"/>
      <c r="D210" s="151"/>
      <c r="E210" s="151"/>
      <c r="F210" s="151"/>
      <c r="G210" s="151"/>
      <c r="H210" s="151"/>
      <c r="I210" s="151"/>
      <c r="J210" s="152"/>
      <c r="K210" s="12"/>
      <c r="L210" s="12"/>
    </row>
    <row r="211" spans="2:20" ht="16" customHeight="1">
      <c r="B211" s="111" t="s">
        <v>543</v>
      </c>
      <c r="C211" s="9" t="s">
        <v>544</v>
      </c>
      <c r="D211" s="139" t="s">
        <v>545</v>
      </c>
      <c r="E211" s="112" t="s">
        <v>20</v>
      </c>
      <c r="F211" s="19" t="s">
        <v>17</v>
      </c>
      <c r="G211" s="19">
        <v>13</v>
      </c>
      <c r="H211" s="19">
        <f>SUM(G211*2)</f>
        <v>26</v>
      </c>
      <c r="I211" s="9"/>
      <c r="J211" s="10">
        <f>SUM(G211*I211)</f>
        <v>0</v>
      </c>
      <c r="K211" s="12"/>
      <c r="L211" s="12"/>
    </row>
    <row r="212" spans="2:20" ht="16" customHeight="1">
      <c r="B212" s="111" t="s">
        <v>546</v>
      </c>
      <c r="C212" s="9" t="s">
        <v>547</v>
      </c>
      <c r="D212" s="140"/>
      <c r="E212" s="112" t="s">
        <v>195</v>
      </c>
      <c r="F212" s="19" t="s">
        <v>17</v>
      </c>
      <c r="G212" s="19">
        <v>13</v>
      </c>
      <c r="H212" s="19">
        <f t="shared" ref="H212:H246" si="45">SUM(G212*2)</f>
        <v>26</v>
      </c>
      <c r="I212" s="9"/>
      <c r="J212" s="10">
        <f t="shared" ref="J212:J257" si="46">SUM(G212*I212)</f>
        <v>0</v>
      </c>
      <c r="K212" s="12"/>
      <c r="L212" s="12"/>
    </row>
    <row r="213" spans="2:20" ht="16" customHeight="1">
      <c r="B213" s="111" t="s">
        <v>548</v>
      </c>
      <c r="C213" s="9" t="s">
        <v>549</v>
      </c>
      <c r="D213" s="141"/>
      <c r="E213" s="112" t="s">
        <v>107</v>
      </c>
      <c r="F213" s="19" t="s">
        <v>17</v>
      </c>
      <c r="G213" s="19">
        <v>13</v>
      </c>
      <c r="H213" s="19">
        <f t="shared" si="45"/>
        <v>26</v>
      </c>
      <c r="I213" s="9"/>
      <c r="J213" s="10">
        <f t="shared" si="46"/>
        <v>0</v>
      </c>
      <c r="K213" s="12"/>
      <c r="L213" s="12"/>
    </row>
    <row r="214" spans="2:20" s="12" customFormat="1" ht="16" customHeight="1">
      <c r="B214" s="119" t="s">
        <v>555</v>
      </c>
      <c r="C214" s="11" t="s">
        <v>556</v>
      </c>
      <c r="D214" s="142" t="s">
        <v>552</v>
      </c>
      <c r="E214" s="113" t="s">
        <v>20</v>
      </c>
      <c r="F214" s="40" t="s">
        <v>17</v>
      </c>
      <c r="G214" s="40">
        <v>15</v>
      </c>
      <c r="H214" s="40">
        <f t="shared" ref="H214" si="47">SUM(G214*2)</f>
        <v>30</v>
      </c>
      <c r="I214" s="66"/>
      <c r="J214" s="10">
        <f t="shared" si="46"/>
        <v>0</v>
      </c>
    </row>
    <row r="215" spans="2:20" s="12" customFormat="1" ht="16" customHeight="1">
      <c r="B215" s="119" t="s">
        <v>553</v>
      </c>
      <c r="C215" s="11" t="s">
        <v>554</v>
      </c>
      <c r="D215" s="148"/>
      <c r="E215" s="113" t="s">
        <v>1136</v>
      </c>
      <c r="F215" s="40" t="s">
        <v>17</v>
      </c>
      <c r="G215" s="40">
        <v>15</v>
      </c>
      <c r="H215" s="40">
        <f t="shared" si="45"/>
        <v>30</v>
      </c>
      <c r="I215" s="66"/>
      <c r="J215" s="10">
        <f t="shared" si="46"/>
        <v>0</v>
      </c>
    </row>
    <row r="216" spans="2:20" s="12" customFormat="1" ht="16" customHeight="1">
      <c r="B216" s="119" t="s">
        <v>550</v>
      </c>
      <c r="C216" s="11" t="s">
        <v>551</v>
      </c>
      <c r="D216" s="149"/>
      <c r="E216" s="113" t="s">
        <v>107</v>
      </c>
      <c r="F216" s="40" t="s">
        <v>17</v>
      </c>
      <c r="G216" s="40">
        <v>15</v>
      </c>
      <c r="H216" s="40">
        <f t="shared" ref="H216" si="48">SUM(G216*2)</f>
        <v>30</v>
      </c>
      <c r="I216" s="66"/>
      <c r="J216" s="10">
        <f t="shared" ref="J216" si="49">SUM(G216*I216)</f>
        <v>0</v>
      </c>
    </row>
    <row r="217" spans="2:20" customFormat="1" ht="16" customHeight="1">
      <c r="B217" s="111" t="s">
        <v>566</v>
      </c>
      <c r="C217" s="9" t="s">
        <v>567</v>
      </c>
      <c r="D217" s="139" t="s">
        <v>568</v>
      </c>
      <c r="E217" s="112" t="s">
        <v>20</v>
      </c>
      <c r="F217" s="65" t="s">
        <v>17</v>
      </c>
      <c r="G217" s="65">
        <v>13</v>
      </c>
      <c r="H217" s="65">
        <f t="shared" ref="H217:H220" si="50">SUM(G217*2)</f>
        <v>26</v>
      </c>
      <c r="I217" s="9"/>
      <c r="J217" s="10">
        <f t="shared" ref="J217:J220" si="51">SUM(G217*I217)</f>
        <v>0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 spans="2:20" customFormat="1" ht="16" customHeight="1">
      <c r="B218" s="111" t="s">
        <v>569</v>
      </c>
      <c r="C218" s="9" t="s">
        <v>570</v>
      </c>
      <c r="D218" s="141"/>
      <c r="E218" s="112" t="s">
        <v>112</v>
      </c>
      <c r="F218" s="65" t="s">
        <v>17</v>
      </c>
      <c r="G218" s="65">
        <v>13</v>
      </c>
      <c r="H218" s="65">
        <f t="shared" si="50"/>
        <v>26</v>
      </c>
      <c r="I218" s="9"/>
      <c r="J218" s="10">
        <f t="shared" si="51"/>
        <v>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 spans="2:20" s="12" customFormat="1" ht="16" customHeight="1">
      <c r="B219" s="119" t="s">
        <v>560</v>
      </c>
      <c r="C219" s="11" t="s">
        <v>561</v>
      </c>
      <c r="D219" s="142" t="s">
        <v>559</v>
      </c>
      <c r="E219" s="113" t="s">
        <v>196</v>
      </c>
      <c r="F219" s="40" t="s">
        <v>17</v>
      </c>
      <c r="G219" s="40">
        <v>15</v>
      </c>
      <c r="H219" s="40">
        <f t="shared" si="50"/>
        <v>30</v>
      </c>
      <c r="I219" s="11"/>
      <c r="J219" s="10">
        <f t="shared" si="51"/>
        <v>0</v>
      </c>
    </row>
    <row r="220" spans="2:20" s="12" customFormat="1" ht="16" customHeight="1">
      <c r="B220" s="119" t="s">
        <v>564</v>
      </c>
      <c r="C220" s="11" t="s">
        <v>565</v>
      </c>
      <c r="D220" s="146"/>
      <c r="E220" s="113" t="s">
        <v>36</v>
      </c>
      <c r="F220" s="40" t="s">
        <v>17</v>
      </c>
      <c r="G220" s="40">
        <v>15</v>
      </c>
      <c r="H220" s="40">
        <f t="shared" si="50"/>
        <v>30</v>
      </c>
      <c r="I220" s="11"/>
      <c r="J220" s="10">
        <f t="shared" si="51"/>
        <v>0</v>
      </c>
    </row>
    <row r="221" spans="2:20" s="12" customFormat="1" ht="16" customHeight="1">
      <c r="B221" s="119" t="s">
        <v>562</v>
      </c>
      <c r="C221" s="11" t="s">
        <v>563</v>
      </c>
      <c r="D221" s="146"/>
      <c r="E221" s="113" t="s">
        <v>186</v>
      </c>
      <c r="F221" s="40" t="s">
        <v>17</v>
      </c>
      <c r="G221" s="40">
        <v>15</v>
      </c>
      <c r="H221" s="40">
        <f t="shared" si="45"/>
        <v>30</v>
      </c>
      <c r="I221" s="11"/>
      <c r="J221" s="10">
        <f>SUM(G221*I221)</f>
        <v>0</v>
      </c>
    </row>
    <row r="222" spans="2:20" s="12" customFormat="1" ht="16" customHeight="1">
      <c r="B222" s="119" t="s">
        <v>557</v>
      </c>
      <c r="C222" s="11" t="s">
        <v>558</v>
      </c>
      <c r="D222" s="147"/>
      <c r="E222" s="113" t="s">
        <v>183</v>
      </c>
      <c r="F222" s="40" t="s">
        <v>17</v>
      </c>
      <c r="G222" s="40">
        <v>15</v>
      </c>
      <c r="H222" s="40">
        <f t="shared" ref="H222:H223" si="52">SUM(G222*2)</f>
        <v>30</v>
      </c>
      <c r="I222" s="11"/>
      <c r="J222" s="10">
        <f t="shared" ref="J222:J223" si="53">SUM(G222*I222)</f>
        <v>0</v>
      </c>
    </row>
    <row r="223" spans="2:20" ht="16" customHeight="1">
      <c r="B223" s="111" t="s">
        <v>574</v>
      </c>
      <c r="C223" s="9" t="s">
        <v>575</v>
      </c>
      <c r="D223" s="139" t="s">
        <v>573</v>
      </c>
      <c r="E223" s="112" t="s">
        <v>30</v>
      </c>
      <c r="F223" s="19" t="s">
        <v>17</v>
      </c>
      <c r="G223" s="19">
        <v>13</v>
      </c>
      <c r="H223" s="19">
        <f t="shared" si="52"/>
        <v>26</v>
      </c>
      <c r="I223" s="9"/>
      <c r="J223" s="10">
        <f t="shared" si="53"/>
        <v>0</v>
      </c>
      <c r="K223" s="12"/>
      <c r="L223" s="12"/>
    </row>
    <row r="224" spans="2:20" ht="16" customHeight="1">
      <c r="B224" s="111" t="s">
        <v>571</v>
      </c>
      <c r="C224" s="9" t="s">
        <v>572</v>
      </c>
      <c r="D224" s="147"/>
      <c r="E224" s="112" t="s">
        <v>31</v>
      </c>
      <c r="F224" s="19" t="s">
        <v>17</v>
      </c>
      <c r="G224" s="19">
        <v>13</v>
      </c>
      <c r="H224" s="19">
        <f t="shared" si="45"/>
        <v>26</v>
      </c>
      <c r="I224" s="9"/>
      <c r="J224" s="10">
        <f t="shared" si="46"/>
        <v>0</v>
      </c>
      <c r="K224" s="12"/>
      <c r="L224" s="12"/>
    </row>
    <row r="225" spans="2:12" ht="16" customHeight="1">
      <c r="B225" s="119" t="s">
        <v>576</v>
      </c>
      <c r="C225" s="11" t="s">
        <v>577</v>
      </c>
      <c r="D225" s="142" t="s">
        <v>64</v>
      </c>
      <c r="E225" s="113" t="s">
        <v>20</v>
      </c>
      <c r="F225" s="40" t="s">
        <v>17</v>
      </c>
      <c r="G225" s="40">
        <v>16</v>
      </c>
      <c r="H225" s="40">
        <f t="shared" si="45"/>
        <v>32</v>
      </c>
      <c r="I225" s="11"/>
      <c r="J225" s="10">
        <f t="shared" si="46"/>
        <v>0</v>
      </c>
      <c r="K225" s="12"/>
      <c r="L225" s="12"/>
    </row>
    <row r="226" spans="2:12" ht="16" customHeight="1">
      <c r="B226" s="119" t="s">
        <v>578</v>
      </c>
      <c r="C226" s="11" t="s">
        <v>579</v>
      </c>
      <c r="D226" s="141"/>
      <c r="E226" s="113" t="s">
        <v>462</v>
      </c>
      <c r="F226" s="40" t="s">
        <v>17</v>
      </c>
      <c r="G226" s="40">
        <v>16</v>
      </c>
      <c r="H226" s="40">
        <f t="shared" si="45"/>
        <v>32</v>
      </c>
      <c r="I226" s="11"/>
      <c r="J226" s="10">
        <f t="shared" si="46"/>
        <v>0</v>
      </c>
      <c r="K226" s="12"/>
      <c r="L226" s="12"/>
    </row>
    <row r="227" spans="2:12" ht="16" customHeight="1">
      <c r="B227" s="111" t="s">
        <v>580</v>
      </c>
      <c r="C227" s="9" t="s">
        <v>581</v>
      </c>
      <c r="D227" s="139" t="s">
        <v>582</v>
      </c>
      <c r="E227" s="112" t="s">
        <v>20</v>
      </c>
      <c r="F227" s="19" t="s">
        <v>17</v>
      </c>
      <c r="G227" s="19">
        <v>17</v>
      </c>
      <c r="H227" s="19">
        <f t="shared" si="45"/>
        <v>34</v>
      </c>
      <c r="I227" s="9"/>
      <c r="J227" s="10">
        <f t="shared" si="46"/>
        <v>0</v>
      </c>
      <c r="K227" s="12"/>
      <c r="L227" s="12"/>
    </row>
    <row r="228" spans="2:12" ht="16" customHeight="1">
      <c r="B228" s="111" t="s">
        <v>583</v>
      </c>
      <c r="C228" s="9" t="s">
        <v>584</v>
      </c>
      <c r="D228" s="141"/>
      <c r="E228" s="112" t="s">
        <v>183</v>
      </c>
      <c r="F228" s="19" t="s">
        <v>17</v>
      </c>
      <c r="G228" s="19">
        <v>17</v>
      </c>
      <c r="H228" s="19">
        <f t="shared" si="45"/>
        <v>34</v>
      </c>
      <c r="I228" s="9"/>
      <c r="J228" s="10">
        <f t="shared" si="46"/>
        <v>0</v>
      </c>
      <c r="K228" s="12"/>
      <c r="L228" s="12"/>
    </row>
    <row r="229" spans="2:12" ht="16" customHeight="1">
      <c r="B229" s="119" t="s">
        <v>585</v>
      </c>
      <c r="C229" s="11" t="s">
        <v>586</v>
      </c>
      <c r="D229" s="142" t="s">
        <v>587</v>
      </c>
      <c r="E229" s="113" t="s">
        <v>20</v>
      </c>
      <c r="F229" s="40" t="s">
        <v>17</v>
      </c>
      <c r="G229" s="40">
        <v>16</v>
      </c>
      <c r="H229" s="40">
        <f t="shared" si="45"/>
        <v>32</v>
      </c>
      <c r="I229" s="11"/>
      <c r="J229" s="10">
        <f t="shared" si="46"/>
        <v>0</v>
      </c>
      <c r="K229" s="12"/>
      <c r="L229" s="12"/>
    </row>
    <row r="230" spans="2:12" ht="16" customHeight="1">
      <c r="B230" s="119" t="s">
        <v>588</v>
      </c>
      <c r="C230" s="11" t="s">
        <v>589</v>
      </c>
      <c r="D230" s="141"/>
      <c r="E230" s="113" t="s">
        <v>23</v>
      </c>
      <c r="F230" s="40" t="s">
        <v>17</v>
      </c>
      <c r="G230" s="40">
        <v>16</v>
      </c>
      <c r="H230" s="40">
        <f t="shared" si="45"/>
        <v>32</v>
      </c>
      <c r="I230" s="11"/>
      <c r="J230" s="10">
        <f t="shared" si="46"/>
        <v>0</v>
      </c>
      <c r="K230" s="12"/>
      <c r="L230" s="12"/>
    </row>
    <row r="231" spans="2:12" ht="16" customHeight="1">
      <c r="B231" s="111" t="s">
        <v>590</v>
      </c>
      <c r="C231" s="9" t="s">
        <v>591</v>
      </c>
      <c r="D231" s="139" t="s">
        <v>25</v>
      </c>
      <c r="E231" s="112" t="s">
        <v>20</v>
      </c>
      <c r="F231" s="19" t="s">
        <v>17</v>
      </c>
      <c r="G231" s="19">
        <v>15</v>
      </c>
      <c r="H231" s="19">
        <f t="shared" si="45"/>
        <v>30</v>
      </c>
      <c r="I231" s="9"/>
      <c r="J231" s="10">
        <f t="shared" si="46"/>
        <v>0</v>
      </c>
      <c r="K231" s="12"/>
      <c r="L231" s="12"/>
    </row>
    <row r="232" spans="2:12" ht="16" customHeight="1">
      <c r="B232" s="111" t="s">
        <v>592</v>
      </c>
      <c r="C232" s="9" t="s">
        <v>593</v>
      </c>
      <c r="D232" s="141"/>
      <c r="E232" s="112" t="s">
        <v>171</v>
      </c>
      <c r="F232" s="19" t="s">
        <v>17</v>
      </c>
      <c r="G232" s="19">
        <v>15</v>
      </c>
      <c r="H232" s="19">
        <f t="shared" si="45"/>
        <v>30</v>
      </c>
      <c r="I232" s="9"/>
      <c r="J232" s="10">
        <f t="shared" si="46"/>
        <v>0</v>
      </c>
      <c r="K232" s="12"/>
      <c r="L232" s="12"/>
    </row>
    <row r="233" spans="2:12" ht="16" customHeight="1">
      <c r="B233" s="119" t="s">
        <v>594</v>
      </c>
      <c r="C233" s="11" t="s">
        <v>595</v>
      </c>
      <c r="D233" s="142" t="s">
        <v>65</v>
      </c>
      <c r="E233" s="113" t="s">
        <v>20</v>
      </c>
      <c r="F233" s="40" t="s">
        <v>17</v>
      </c>
      <c r="G233" s="40">
        <v>15</v>
      </c>
      <c r="H233" s="40">
        <f t="shared" si="45"/>
        <v>30</v>
      </c>
      <c r="I233" s="11"/>
      <c r="J233" s="10">
        <f t="shared" si="46"/>
        <v>0</v>
      </c>
      <c r="K233" s="12"/>
      <c r="L233" s="12"/>
    </row>
    <row r="234" spans="2:12" ht="16" customHeight="1">
      <c r="B234" s="119" t="s">
        <v>596</v>
      </c>
      <c r="C234" s="11" t="s">
        <v>597</v>
      </c>
      <c r="D234" s="141"/>
      <c r="E234" s="113" t="s">
        <v>34</v>
      </c>
      <c r="F234" s="40" t="s">
        <v>17</v>
      </c>
      <c r="G234" s="40">
        <v>15</v>
      </c>
      <c r="H234" s="40">
        <f t="shared" si="45"/>
        <v>30</v>
      </c>
      <c r="I234" s="11"/>
      <c r="J234" s="10">
        <f t="shared" si="46"/>
        <v>0</v>
      </c>
      <c r="K234" s="12"/>
      <c r="L234" s="12"/>
    </row>
    <row r="235" spans="2:12" ht="16" customHeight="1">
      <c r="B235" s="111" t="s">
        <v>600</v>
      </c>
      <c r="C235" s="9" t="s">
        <v>601</v>
      </c>
      <c r="D235" s="139" t="s">
        <v>119</v>
      </c>
      <c r="E235" s="112" t="s">
        <v>20</v>
      </c>
      <c r="F235" s="19" t="s">
        <v>17</v>
      </c>
      <c r="G235" s="19">
        <v>15</v>
      </c>
      <c r="H235" s="19">
        <f t="shared" ref="H235" si="54">SUM(G235*2)</f>
        <v>30</v>
      </c>
      <c r="I235" s="9"/>
      <c r="J235" s="10">
        <f t="shared" ref="J235" si="55">SUM(G235*I235)</f>
        <v>0</v>
      </c>
      <c r="K235" s="12"/>
      <c r="L235" s="12"/>
    </row>
    <row r="236" spans="2:12" ht="16" customHeight="1">
      <c r="B236" s="111" t="s">
        <v>598</v>
      </c>
      <c r="C236" s="9" t="s">
        <v>599</v>
      </c>
      <c r="D236" s="147"/>
      <c r="E236" s="112" t="s">
        <v>29</v>
      </c>
      <c r="F236" s="19" t="s">
        <v>17</v>
      </c>
      <c r="G236" s="19">
        <v>15</v>
      </c>
      <c r="H236" s="19">
        <f t="shared" si="45"/>
        <v>30</v>
      </c>
      <c r="I236" s="9"/>
      <c r="J236" s="10">
        <f t="shared" si="46"/>
        <v>0</v>
      </c>
      <c r="K236" s="12"/>
      <c r="L236" s="12"/>
    </row>
    <row r="237" spans="2:12" ht="16" customHeight="1">
      <c r="B237" s="119" t="s">
        <v>602</v>
      </c>
      <c r="C237" s="11" t="s">
        <v>603</v>
      </c>
      <c r="D237" s="142" t="s">
        <v>24</v>
      </c>
      <c r="E237" s="113" t="s">
        <v>1137</v>
      </c>
      <c r="F237" s="40" t="s">
        <v>17</v>
      </c>
      <c r="G237" s="40">
        <v>17</v>
      </c>
      <c r="H237" s="40">
        <f t="shared" si="45"/>
        <v>34</v>
      </c>
      <c r="I237" s="66"/>
      <c r="J237" s="10">
        <f t="shared" si="46"/>
        <v>0</v>
      </c>
      <c r="K237" s="12"/>
      <c r="L237" s="12"/>
    </row>
    <row r="238" spans="2:12" ht="16" customHeight="1">
      <c r="B238" s="119" t="s">
        <v>604</v>
      </c>
      <c r="C238" s="11" t="s">
        <v>605</v>
      </c>
      <c r="D238" s="141"/>
      <c r="E238" s="113" t="s">
        <v>1138</v>
      </c>
      <c r="F238" s="40" t="s">
        <v>17</v>
      </c>
      <c r="G238" s="40">
        <v>17</v>
      </c>
      <c r="H238" s="40">
        <f t="shared" si="45"/>
        <v>34</v>
      </c>
      <c r="I238" s="66"/>
      <c r="J238" s="10">
        <f t="shared" si="46"/>
        <v>0</v>
      </c>
      <c r="K238" s="12"/>
      <c r="L238" s="12"/>
    </row>
    <row r="239" spans="2:12" ht="16" customHeight="1">
      <c r="B239" s="111" t="s">
        <v>606</v>
      </c>
      <c r="C239" s="9" t="s">
        <v>607</v>
      </c>
      <c r="D239" s="139" t="s">
        <v>120</v>
      </c>
      <c r="E239" s="112" t="s">
        <v>20</v>
      </c>
      <c r="F239" s="19" t="s">
        <v>17</v>
      </c>
      <c r="G239" s="19">
        <v>17</v>
      </c>
      <c r="H239" s="19">
        <f t="shared" si="45"/>
        <v>34</v>
      </c>
      <c r="I239" s="9"/>
      <c r="J239" s="10">
        <f t="shared" si="46"/>
        <v>0</v>
      </c>
      <c r="K239" s="12"/>
      <c r="L239" s="12"/>
    </row>
    <row r="240" spans="2:12" ht="16" customHeight="1">
      <c r="B240" s="111" t="s">
        <v>610</v>
      </c>
      <c r="C240" s="9" t="s">
        <v>611</v>
      </c>
      <c r="D240" s="146"/>
      <c r="E240" s="112" t="s">
        <v>30</v>
      </c>
      <c r="F240" s="19" t="s">
        <v>17</v>
      </c>
      <c r="G240" s="19">
        <v>17</v>
      </c>
      <c r="H240" s="19">
        <f t="shared" ref="H240" si="56">SUM(G240*2)</f>
        <v>34</v>
      </c>
      <c r="I240" s="9"/>
      <c r="J240" s="10">
        <f t="shared" ref="J240" si="57">SUM(G240*I240)</f>
        <v>0</v>
      </c>
      <c r="K240" s="12"/>
      <c r="L240" s="12"/>
    </row>
    <row r="241" spans="2:12" ht="16" customHeight="1">
      <c r="B241" s="111" t="s">
        <v>608</v>
      </c>
      <c r="C241" s="9" t="s">
        <v>609</v>
      </c>
      <c r="D241" s="147"/>
      <c r="E241" s="112" t="s">
        <v>34</v>
      </c>
      <c r="F241" s="19" t="s">
        <v>17</v>
      </c>
      <c r="G241" s="19">
        <v>17</v>
      </c>
      <c r="H241" s="19">
        <f t="shared" si="45"/>
        <v>34</v>
      </c>
      <c r="I241" s="9"/>
      <c r="J241" s="10">
        <f t="shared" si="46"/>
        <v>0</v>
      </c>
      <c r="K241" s="12"/>
      <c r="L241" s="12"/>
    </row>
    <row r="242" spans="2:12" ht="16" customHeight="1">
      <c r="B242" s="119" t="s">
        <v>612</v>
      </c>
      <c r="C242" s="11" t="s">
        <v>613</v>
      </c>
      <c r="D242" s="142" t="s">
        <v>27</v>
      </c>
      <c r="E242" s="113" t="s">
        <v>20</v>
      </c>
      <c r="F242" s="40" t="s">
        <v>17</v>
      </c>
      <c r="G242" s="40">
        <v>20</v>
      </c>
      <c r="H242" s="40">
        <f t="shared" si="45"/>
        <v>40</v>
      </c>
      <c r="I242" s="66"/>
      <c r="J242" s="10">
        <f t="shared" si="46"/>
        <v>0</v>
      </c>
      <c r="K242" s="12"/>
      <c r="L242" s="12"/>
    </row>
    <row r="243" spans="2:12" ht="16" customHeight="1">
      <c r="B243" s="119" t="s">
        <v>618</v>
      </c>
      <c r="C243" s="11" t="s">
        <v>619</v>
      </c>
      <c r="D243" s="146"/>
      <c r="E243" s="113" t="s">
        <v>1136</v>
      </c>
      <c r="F243" s="40" t="s">
        <v>17</v>
      </c>
      <c r="G243" s="40">
        <v>20</v>
      </c>
      <c r="H243" s="40">
        <f t="shared" ref="H243:H244" si="58">SUM(G243*2)</f>
        <v>40</v>
      </c>
      <c r="I243" s="11"/>
      <c r="J243" s="10">
        <f t="shared" ref="J243:J244" si="59">SUM(G243*I243)</f>
        <v>0</v>
      </c>
      <c r="K243" s="12"/>
      <c r="L243" s="12"/>
    </row>
    <row r="244" spans="2:12" ht="16" customHeight="1">
      <c r="B244" s="119" t="s">
        <v>616</v>
      </c>
      <c r="C244" s="11" t="s">
        <v>617</v>
      </c>
      <c r="D244" s="146"/>
      <c r="E244" s="113" t="s">
        <v>183</v>
      </c>
      <c r="F244" s="40" t="s">
        <v>17</v>
      </c>
      <c r="G244" s="40">
        <v>20</v>
      </c>
      <c r="H244" s="40">
        <f t="shared" si="58"/>
        <v>40</v>
      </c>
      <c r="I244" s="66"/>
      <c r="J244" s="10">
        <f t="shared" si="59"/>
        <v>0</v>
      </c>
      <c r="K244" s="12"/>
      <c r="L244" s="12"/>
    </row>
    <row r="245" spans="2:12" ht="16" customHeight="1">
      <c r="B245" s="119" t="s">
        <v>614</v>
      </c>
      <c r="C245" s="11" t="s">
        <v>615</v>
      </c>
      <c r="D245" s="146"/>
      <c r="E245" s="113" t="s">
        <v>291</v>
      </c>
      <c r="F245" s="40" t="s">
        <v>17</v>
      </c>
      <c r="G245" s="40">
        <v>20</v>
      </c>
      <c r="H245" s="40">
        <f t="shared" si="45"/>
        <v>40</v>
      </c>
      <c r="I245" s="66"/>
      <c r="J245" s="10">
        <f t="shared" si="46"/>
        <v>0</v>
      </c>
      <c r="K245" s="12"/>
      <c r="L245" s="12"/>
    </row>
    <row r="246" spans="2:12" ht="16" customHeight="1">
      <c r="B246" s="119" t="s">
        <v>620</v>
      </c>
      <c r="C246" s="11" t="s">
        <v>621</v>
      </c>
      <c r="D246" s="147"/>
      <c r="E246" s="113" t="s">
        <v>197</v>
      </c>
      <c r="F246" s="40" t="s">
        <v>17</v>
      </c>
      <c r="G246" s="40">
        <v>20</v>
      </c>
      <c r="H246" s="40">
        <f t="shared" si="45"/>
        <v>40</v>
      </c>
      <c r="I246" s="11"/>
      <c r="J246" s="10">
        <f t="shared" si="46"/>
        <v>0</v>
      </c>
      <c r="K246" s="12"/>
      <c r="L246" s="12"/>
    </row>
    <row r="247" spans="2:12" ht="18" customHeight="1">
      <c r="B247" s="150" t="s">
        <v>669</v>
      </c>
      <c r="C247" s="151"/>
      <c r="D247" s="151"/>
      <c r="E247" s="151"/>
      <c r="F247" s="151"/>
      <c r="G247" s="151"/>
      <c r="H247" s="151"/>
      <c r="I247" s="151"/>
      <c r="J247" s="152"/>
      <c r="K247" s="12"/>
      <c r="L247" s="12"/>
    </row>
    <row r="248" spans="2:12" ht="16" customHeight="1">
      <c r="B248" s="111" t="s">
        <v>622</v>
      </c>
      <c r="C248" s="9" t="s">
        <v>623</v>
      </c>
      <c r="D248" s="139" t="s">
        <v>121</v>
      </c>
      <c r="E248" s="112" t="s">
        <v>20</v>
      </c>
      <c r="F248" s="19" t="s">
        <v>17</v>
      </c>
      <c r="G248" s="19">
        <v>16</v>
      </c>
      <c r="H248" s="19">
        <f t="shared" ref="H248:H267" si="60">SUM(G248*2)</f>
        <v>32</v>
      </c>
      <c r="I248" s="9"/>
      <c r="J248" s="10">
        <f t="shared" si="46"/>
        <v>0</v>
      </c>
      <c r="K248" s="12"/>
      <c r="L248" s="12"/>
    </row>
    <row r="249" spans="2:12" ht="16" customHeight="1">
      <c r="B249" s="111" t="s">
        <v>624</v>
      </c>
      <c r="C249" s="9" t="s">
        <v>625</v>
      </c>
      <c r="D249" s="141"/>
      <c r="E249" s="112" t="s">
        <v>626</v>
      </c>
      <c r="F249" s="19" t="s">
        <v>17</v>
      </c>
      <c r="G249" s="19">
        <v>16</v>
      </c>
      <c r="H249" s="19">
        <f t="shared" si="60"/>
        <v>32</v>
      </c>
      <c r="I249" s="9"/>
      <c r="J249" s="10">
        <f t="shared" si="46"/>
        <v>0</v>
      </c>
      <c r="K249" s="12"/>
      <c r="L249" s="12"/>
    </row>
    <row r="250" spans="2:12" ht="16" customHeight="1">
      <c r="B250" s="119" t="s">
        <v>627</v>
      </c>
      <c r="C250" s="11" t="s">
        <v>628</v>
      </c>
      <c r="D250" s="142" t="s">
        <v>122</v>
      </c>
      <c r="E250" s="113" t="s">
        <v>32</v>
      </c>
      <c r="F250" s="40" t="s">
        <v>17</v>
      </c>
      <c r="G250" s="40">
        <v>16</v>
      </c>
      <c r="H250" s="40">
        <f t="shared" si="60"/>
        <v>32</v>
      </c>
      <c r="I250" s="11"/>
      <c r="J250" s="10">
        <f t="shared" si="46"/>
        <v>0</v>
      </c>
      <c r="K250" s="12"/>
      <c r="L250" s="12"/>
    </row>
    <row r="251" spans="2:12" ht="16" customHeight="1">
      <c r="B251" s="119" t="s">
        <v>629</v>
      </c>
      <c r="C251" s="11" t="s">
        <v>630</v>
      </c>
      <c r="D251" s="147"/>
      <c r="E251" s="113" t="s">
        <v>195</v>
      </c>
      <c r="F251" s="40" t="s">
        <v>17</v>
      </c>
      <c r="G251" s="40">
        <v>16</v>
      </c>
      <c r="H251" s="40">
        <f t="shared" si="60"/>
        <v>32</v>
      </c>
      <c r="I251" s="11"/>
      <c r="J251" s="10">
        <f t="shared" si="46"/>
        <v>0</v>
      </c>
      <c r="K251" s="12"/>
      <c r="L251" s="12"/>
    </row>
    <row r="252" spans="2:12" ht="16" customHeight="1">
      <c r="B252" s="111" t="s">
        <v>631</v>
      </c>
      <c r="C252" s="116" t="s">
        <v>632</v>
      </c>
      <c r="D252" s="139" t="s">
        <v>633</v>
      </c>
      <c r="E252" s="112" t="s">
        <v>20</v>
      </c>
      <c r="F252" s="19" t="s">
        <v>17</v>
      </c>
      <c r="G252" s="19">
        <v>17</v>
      </c>
      <c r="H252" s="19">
        <f t="shared" si="60"/>
        <v>34</v>
      </c>
      <c r="I252" s="9"/>
      <c r="J252" s="10">
        <f t="shared" si="46"/>
        <v>0</v>
      </c>
      <c r="K252" s="12"/>
      <c r="L252" s="12"/>
    </row>
    <row r="253" spans="2:12" ht="16" customHeight="1">
      <c r="B253" s="111" t="s">
        <v>634</v>
      </c>
      <c r="C253" s="116" t="s">
        <v>635</v>
      </c>
      <c r="D253" s="141"/>
      <c r="E253" s="112" t="s">
        <v>462</v>
      </c>
      <c r="F253" s="19" t="s">
        <v>17</v>
      </c>
      <c r="G253" s="19">
        <v>17</v>
      </c>
      <c r="H253" s="19">
        <f t="shared" si="60"/>
        <v>34</v>
      </c>
      <c r="I253" s="9"/>
      <c r="J253" s="10">
        <f t="shared" si="46"/>
        <v>0</v>
      </c>
      <c r="K253" s="12"/>
      <c r="L253" s="12"/>
    </row>
    <row r="254" spans="2:12" ht="16" customHeight="1">
      <c r="B254" s="119" t="s">
        <v>638</v>
      </c>
      <c r="C254" s="115" t="s">
        <v>639</v>
      </c>
      <c r="D254" s="142" t="s">
        <v>123</v>
      </c>
      <c r="E254" s="113" t="s">
        <v>186</v>
      </c>
      <c r="F254" s="40" t="s">
        <v>17</v>
      </c>
      <c r="G254" s="40">
        <v>16</v>
      </c>
      <c r="H254" s="40">
        <f t="shared" ref="H254" si="61">SUM(G254*2)</f>
        <v>32</v>
      </c>
      <c r="I254" s="11"/>
      <c r="J254" s="10">
        <f t="shared" ref="J254" si="62">SUM(G254*I254)</f>
        <v>0</v>
      </c>
      <c r="K254" s="12"/>
      <c r="L254" s="12"/>
    </row>
    <row r="255" spans="2:12" ht="16" customHeight="1">
      <c r="B255" s="119" t="s">
        <v>636</v>
      </c>
      <c r="C255" s="115" t="s">
        <v>637</v>
      </c>
      <c r="D255" s="149"/>
      <c r="E255" s="117" t="s">
        <v>183</v>
      </c>
      <c r="F255" s="40" t="s">
        <v>17</v>
      </c>
      <c r="G255" s="40">
        <v>16</v>
      </c>
      <c r="H255" s="40">
        <f t="shared" si="60"/>
        <v>32</v>
      </c>
      <c r="I255" s="11"/>
      <c r="J255" s="10">
        <f t="shared" si="46"/>
        <v>0</v>
      </c>
      <c r="K255" s="12"/>
      <c r="L255" s="12"/>
    </row>
    <row r="256" spans="2:12" ht="16" customHeight="1">
      <c r="B256" s="111" t="s">
        <v>640</v>
      </c>
      <c r="C256" s="116" t="s">
        <v>641</v>
      </c>
      <c r="D256" s="139" t="s">
        <v>124</v>
      </c>
      <c r="E256" s="112" t="s">
        <v>36</v>
      </c>
      <c r="F256" s="19" t="s">
        <v>17</v>
      </c>
      <c r="G256" s="19">
        <v>16</v>
      </c>
      <c r="H256" s="19">
        <f t="shared" si="60"/>
        <v>32</v>
      </c>
      <c r="I256" s="9"/>
      <c r="J256" s="10">
        <f>SUM(G256*I256)</f>
        <v>0</v>
      </c>
      <c r="K256" s="12"/>
      <c r="L256" s="12"/>
    </row>
    <row r="257" spans="2:12" ht="16" customHeight="1">
      <c r="B257" s="111" t="s">
        <v>642</v>
      </c>
      <c r="C257" s="116" t="s">
        <v>643</v>
      </c>
      <c r="D257" s="141"/>
      <c r="E257" s="112" t="s">
        <v>195</v>
      </c>
      <c r="F257" s="19" t="s">
        <v>17</v>
      </c>
      <c r="G257" s="19">
        <v>16</v>
      </c>
      <c r="H257" s="19">
        <f t="shared" si="60"/>
        <v>32</v>
      </c>
      <c r="I257" s="9"/>
      <c r="J257" s="10">
        <f t="shared" si="46"/>
        <v>0</v>
      </c>
      <c r="K257" s="12"/>
      <c r="L257" s="12"/>
    </row>
    <row r="258" spans="2:12" ht="16" customHeight="1">
      <c r="B258" s="119" t="s">
        <v>644</v>
      </c>
      <c r="C258" s="115" t="s">
        <v>645</v>
      </c>
      <c r="D258" s="142" t="s">
        <v>646</v>
      </c>
      <c r="E258" s="113" t="s">
        <v>20</v>
      </c>
      <c r="F258" s="40" t="s">
        <v>17</v>
      </c>
      <c r="G258" s="40">
        <v>17</v>
      </c>
      <c r="H258" s="40">
        <f t="shared" si="60"/>
        <v>34</v>
      </c>
      <c r="I258" s="11"/>
      <c r="J258" s="10">
        <f t="shared" ref="J258:J267" si="63">SUM(G258*I258)</f>
        <v>0</v>
      </c>
      <c r="K258" s="12"/>
      <c r="L258" s="12"/>
    </row>
    <row r="259" spans="2:12" ht="16" customHeight="1">
      <c r="B259" s="119" t="s">
        <v>647</v>
      </c>
      <c r="C259" s="115" t="s">
        <v>648</v>
      </c>
      <c r="D259" s="141"/>
      <c r="E259" s="113" t="s">
        <v>1139</v>
      </c>
      <c r="F259" s="40" t="s">
        <v>17</v>
      </c>
      <c r="G259" s="40">
        <v>17</v>
      </c>
      <c r="H259" s="40">
        <f t="shared" si="60"/>
        <v>34</v>
      </c>
      <c r="I259" s="11"/>
      <c r="J259" s="10">
        <f t="shared" si="63"/>
        <v>0</v>
      </c>
      <c r="K259" s="12"/>
      <c r="L259" s="12"/>
    </row>
    <row r="260" spans="2:12" ht="16" customHeight="1">
      <c r="B260" s="111" t="s">
        <v>649</v>
      </c>
      <c r="C260" s="116" t="s">
        <v>650</v>
      </c>
      <c r="D260" s="139" t="s">
        <v>651</v>
      </c>
      <c r="E260" s="112" t="s">
        <v>32</v>
      </c>
      <c r="F260" s="19" t="s">
        <v>17</v>
      </c>
      <c r="G260" s="19">
        <v>14</v>
      </c>
      <c r="H260" s="19">
        <f t="shared" si="60"/>
        <v>28</v>
      </c>
      <c r="I260" s="9"/>
      <c r="J260" s="10">
        <f t="shared" si="63"/>
        <v>0</v>
      </c>
      <c r="K260" s="12"/>
      <c r="L260" s="12"/>
    </row>
    <row r="261" spans="2:12" ht="16" customHeight="1">
      <c r="B261" s="111" t="s">
        <v>652</v>
      </c>
      <c r="C261" s="116" t="s">
        <v>653</v>
      </c>
      <c r="D261" s="141"/>
      <c r="E261" s="112" t="s">
        <v>199</v>
      </c>
      <c r="F261" s="19" t="s">
        <v>17</v>
      </c>
      <c r="G261" s="19">
        <v>14</v>
      </c>
      <c r="H261" s="19">
        <f t="shared" si="60"/>
        <v>28</v>
      </c>
      <c r="I261" s="9"/>
      <c r="J261" s="10">
        <f t="shared" si="63"/>
        <v>0</v>
      </c>
      <c r="K261" s="12"/>
      <c r="L261" s="12"/>
    </row>
    <row r="262" spans="2:12" ht="16" customHeight="1">
      <c r="B262" s="119" t="s">
        <v>654</v>
      </c>
      <c r="C262" s="115" t="s">
        <v>655</v>
      </c>
      <c r="D262" s="142" t="s">
        <v>656</v>
      </c>
      <c r="E262" s="113" t="s">
        <v>20</v>
      </c>
      <c r="F262" s="40" t="s">
        <v>17</v>
      </c>
      <c r="G262" s="40">
        <v>15</v>
      </c>
      <c r="H262" s="40">
        <f t="shared" si="60"/>
        <v>30</v>
      </c>
      <c r="I262" s="66"/>
      <c r="J262" s="10">
        <f t="shared" si="63"/>
        <v>0</v>
      </c>
      <c r="K262" s="12"/>
      <c r="L262" s="12"/>
    </row>
    <row r="263" spans="2:12" ht="16" customHeight="1">
      <c r="B263" s="119" t="s">
        <v>657</v>
      </c>
      <c r="C263" s="115" t="s">
        <v>658</v>
      </c>
      <c r="D263" s="141"/>
      <c r="E263" s="113" t="s">
        <v>160</v>
      </c>
      <c r="F263" s="40" t="s">
        <v>17</v>
      </c>
      <c r="G263" s="40">
        <v>15</v>
      </c>
      <c r="H263" s="40">
        <f t="shared" si="60"/>
        <v>30</v>
      </c>
      <c r="I263" s="66"/>
      <c r="J263" s="10">
        <f t="shared" si="63"/>
        <v>0</v>
      </c>
      <c r="K263" s="12"/>
      <c r="L263" s="12"/>
    </row>
    <row r="264" spans="2:12" ht="16" customHeight="1">
      <c r="B264" s="111" t="s">
        <v>659</v>
      </c>
      <c r="C264" s="9" t="s">
        <v>660</v>
      </c>
      <c r="D264" s="139" t="s">
        <v>661</v>
      </c>
      <c r="E264" s="112" t="s">
        <v>200</v>
      </c>
      <c r="F264" s="19" t="s">
        <v>17</v>
      </c>
      <c r="G264" s="19">
        <v>14</v>
      </c>
      <c r="H264" s="19">
        <f t="shared" si="60"/>
        <v>28</v>
      </c>
      <c r="I264" s="9"/>
      <c r="J264" s="10">
        <f t="shared" si="63"/>
        <v>0</v>
      </c>
      <c r="K264" s="12"/>
      <c r="L264" s="12"/>
    </row>
    <row r="265" spans="2:12" ht="16" customHeight="1">
      <c r="B265" s="111" t="s">
        <v>662</v>
      </c>
      <c r="C265" s="9" t="s">
        <v>663</v>
      </c>
      <c r="D265" s="141"/>
      <c r="E265" s="112" t="s">
        <v>448</v>
      </c>
      <c r="F265" s="19" t="s">
        <v>17</v>
      </c>
      <c r="G265" s="19">
        <v>14</v>
      </c>
      <c r="H265" s="19">
        <f t="shared" si="60"/>
        <v>28</v>
      </c>
      <c r="I265" s="9"/>
      <c r="J265" s="10">
        <f t="shared" si="63"/>
        <v>0</v>
      </c>
      <c r="K265" s="12"/>
      <c r="L265" s="12"/>
    </row>
    <row r="266" spans="2:12" ht="16" customHeight="1">
      <c r="B266" s="119" t="s">
        <v>664</v>
      </c>
      <c r="C266" s="11" t="s">
        <v>665</v>
      </c>
      <c r="D266" s="142" t="s">
        <v>666</v>
      </c>
      <c r="E266" s="113" t="s">
        <v>20</v>
      </c>
      <c r="F266" s="40" t="s">
        <v>17</v>
      </c>
      <c r="G266" s="40">
        <v>12</v>
      </c>
      <c r="H266" s="40">
        <f t="shared" si="60"/>
        <v>24</v>
      </c>
      <c r="I266" s="66"/>
      <c r="J266" s="10">
        <f t="shared" si="63"/>
        <v>0</v>
      </c>
      <c r="K266" s="12"/>
      <c r="L266" s="12"/>
    </row>
    <row r="267" spans="2:12" ht="16" customHeight="1">
      <c r="B267" s="119" t="s">
        <v>667</v>
      </c>
      <c r="C267" s="11" t="s">
        <v>668</v>
      </c>
      <c r="D267" s="141"/>
      <c r="E267" s="113" t="s">
        <v>34</v>
      </c>
      <c r="F267" s="40" t="s">
        <v>17</v>
      </c>
      <c r="G267" s="40">
        <v>12</v>
      </c>
      <c r="H267" s="40">
        <f t="shared" si="60"/>
        <v>24</v>
      </c>
      <c r="I267" s="66"/>
      <c r="J267" s="10">
        <f t="shared" si="63"/>
        <v>0</v>
      </c>
      <c r="K267" s="12"/>
      <c r="L267" s="12"/>
    </row>
    <row r="268" spans="2:12" ht="17" thickBot="1">
      <c r="C268" s="21"/>
      <c r="D268" s="44"/>
      <c r="E268" s="180" t="s">
        <v>127</v>
      </c>
      <c r="F268" s="180"/>
      <c r="G268" s="180"/>
      <c r="H268" s="181"/>
      <c r="I268" s="78">
        <f>SUM(I31:I40,I42:I95,I97:I160,I162:I192,I194:I209,I211:I267)</f>
        <v>0</v>
      </c>
      <c r="J268" s="52"/>
      <c r="K268" s="12"/>
      <c r="L268" s="12"/>
    </row>
    <row r="269" spans="2:12" ht="30" customHeight="1">
      <c r="B269" s="105"/>
      <c r="C269" s="177" t="s">
        <v>66</v>
      </c>
      <c r="D269" s="178"/>
      <c r="E269" s="178"/>
      <c r="F269" s="178"/>
      <c r="G269" s="178"/>
      <c r="H269" s="178"/>
      <c r="I269" s="178"/>
      <c r="J269" s="179"/>
      <c r="K269" s="12"/>
      <c r="L269" s="12"/>
    </row>
    <row r="270" spans="2:12">
      <c r="B270" s="104" t="s">
        <v>143</v>
      </c>
      <c r="C270" s="46" t="s">
        <v>13</v>
      </c>
      <c r="D270" s="8" t="s">
        <v>14</v>
      </c>
      <c r="E270" s="8" t="s">
        <v>15</v>
      </c>
      <c r="F270" s="8" t="s">
        <v>1112</v>
      </c>
      <c r="G270" s="76" t="s">
        <v>323</v>
      </c>
      <c r="H270" s="76" t="s">
        <v>40</v>
      </c>
      <c r="I270" s="82" t="s">
        <v>39</v>
      </c>
      <c r="J270" s="77" t="s">
        <v>19</v>
      </c>
      <c r="K270" s="12"/>
      <c r="L270" s="12"/>
    </row>
    <row r="271" spans="2:12" ht="18" customHeight="1">
      <c r="B271" s="111" t="s">
        <v>701</v>
      </c>
      <c r="C271" s="9" t="s">
        <v>702</v>
      </c>
      <c r="D271" s="140" t="s">
        <v>67</v>
      </c>
      <c r="E271" s="112" t="s">
        <v>1140</v>
      </c>
      <c r="F271" s="65">
        <v>65</v>
      </c>
      <c r="G271" s="65">
        <f t="shared" ref="G271:G290" si="64">SUM(F271*2)</f>
        <v>130</v>
      </c>
      <c r="H271" s="124" t="s">
        <v>41</v>
      </c>
      <c r="I271" s="9"/>
      <c r="J271" s="45">
        <f>SUM(F271*I271)</f>
        <v>0</v>
      </c>
      <c r="K271" s="12"/>
      <c r="L271" s="12"/>
    </row>
    <row r="272" spans="2:12" ht="18" customHeight="1">
      <c r="B272" s="111" t="s">
        <v>703</v>
      </c>
      <c r="C272" s="9" t="s">
        <v>704</v>
      </c>
      <c r="D272" s="146"/>
      <c r="E272" s="112" t="s">
        <v>1140</v>
      </c>
      <c r="F272" s="65">
        <v>65</v>
      </c>
      <c r="G272" s="65">
        <f t="shared" si="64"/>
        <v>130</v>
      </c>
      <c r="H272" s="124" t="s">
        <v>42</v>
      </c>
      <c r="I272" s="9"/>
      <c r="J272" s="45">
        <f t="shared" ref="J272:J335" si="65">SUM(F272*I272)</f>
        <v>0</v>
      </c>
      <c r="K272" s="12"/>
      <c r="L272" s="12"/>
    </row>
    <row r="273" spans="2:12" ht="18" customHeight="1">
      <c r="B273" s="111" t="s">
        <v>705</v>
      </c>
      <c r="C273" s="9" t="s">
        <v>706</v>
      </c>
      <c r="D273" s="146"/>
      <c r="E273" s="112" t="s">
        <v>1140</v>
      </c>
      <c r="F273" s="65">
        <v>65</v>
      </c>
      <c r="G273" s="65">
        <f t="shared" si="64"/>
        <v>130</v>
      </c>
      <c r="H273" s="124" t="s">
        <v>43</v>
      </c>
      <c r="I273" s="9"/>
      <c r="J273" s="45">
        <f t="shared" si="65"/>
        <v>0</v>
      </c>
      <c r="K273" s="12"/>
      <c r="L273" s="12"/>
    </row>
    <row r="274" spans="2:12" ht="18" customHeight="1">
      <c r="B274" s="111" t="s">
        <v>707</v>
      </c>
      <c r="C274" s="9" t="s">
        <v>708</v>
      </c>
      <c r="D274" s="146"/>
      <c r="E274" s="112" t="s">
        <v>1140</v>
      </c>
      <c r="F274" s="65">
        <v>65</v>
      </c>
      <c r="G274" s="65">
        <f t="shared" si="64"/>
        <v>130</v>
      </c>
      <c r="H274" s="124" t="s">
        <v>44</v>
      </c>
      <c r="I274" s="9"/>
      <c r="J274" s="45">
        <f t="shared" si="65"/>
        <v>0</v>
      </c>
      <c r="K274" s="12"/>
      <c r="L274" s="12"/>
    </row>
    <row r="275" spans="2:12" ht="18" customHeight="1">
      <c r="B275" s="111" t="s">
        <v>709</v>
      </c>
      <c r="C275" s="9" t="s">
        <v>700</v>
      </c>
      <c r="D275" s="146"/>
      <c r="E275" s="112" t="s">
        <v>1140</v>
      </c>
      <c r="F275" s="65">
        <v>65</v>
      </c>
      <c r="G275" s="65">
        <f t="shared" si="64"/>
        <v>130</v>
      </c>
      <c r="H275" s="124" t="s">
        <v>18</v>
      </c>
      <c r="I275" s="9"/>
      <c r="J275" s="45">
        <f t="shared" si="65"/>
        <v>0</v>
      </c>
      <c r="K275" s="12"/>
      <c r="L275" s="12"/>
    </row>
    <row r="276" spans="2:12" ht="18" customHeight="1">
      <c r="B276" s="111" t="s">
        <v>691</v>
      </c>
      <c r="C276" s="9" t="s">
        <v>692</v>
      </c>
      <c r="D276" s="146"/>
      <c r="E276" s="112" t="s">
        <v>1141</v>
      </c>
      <c r="F276" s="40">
        <v>65</v>
      </c>
      <c r="G276" s="40">
        <f t="shared" si="64"/>
        <v>130</v>
      </c>
      <c r="H276" s="39" t="s">
        <v>41</v>
      </c>
      <c r="I276" s="11"/>
      <c r="J276" s="45">
        <f t="shared" si="65"/>
        <v>0</v>
      </c>
      <c r="K276" s="12"/>
      <c r="L276" s="12"/>
    </row>
    <row r="277" spans="2:12" ht="18" customHeight="1">
      <c r="B277" s="111" t="s">
        <v>693</v>
      </c>
      <c r="C277" s="9" t="s">
        <v>694</v>
      </c>
      <c r="D277" s="146"/>
      <c r="E277" s="112" t="s">
        <v>1141</v>
      </c>
      <c r="F277" s="40">
        <v>65</v>
      </c>
      <c r="G277" s="40">
        <f t="shared" si="64"/>
        <v>130</v>
      </c>
      <c r="H277" s="39" t="s">
        <v>42</v>
      </c>
      <c r="I277" s="11"/>
      <c r="J277" s="45">
        <f t="shared" si="65"/>
        <v>0</v>
      </c>
      <c r="K277" s="12"/>
      <c r="L277" s="12"/>
    </row>
    <row r="278" spans="2:12" ht="18" customHeight="1">
      <c r="B278" s="111" t="s">
        <v>695</v>
      </c>
      <c r="C278" s="9" t="s">
        <v>696</v>
      </c>
      <c r="D278" s="146"/>
      <c r="E278" s="112" t="s">
        <v>1141</v>
      </c>
      <c r="F278" s="40">
        <v>65</v>
      </c>
      <c r="G278" s="40">
        <f t="shared" si="64"/>
        <v>130</v>
      </c>
      <c r="H278" s="39" t="s">
        <v>43</v>
      </c>
      <c r="I278" s="11"/>
      <c r="J278" s="45">
        <f t="shared" si="65"/>
        <v>0</v>
      </c>
      <c r="K278" s="12"/>
      <c r="L278" s="12"/>
    </row>
    <row r="279" spans="2:12" ht="18" customHeight="1">
      <c r="B279" s="111" t="s">
        <v>697</v>
      </c>
      <c r="C279" s="9" t="s">
        <v>698</v>
      </c>
      <c r="D279" s="146"/>
      <c r="E279" s="112" t="s">
        <v>1141</v>
      </c>
      <c r="F279" s="40">
        <v>65</v>
      </c>
      <c r="G279" s="40">
        <f t="shared" si="64"/>
        <v>130</v>
      </c>
      <c r="H279" s="39" t="s">
        <v>44</v>
      </c>
      <c r="I279" s="11"/>
      <c r="J279" s="45">
        <f>SUM(F279*I279)</f>
        <v>0</v>
      </c>
      <c r="K279" s="12"/>
      <c r="L279" s="12"/>
    </row>
    <row r="280" spans="2:12" ht="18" customHeight="1">
      <c r="B280" s="111" t="s">
        <v>699</v>
      </c>
      <c r="C280" s="9" t="s">
        <v>700</v>
      </c>
      <c r="D280" s="146"/>
      <c r="E280" s="112" t="s">
        <v>1141</v>
      </c>
      <c r="F280" s="40">
        <v>65</v>
      </c>
      <c r="G280" s="40">
        <f t="shared" si="64"/>
        <v>130</v>
      </c>
      <c r="H280" s="39" t="s">
        <v>18</v>
      </c>
      <c r="I280" s="11"/>
      <c r="J280" s="45">
        <f t="shared" si="65"/>
        <v>0</v>
      </c>
      <c r="K280" s="12"/>
      <c r="L280" s="12"/>
    </row>
    <row r="281" spans="2:12" ht="18" customHeight="1">
      <c r="B281" s="111" t="s">
        <v>710</v>
      </c>
      <c r="C281" s="9" t="s">
        <v>711</v>
      </c>
      <c r="D281" s="146"/>
      <c r="E281" s="112" t="s">
        <v>112</v>
      </c>
      <c r="F281" s="65">
        <v>65</v>
      </c>
      <c r="G281" s="65">
        <f t="shared" si="64"/>
        <v>130</v>
      </c>
      <c r="H281" s="124" t="s">
        <v>41</v>
      </c>
      <c r="I281" s="9"/>
      <c r="J281" s="45">
        <f t="shared" si="65"/>
        <v>0</v>
      </c>
      <c r="K281" s="12"/>
      <c r="L281" s="12"/>
    </row>
    <row r="282" spans="2:12" ht="18" customHeight="1">
      <c r="B282" s="111" t="s">
        <v>712</v>
      </c>
      <c r="C282" s="9" t="s">
        <v>713</v>
      </c>
      <c r="D282" s="146"/>
      <c r="E282" s="112" t="s">
        <v>112</v>
      </c>
      <c r="F282" s="65">
        <v>65</v>
      </c>
      <c r="G282" s="65">
        <f t="shared" si="64"/>
        <v>130</v>
      </c>
      <c r="H282" s="124" t="s">
        <v>42</v>
      </c>
      <c r="I282" s="9"/>
      <c r="J282" s="45">
        <f t="shared" si="65"/>
        <v>0</v>
      </c>
      <c r="K282" s="12"/>
      <c r="L282" s="12"/>
    </row>
    <row r="283" spans="2:12" ht="18" customHeight="1">
      <c r="B283" s="111" t="s">
        <v>714</v>
      </c>
      <c r="C283" s="9" t="s">
        <v>715</v>
      </c>
      <c r="D283" s="146"/>
      <c r="E283" s="112" t="s">
        <v>112</v>
      </c>
      <c r="F283" s="65">
        <v>65</v>
      </c>
      <c r="G283" s="65">
        <f t="shared" si="64"/>
        <v>130</v>
      </c>
      <c r="H283" s="124" t="s">
        <v>43</v>
      </c>
      <c r="I283" s="9"/>
      <c r="J283" s="45">
        <f t="shared" si="65"/>
        <v>0</v>
      </c>
      <c r="K283" s="12"/>
      <c r="L283" s="12"/>
    </row>
    <row r="284" spans="2:12" ht="18" customHeight="1">
      <c r="B284" s="111" t="s">
        <v>716</v>
      </c>
      <c r="C284" s="9" t="s">
        <v>717</v>
      </c>
      <c r="D284" s="146"/>
      <c r="E284" s="112" t="s">
        <v>112</v>
      </c>
      <c r="F284" s="65">
        <v>65</v>
      </c>
      <c r="G284" s="65">
        <f t="shared" si="64"/>
        <v>130</v>
      </c>
      <c r="H284" s="124" t="s">
        <v>44</v>
      </c>
      <c r="I284" s="9"/>
      <c r="J284" s="45">
        <f t="shared" si="65"/>
        <v>0</v>
      </c>
      <c r="K284" s="12"/>
      <c r="L284" s="12"/>
    </row>
    <row r="285" spans="2:12" ht="18" customHeight="1">
      <c r="B285" s="111" t="s">
        <v>718</v>
      </c>
      <c r="C285" s="9" t="s">
        <v>719</v>
      </c>
      <c r="D285" s="146"/>
      <c r="E285" s="112" t="s">
        <v>112</v>
      </c>
      <c r="F285" s="65">
        <v>65</v>
      </c>
      <c r="G285" s="65">
        <f t="shared" si="64"/>
        <v>130</v>
      </c>
      <c r="H285" s="124" t="s">
        <v>18</v>
      </c>
      <c r="I285" s="9"/>
      <c r="J285" s="45">
        <f t="shared" si="65"/>
        <v>0</v>
      </c>
      <c r="K285" s="12"/>
      <c r="L285" s="12"/>
    </row>
    <row r="286" spans="2:12" ht="18" customHeight="1">
      <c r="B286" s="111" t="s">
        <v>681</v>
      </c>
      <c r="C286" s="9" t="s">
        <v>682</v>
      </c>
      <c r="D286" s="146"/>
      <c r="E286" s="112" t="s">
        <v>1142</v>
      </c>
      <c r="F286" s="40">
        <v>65</v>
      </c>
      <c r="G286" s="40">
        <f t="shared" si="64"/>
        <v>130</v>
      </c>
      <c r="H286" s="39" t="s">
        <v>41</v>
      </c>
      <c r="I286" s="11"/>
      <c r="J286" s="45">
        <f t="shared" si="65"/>
        <v>0</v>
      </c>
      <c r="K286" s="12"/>
      <c r="L286" s="12"/>
    </row>
    <row r="287" spans="2:12" ht="18" customHeight="1">
      <c r="B287" s="111" t="s">
        <v>683</v>
      </c>
      <c r="C287" s="9" t="s">
        <v>684</v>
      </c>
      <c r="D287" s="146"/>
      <c r="E287" s="112" t="s">
        <v>1142</v>
      </c>
      <c r="F287" s="40">
        <v>65</v>
      </c>
      <c r="G287" s="40">
        <f t="shared" si="64"/>
        <v>130</v>
      </c>
      <c r="H287" s="39" t="s">
        <v>42</v>
      </c>
      <c r="I287" s="11"/>
      <c r="J287" s="45">
        <f t="shared" si="65"/>
        <v>0</v>
      </c>
      <c r="K287" s="12"/>
      <c r="L287" s="12"/>
    </row>
    <row r="288" spans="2:12" ht="18" customHeight="1">
      <c r="B288" s="111" t="s">
        <v>685</v>
      </c>
      <c r="C288" s="9" t="s">
        <v>686</v>
      </c>
      <c r="D288" s="146"/>
      <c r="E288" s="112" t="s">
        <v>1142</v>
      </c>
      <c r="F288" s="40">
        <v>65</v>
      </c>
      <c r="G288" s="40">
        <f t="shared" si="64"/>
        <v>130</v>
      </c>
      <c r="H288" s="39" t="s">
        <v>43</v>
      </c>
      <c r="I288" s="11"/>
      <c r="J288" s="45">
        <f t="shared" si="65"/>
        <v>0</v>
      </c>
      <c r="K288" s="12"/>
      <c r="L288" s="12"/>
    </row>
    <row r="289" spans="2:12" ht="18" customHeight="1">
      <c r="B289" s="111" t="s">
        <v>687</v>
      </c>
      <c r="C289" s="9" t="s">
        <v>688</v>
      </c>
      <c r="D289" s="146"/>
      <c r="E289" s="112" t="s">
        <v>1142</v>
      </c>
      <c r="F289" s="40">
        <v>65</v>
      </c>
      <c r="G289" s="40">
        <f t="shared" si="64"/>
        <v>130</v>
      </c>
      <c r="H289" s="39" t="s">
        <v>44</v>
      </c>
      <c r="I289" s="11"/>
      <c r="J289" s="45">
        <f t="shared" si="65"/>
        <v>0</v>
      </c>
      <c r="K289" s="12"/>
      <c r="L289" s="12"/>
    </row>
    <row r="290" spans="2:12" ht="18" customHeight="1">
      <c r="B290" s="111" t="s">
        <v>689</v>
      </c>
      <c r="C290" s="9" t="s">
        <v>690</v>
      </c>
      <c r="D290" s="146"/>
      <c r="E290" s="112" t="s">
        <v>1142</v>
      </c>
      <c r="F290" s="40">
        <v>65</v>
      </c>
      <c r="G290" s="40">
        <f t="shared" si="64"/>
        <v>130</v>
      </c>
      <c r="H290" s="39" t="s">
        <v>18</v>
      </c>
      <c r="I290" s="11"/>
      <c r="J290" s="45">
        <f t="shared" si="65"/>
        <v>0</v>
      </c>
      <c r="K290" s="12"/>
      <c r="L290" s="12"/>
    </row>
    <row r="291" spans="2:12" ht="18" customHeight="1">
      <c r="B291" s="111" t="s">
        <v>671</v>
      </c>
      <c r="C291" s="9" t="s">
        <v>672</v>
      </c>
      <c r="D291" s="146"/>
      <c r="E291" s="112" t="s">
        <v>1143</v>
      </c>
      <c r="F291" s="65">
        <v>65</v>
      </c>
      <c r="G291" s="65">
        <f>SUM(F291*2)</f>
        <v>130</v>
      </c>
      <c r="H291" s="124" t="s">
        <v>41</v>
      </c>
      <c r="I291" s="9"/>
      <c r="J291" s="45">
        <f t="shared" si="65"/>
        <v>0</v>
      </c>
      <c r="K291" s="12"/>
      <c r="L291" s="12"/>
    </row>
    <row r="292" spans="2:12" ht="18" customHeight="1">
      <c r="B292" s="111" t="s">
        <v>673</v>
      </c>
      <c r="C292" s="9" t="s">
        <v>674</v>
      </c>
      <c r="D292" s="146"/>
      <c r="E292" s="112" t="s">
        <v>1143</v>
      </c>
      <c r="F292" s="65">
        <v>65</v>
      </c>
      <c r="G292" s="65">
        <f t="shared" ref="G292:G340" si="66">SUM(F292*2)</f>
        <v>130</v>
      </c>
      <c r="H292" s="124" t="s">
        <v>42</v>
      </c>
      <c r="I292" s="9"/>
      <c r="J292" s="45">
        <f t="shared" si="65"/>
        <v>0</v>
      </c>
      <c r="K292" s="12"/>
      <c r="L292" s="12"/>
    </row>
    <row r="293" spans="2:12" ht="18" customHeight="1">
      <c r="B293" s="111" t="s">
        <v>675</v>
      </c>
      <c r="C293" s="9" t="s">
        <v>676</v>
      </c>
      <c r="D293" s="146"/>
      <c r="E293" s="112" t="s">
        <v>1143</v>
      </c>
      <c r="F293" s="65">
        <v>65</v>
      </c>
      <c r="G293" s="65">
        <f t="shared" si="66"/>
        <v>130</v>
      </c>
      <c r="H293" s="124" t="s">
        <v>43</v>
      </c>
      <c r="I293" s="9"/>
      <c r="J293" s="45">
        <f t="shared" si="65"/>
        <v>0</v>
      </c>
      <c r="K293" s="12"/>
      <c r="L293" s="12"/>
    </row>
    <row r="294" spans="2:12" ht="18" customHeight="1">
      <c r="B294" s="111" t="s">
        <v>677</v>
      </c>
      <c r="C294" s="9" t="s">
        <v>678</v>
      </c>
      <c r="D294" s="146"/>
      <c r="E294" s="112" t="s">
        <v>1143</v>
      </c>
      <c r="F294" s="65">
        <v>65</v>
      </c>
      <c r="G294" s="65">
        <f t="shared" si="66"/>
        <v>130</v>
      </c>
      <c r="H294" s="124" t="s">
        <v>44</v>
      </c>
      <c r="I294" s="9"/>
      <c r="J294" s="45">
        <f t="shared" si="65"/>
        <v>0</v>
      </c>
      <c r="K294" s="12"/>
      <c r="L294" s="12"/>
    </row>
    <row r="295" spans="2:12" ht="18" customHeight="1">
      <c r="B295" s="111" t="s">
        <v>679</v>
      </c>
      <c r="C295" s="9" t="s">
        <v>680</v>
      </c>
      <c r="D295" s="147"/>
      <c r="E295" s="112" t="s">
        <v>1143</v>
      </c>
      <c r="F295" s="65">
        <v>65</v>
      </c>
      <c r="G295" s="65">
        <f t="shared" si="66"/>
        <v>130</v>
      </c>
      <c r="H295" s="124" t="s">
        <v>18</v>
      </c>
      <c r="I295" s="9"/>
      <c r="J295" s="45">
        <f t="shared" si="65"/>
        <v>0</v>
      </c>
      <c r="K295" s="12"/>
      <c r="L295" s="12"/>
    </row>
    <row r="296" spans="2:12" ht="18" customHeight="1">
      <c r="B296" s="119" t="s">
        <v>793</v>
      </c>
      <c r="C296" s="11" t="s">
        <v>794</v>
      </c>
      <c r="D296" s="142" t="s">
        <v>784</v>
      </c>
      <c r="E296" s="113" t="s">
        <v>1144</v>
      </c>
      <c r="F296" s="40">
        <v>65</v>
      </c>
      <c r="G296" s="40">
        <f t="shared" si="66"/>
        <v>130</v>
      </c>
      <c r="H296" s="39" t="s">
        <v>41</v>
      </c>
      <c r="I296" s="11"/>
      <c r="J296" s="45">
        <f t="shared" si="65"/>
        <v>0</v>
      </c>
      <c r="K296" s="12"/>
      <c r="L296" s="12"/>
    </row>
    <row r="297" spans="2:12" ht="18" customHeight="1">
      <c r="B297" s="119" t="s">
        <v>795</v>
      </c>
      <c r="C297" s="11" t="s">
        <v>796</v>
      </c>
      <c r="D297" s="146"/>
      <c r="E297" s="113" t="s">
        <v>1144</v>
      </c>
      <c r="F297" s="40">
        <v>65</v>
      </c>
      <c r="G297" s="40">
        <f t="shared" si="66"/>
        <v>130</v>
      </c>
      <c r="H297" s="39" t="s">
        <v>42</v>
      </c>
      <c r="I297" s="11"/>
      <c r="J297" s="45">
        <f t="shared" si="65"/>
        <v>0</v>
      </c>
      <c r="K297" s="12"/>
      <c r="L297" s="12"/>
    </row>
    <row r="298" spans="2:12" ht="18" customHeight="1">
      <c r="B298" s="119" t="s">
        <v>797</v>
      </c>
      <c r="C298" s="11" t="s">
        <v>798</v>
      </c>
      <c r="D298" s="146"/>
      <c r="E298" s="113" t="s">
        <v>1144</v>
      </c>
      <c r="F298" s="40">
        <v>65</v>
      </c>
      <c r="G298" s="40">
        <f t="shared" si="66"/>
        <v>130</v>
      </c>
      <c r="H298" s="39" t="s">
        <v>43</v>
      </c>
      <c r="I298" s="11"/>
      <c r="J298" s="45">
        <f t="shared" si="65"/>
        <v>0</v>
      </c>
      <c r="K298" s="12"/>
      <c r="L298" s="12"/>
    </row>
    <row r="299" spans="2:12" ht="18" customHeight="1">
      <c r="B299" s="119" t="s">
        <v>799</v>
      </c>
      <c r="C299" s="11" t="s">
        <v>800</v>
      </c>
      <c r="D299" s="146"/>
      <c r="E299" s="113" t="s">
        <v>1144</v>
      </c>
      <c r="F299" s="40">
        <v>65</v>
      </c>
      <c r="G299" s="40">
        <f t="shared" si="66"/>
        <v>130</v>
      </c>
      <c r="H299" s="39" t="s">
        <v>44</v>
      </c>
      <c r="I299" s="11"/>
      <c r="J299" s="45">
        <f t="shared" si="65"/>
        <v>0</v>
      </c>
      <c r="K299" s="12"/>
      <c r="L299" s="12"/>
    </row>
    <row r="300" spans="2:12" ht="18" customHeight="1">
      <c r="B300" s="119" t="s">
        <v>801</v>
      </c>
      <c r="C300" s="11" t="s">
        <v>802</v>
      </c>
      <c r="D300" s="146"/>
      <c r="E300" s="113" t="s">
        <v>1144</v>
      </c>
      <c r="F300" s="40">
        <v>65</v>
      </c>
      <c r="G300" s="40">
        <f t="shared" si="66"/>
        <v>130</v>
      </c>
      <c r="H300" s="39" t="s">
        <v>18</v>
      </c>
      <c r="I300" s="11"/>
      <c r="J300" s="45">
        <f t="shared" si="65"/>
        <v>0</v>
      </c>
      <c r="K300" s="12"/>
      <c r="L300" s="12"/>
    </row>
    <row r="301" spans="2:12" ht="18" customHeight="1">
      <c r="B301" s="119" t="s">
        <v>782</v>
      </c>
      <c r="C301" s="11" t="s">
        <v>783</v>
      </c>
      <c r="D301" s="146"/>
      <c r="E301" s="113" t="s">
        <v>1141</v>
      </c>
      <c r="F301" s="19">
        <v>65</v>
      </c>
      <c r="G301" s="19">
        <f t="shared" ref="G301:G315" si="67">SUM(F301*2)</f>
        <v>130</v>
      </c>
      <c r="H301" s="124" t="s">
        <v>41</v>
      </c>
      <c r="I301" s="9"/>
      <c r="J301" s="45">
        <f t="shared" si="65"/>
        <v>0</v>
      </c>
      <c r="K301" s="12"/>
      <c r="L301" s="12"/>
    </row>
    <row r="302" spans="2:12" ht="18" customHeight="1">
      <c r="B302" s="119" t="s">
        <v>785</v>
      </c>
      <c r="C302" s="11" t="s">
        <v>786</v>
      </c>
      <c r="D302" s="146"/>
      <c r="E302" s="113" t="s">
        <v>1141</v>
      </c>
      <c r="F302" s="19">
        <v>65</v>
      </c>
      <c r="G302" s="19">
        <f t="shared" si="67"/>
        <v>130</v>
      </c>
      <c r="H302" s="124" t="s">
        <v>42</v>
      </c>
      <c r="I302" s="9"/>
      <c r="J302" s="45">
        <f t="shared" si="65"/>
        <v>0</v>
      </c>
      <c r="K302" s="12"/>
      <c r="L302" s="12"/>
    </row>
    <row r="303" spans="2:12" ht="18" customHeight="1">
      <c r="B303" s="119" t="s">
        <v>787</v>
      </c>
      <c r="C303" s="11" t="s">
        <v>788</v>
      </c>
      <c r="D303" s="146"/>
      <c r="E303" s="113" t="s">
        <v>1141</v>
      </c>
      <c r="F303" s="19">
        <v>65</v>
      </c>
      <c r="G303" s="19">
        <f t="shared" si="67"/>
        <v>130</v>
      </c>
      <c r="H303" s="124" t="s">
        <v>43</v>
      </c>
      <c r="I303" s="9"/>
      <c r="J303" s="45">
        <f t="shared" si="65"/>
        <v>0</v>
      </c>
      <c r="K303" s="12"/>
      <c r="L303" s="12"/>
    </row>
    <row r="304" spans="2:12" ht="18" customHeight="1">
      <c r="B304" s="119" t="s">
        <v>789</v>
      </c>
      <c r="C304" s="11" t="s">
        <v>790</v>
      </c>
      <c r="D304" s="146"/>
      <c r="E304" s="113" t="s">
        <v>1141</v>
      </c>
      <c r="F304" s="19">
        <v>65</v>
      </c>
      <c r="G304" s="19">
        <f t="shared" si="67"/>
        <v>130</v>
      </c>
      <c r="H304" s="124" t="s">
        <v>44</v>
      </c>
      <c r="I304" s="9"/>
      <c r="J304" s="45">
        <f t="shared" si="65"/>
        <v>0</v>
      </c>
      <c r="K304" s="12"/>
      <c r="L304" s="12"/>
    </row>
    <row r="305" spans="2:12" ht="18" customHeight="1">
      <c r="B305" s="119" t="s">
        <v>791</v>
      </c>
      <c r="C305" s="11" t="s">
        <v>792</v>
      </c>
      <c r="D305" s="146"/>
      <c r="E305" s="113" t="s">
        <v>1141</v>
      </c>
      <c r="F305" s="19">
        <v>65</v>
      </c>
      <c r="G305" s="19">
        <f t="shared" si="67"/>
        <v>130</v>
      </c>
      <c r="H305" s="124" t="s">
        <v>18</v>
      </c>
      <c r="I305" s="9"/>
      <c r="J305" s="45">
        <f t="shared" si="65"/>
        <v>0</v>
      </c>
      <c r="K305" s="12"/>
      <c r="L305" s="12"/>
    </row>
    <row r="306" spans="2:12" ht="18" customHeight="1">
      <c r="B306" s="119" t="s">
        <v>803</v>
      </c>
      <c r="C306" s="11" t="s">
        <v>804</v>
      </c>
      <c r="D306" s="146"/>
      <c r="E306" s="113" t="s">
        <v>1145</v>
      </c>
      <c r="F306" s="40">
        <v>65</v>
      </c>
      <c r="G306" s="40">
        <f t="shared" si="67"/>
        <v>130</v>
      </c>
      <c r="H306" s="39" t="s">
        <v>41</v>
      </c>
      <c r="I306" s="11"/>
      <c r="J306" s="45">
        <f t="shared" si="65"/>
        <v>0</v>
      </c>
      <c r="K306" s="12"/>
      <c r="L306" s="12"/>
    </row>
    <row r="307" spans="2:12" ht="18" customHeight="1">
      <c r="B307" s="119" t="s">
        <v>806</v>
      </c>
      <c r="C307" s="11" t="s">
        <v>807</v>
      </c>
      <c r="D307" s="146"/>
      <c r="E307" s="113" t="s">
        <v>1145</v>
      </c>
      <c r="F307" s="40">
        <v>65</v>
      </c>
      <c r="G307" s="40">
        <f t="shared" si="67"/>
        <v>130</v>
      </c>
      <c r="H307" s="39" t="s">
        <v>42</v>
      </c>
      <c r="I307" s="11"/>
      <c r="J307" s="45">
        <f t="shared" si="65"/>
        <v>0</v>
      </c>
      <c r="K307" s="12"/>
      <c r="L307" s="12"/>
    </row>
    <row r="308" spans="2:12" ht="18" customHeight="1">
      <c r="B308" s="119" t="s">
        <v>808</v>
      </c>
      <c r="C308" s="11" t="s">
        <v>809</v>
      </c>
      <c r="D308" s="146"/>
      <c r="E308" s="113" t="s">
        <v>1145</v>
      </c>
      <c r="F308" s="40">
        <v>65</v>
      </c>
      <c r="G308" s="40">
        <f t="shared" si="67"/>
        <v>130</v>
      </c>
      <c r="H308" s="39" t="s">
        <v>43</v>
      </c>
      <c r="I308" s="11"/>
      <c r="J308" s="45">
        <f t="shared" si="65"/>
        <v>0</v>
      </c>
      <c r="K308" s="12"/>
      <c r="L308" s="12"/>
    </row>
    <row r="309" spans="2:12" ht="18" customHeight="1">
      <c r="B309" s="119" t="s">
        <v>810</v>
      </c>
      <c r="C309" s="11" t="s">
        <v>811</v>
      </c>
      <c r="D309" s="146"/>
      <c r="E309" s="113" t="s">
        <v>1145</v>
      </c>
      <c r="F309" s="40">
        <v>65</v>
      </c>
      <c r="G309" s="40">
        <f t="shared" si="67"/>
        <v>130</v>
      </c>
      <c r="H309" s="39" t="s">
        <v>44</v>
      </c>
      <c r="I309" s="11"/>
      <c r="J309" s="45">
        <f t="shared" si="65"/>
        <v>0</v>
      </c>
      <c r="K309" s="12"/>
      <c r="L309" s="12"/>
    </row>
    <row r="310" spans="2:12" ht="18" customHeight="1">
      <c r="B310" s="119" t="s">
        <v>812</v>
      </c>
      <c r="C310" s="11" t="s">
        <v>813</v>
      </c>
      <c r="D310" s="147"/>
      <c r="E310" s="113" t="s">
        <v>1145</v>
      </c>
      <c r="F310" s="40">
        <v>65</v>
      </c>
      <c r="G310" s="40">
        <f t="shared" si="67"/>
        <v>130</v>
      </c>
      <c r="H310" s="39" t="s">
        <v>18</v>
      </c>
      <c r="I310" s="11"/>
      <c r="J310" s="45">
        <f t="shared" si="65"/>
        <v>0</v>
      </c>
      <c r="K310" s="12"/>
      <c r="L310" s="12"/>
    </row>
    <row r="311" spans="2:12" ht="18" customHeight="1">
      <c r="B311" s="111" t="s">
        <v>731</v>
      </c>
      <c r="C311" s="9" t="s">
        <v>732</v>
      </c>
      <c r="D311" s="139" t="s">
        <v>722</v>
      </c>
      <c r="E311" s="112" t="s">
        <v>1146</v>
      </c>
      <c r="F311" s="19">
        <v>75</v>
      </c>
      <c r="G311" s="19">
        <f t="shared" si="67"/>
        <v>150</v>
      </c>
      <c r="H311" s="124" t="s">
        <v>41</v>
      </c>
      <c r="I311" s="9"/>
      <c r="J311" s="45">
        <f t="shared" si="65"/>
        <v>0</v>
      </c>
      <c r="K311" s="12"/>
      <c r="L311" s="12"/>
    </row>
    <row r="312" spans="2:12" ht="18" customHeight="1">
      <c r="B312" s="111" t="s">
        <v>733</v>
      </c>
      <c r="C312" s="9" t="s">
        <v>734</v>
      </c>
      <c r="D312" s="140"/>
      <c r="E312" s="112" t="s">
        <v>1146</v>
      </c>
      <c r="F312" s="19">
        <v>75</v>
      </c>
      <c r="G312" s="19">
        <f t="shared" si="67"/>
        <v>150</v>
      </c>
      <c r="H312" s="124" t="s">
        <v>42</v>
      </c>
      <c r="I312" s="9"/>
      <c r="J312" s="45">
        <f>SUM(F312*I312)</f>
        <v>0</v>
      </c>
      <c r="K312" s="12"/>
      <c r="L312" s="12"/>
    </row>
    <row r="313" spans="2:12" ht="18" customHeight="1">
      <c r="B313" s="111" t="s">
        <v>735</v>
      </c>
      <c r="C313" s="9" t="s">
        <v>736</v>
      </c>
      <c r="D313" s="140"/>
      <c r="E313" s="112" t="s">
        <v>1146</v>
      </c>
      <c r="F313" s="19">
        <v>75</v>
      </c>
      <c r="G313" s="19">
        <f t="shared" si="67"/>
        <v>150</v>
      </c>
      <c r="H313" s="124" t="s">
        <v>43</v>
      </c>
      <c r="I313" s="9"/>
      <c r="J313" s="45">
        <f t="shared" si="65"/>
        <v>0</v>
      </c>
      <c r="K313" s="12"/>
      <c r="L313" s="12"/>
    </row>
    <row r="314" spans="2:12" ht="18" customHeight="1">
      <c r="B314" s="111" t="s">
        <v>737</v>
      </c>
      <c r="C314" s="9" t="s">
        <v>738</v>
      </c>
      <c r="D314" s="140"/>
      <c r="E314" s="112" t="s">
        <v>1146</v>
      </c>
      <c r="F314" s="19">
        <v>75</v>
      </c>
      <c r="G314" s="19">
        <f t="shared" si="67"/>
        <v>150</v>
      </c>
      <c r="H314" s="124" t="s">
        <v>44</v>
      </c>
      <c r="I314" s="9"/>
      <c r="J314" s="45">
        <f t="shared" si="65"/>
        <v>0</v>
      </c>
      <c r="K314" s="12"/>
      <c r="L314" s="12"/>
    </row>
    <row r="315" spans="2:12" ht="18" customHeight="1">
      <c r="B315" s="111" t="s">
        <v>739</v>
      </c>
      <c r="C315" s="9" t="s">
        <v>740</v>
      </c>
      <c r="D315" s="140"/>
      <c r="E315" s="112" t="s">
        <v>1146</v>
      </c>
      <c r="F315" s="19">
        <v>75</v>
      </c>
      <c r="G315" s="19">
        <f t="shared" si="67"/>
        <v>150</v>
      </c>
      <c r="H315" s="124" t="s">
        <v>18</v>
      </c>
      <c r="I315" s="9"/>
      <c r="J315" s="45">
        <f t="shared" si="65"/>
        <v>0</v>
      </c>
      <c r="K315" s="12"/>
      <c r="L315" s="12"/>
    </row>
    <row r="316" spans="2:12" ht="18" customHeight="1">
      <c r="B316" s="111" t="s">
        <v>720</v>
      </c>
      <c r="C316" s="9" t="s">
        <v>721</v>
      </c>
      <c r="D316" s="140"/>
      <c r="E316" s="112" t="s">
        <v>1147</v>
      </c>
      <c r="F316" s="40">
        <v>75</v>
      </c>
      <c r="G316" s="40">
        <f t="shared" si="66"/>
        <v>150</v>
      </c>
      <c r="H316" s="126" t="s">
        <v>41</v>
      </c>
      <c r="I316" s="57"/>
      <c r="J316" s="45">
        <f t="shared" si="65"/>
        <v>0</v>
      </c>
      <c r="K316" s="12"/>
      <c r="L316" s="12"/>
    </row>
    <row r="317" spans="2:12" ht="18" customHeight="1">
      <c r="B317" s="111" t="s">
        <v>723</v>
      </c>
      <c r="C317" s="9" t="s">
        <v>724</v>
      </c>
      <c r="D317" s="140"/>
      <c r="E317" s="112" t="s">
        <v>1147</v>
      </c>
      <c r="F317" s="40">
        <v>75</v>
      </c>
      <c r="G317" s="40">
        <f t="shared" si="66"/>
        <v>150</v>
      </c>
      <c r="H317" s="39" t="s">
        <v>42</v>
      </c>
      <c r="I317" s="11"/>
      <c r="J317" s="45">
        <f t="shared" si="65"/>
        <v>0</v>
      </c>
      <c r="K317" s="12"/>
      <c r="L317" s="12"/>
    </row>
    <row r="318" spans="2:12" ht="18" customHeight="1">
      <c r="B318" s="111" t="s">
        <v>725</v>
      </c>
      <c r="C318" s="9" t="s">
        <v>726</v>
      </c>
      <c r="D318" s="140"/>
      <c r="E318" s="112" t="s">
        <v>1147</v>
      </c>
      <c r="F318" s="40">
        <v>75</v>
      </c>
      <c r="G318" s="40">
        <f t="shared" si="66"/>
        <v>150</v>
      </c>
      <c r="H318" s="39" t="s">
        <v>43</v>
      </c>
      <c r="I318" s="11"/>
      <c r="J318" s="45">
        <f t="shared" si="65"/>
        <v>0</v>
      </c>
      <c r="K318" s="12"/>
      <c r="L318" s="12"/>
    </row>
    <row r="319" spans="2:12" ht="18" customHeight="1">
      <c r="B319" s="111" t="s">
        <v>727</v>
      </c>
      <c r="C319" s="9" t="s">
        <v>728</v>
      </c>
      <c r="D319" s="140"/>
      <c r="E319" s="112" t="s">
        <v>1147</v>
      </c>
      <c r="F319" s="40">
        <v>75</v>
      </c>
      <c r="G319" s="40">
        <f t="shared" si="66"/>
        <v>150</v>
      </c>
      <c r="H319" s="39" t="s">
        <v>44</v>
      </c>
      <c r="I319" s="11"/>
      <c r="J319" s="45">
        <f t="shared" si="65"/>
        <v>0</v>
      </c>
      <c r="K319" s="12"/>
      <c r="L319" s="12"/>
    </row>
    <row r="320" spans="2:12" ht="18" customHeight="1">
      <c r="B320" s="111" t="s">
        <v>729</v>
      </c>
      <c r="C320" s="9" t="s">
        <v>730</v>
      </c>
      <c r="D320" s="140"/>
      <c r="E320" s="112" t="s">
        <v>1147</v>
      </c>
      <c r="F320" s="40">
        <v>75</v>
      </c>
      <c r="G320" s="40">
        <f t="shared" si="66"/>
        <v>150</v>
      </c>
      <c r="H320" s="39" t="s">
        <v>18</v>
      </c>
      <c r="I320" s="11"/>
      <c r="J320" s="45">
        <f t="shared" si="65"/>
        <v>0</v>
      </c>
      <c r="K320" s="12"/>
      <c r="L320" s="12"/>
    </row>
    <row r="321" spans="2:12" ht="18" customHeight="1">
      <c r="B321" s="111" t="s">
        <v>741</v>
      </c>
      <c r="C321" s="9" t="s">
        <v>742</v>
      </c>
      <c r="D321" s="140"/>
      <c r="E321" s="112" t="s">
        <v>1141</v>
      </c>
      <c r="F321" s="19">
        <v>75</v>
      </c>
      <c r="G321" s="19">
        <f t="shared" si="66"/>
        <v>150</v>
      </c>
      <c r="H321" s="124" t="s">
        <v>41</v>
      </c>
      <c r="I321" s="9"/>
      <c r="J321" s="45">
        <f t="shared" si="65"/>
        <v>0</v>
      </c>
      <c r="K321" s="12"/>
      <c r="L321" s="12"/>
    </row>
    <row r="322" spans="2:12" ht="18" customHeight="1">
      <c r="B322" s="111" t="s">
        <v>743</v>
      </c>
      <c r="C322" s="9" t="s">
        <v>744</v>
      </c>
      <c r="D322" s="140"/>
      <c r="E322" s="112" t="s">
        <v>1141</v>
      </c>
      <c r="F322" s="19">
        <v>75</v>
      </c>
      <c r="G322" s="19">
        <f t="shared" si="66"/>
        <v>150</v>
      </c>
      <c r="H322" s="124" t="s">
        <v>42</v>
      </c>
      <c r="I322" s="9"/>
      <c r="J322" s="45">
        <f t="shared" si="65"/>
        <v>0</v>
      </c>
      <c r="K322" s="12"/>
      <c r="L322" s="12"/>
    </row>
    <row r="323" spans="2:12" ht="18" customHeight="1">
      <c r="B323" s="111" t="s">
        <v>745</v>
      </c>
      <c r="C323" s="9" t="s">
        <v>746</v>
      </c>
      <c r="D323" s="140"/>
      <c r="E323" s="112" t="s">
        <v>1141</v>
      </c>
      <c r="F323" s="19">
        <v>75</v>
      </c>
      <c r="G323" s="19">
        <f t="shared" si="66"/>
        <v>150</v>
      </c>
      <c r="H323" s="124" t="s">
        <v>43</v>
      </c>
      <c r="I323" s="9"/>
      <c r="J323" s="45">
        <f t="shared" si="65"/>
        <v>0</v>
      </c>
      <c r="K323" s="12"/>
      <c r="L323" s="12"/>
    </row>
    <row r="324" spans="2:12" ht="18" customHeight="1">
      <c r="B324" s="111" t="s">
        <v>747</v>
      </c>
      <c r="C324" s="9" t="s">
        <v>748</v>
      </c>
      <c r="D324" s="140"/>
      <c r="E324" s="112" t="s">
        <v>1141</v>
      </c>
      <c r="F324" s="19">
        <v>75</v>
      </c>
      <c r="G324" s="19">
        <f t="shared" si="66"/>
        <v>150</v>
      </c>
      <c r="H324" s="124" t="s">
        <v>44</v>
      </c>
      <c r="I324" s="9"/>
      <c r="J324" s="45">
        <f t="shared" si="65"/>
        <v>0</v>
      </c>
      <c r="K324" s="12"/>
      <c r="L324" s="12"/>
    </row>
    <row r="325" spans="2:12" ht="18" customHeight="1">
      <c r="B325" s="111" t="s">
        <v>749</v>
      </c>
      <c r="C325" s="9" t="s">
        <v>750</v>
      </c>
      <c r="D325" s="141"/>
      <c r="E325" s="112" t="s">
        <v>1141</v>
      </c>
      <c r="F325" s="19">
        <v>75</v>
      </c>
      <c r="G325" s="19">
        <f t="shared" si="66"/>
        <v>150</v>
      </c>
      <c r="H325" s="124" t="s">
        <v>18</v>
      </c>
      <c r="I325" s="9"/>
      <c r="J325" s="45">
        <f t="shared" si="65"/>
        <v>0</v>
      </c>
      <c r="K325" s="12"/>
      <c r="L325" s="12"/>
    </row>
    <row r="326" spans="2:12" ht="18" customHeight="1">
      <c r="B326" s="119" t="s">
        <v>762</v>
      </c>
      <c r="C326" s="11" t="s">
        <v>763</v>
      </c>
      <c r="D326" s="142" t="s">
        <v>753</v>
      </c>
      <c r="E326" s="113" t="s">
        <v>33</v>
      </c>
      <c r="F326" s="40">
        <v>60</v>
      </c>
      <c r="G326" s="40">
        <f t="shared" ref="G326:G335" si="68">SUM(F326*2)</f>
        <v>120</v>
      </c>
      <c r="H326" s="39" t="s">
        <v>41</v>
      </c>
      <c r="I326" s="11"/>
      <c r="J326" s="45">
        <f t="shared" si="65"/>
        <v>0</v>
      </c>
      <c r="K326" s="12"/>
      <c r="L326" s="12"/>
    </row>
    <row r="327" spans="2:12" ht="18" customHeight="1">
      <c r="B327" s="119" t="s">
        <v>764</v>
      </c>
      <c r="C327" s="11" t="s">
        <v>765</v>
      </c>
      <c r="D327" s="146"/>
      <c r="E327" s="113" t="s">
        <v>33</v>
      </c>
      <c r="F327" s="40">
        <v>60</v>
      </c>
      <c r="G327" s="40">
        <f t="shared" si="68"/>
        <v>120</v>
      </c>
      <c r="H327" s="39" t="s">
        <v>42</v>
      </c>
      <c r="I327" s="11"/>
      <c r="J327" s="45">
        <f t="shared" si="65"/>
        <v>0</v>
      </c>
      <c r="K327" s="12"/>
      <c r="L327" s="12"/>
    </row>
    <row r="328" spans="2:12" ht="18" customHeight="1">
      <c r="B328" s="119" t="s">
        <v>766</v>
      </c>
      <c r="C328" s="11" t="s">
        <v>767</v>
      </c>
      <c r="D328" s="146"/>
      <c r="E328" s="113" t="s">
        <v>33</v>
      </c>
      <c r="F328" s="40">
        <v>60</v>
      </c>
      <c r="G328" s="40">
        <f t="shared" si="68"/>
        <v>120</v>
      </c>
      <c r="H328" s="39" t="s">
        <v>43</v>
      </c>
      <c r="I328" s="11"/>
      <c r="J328" s="45">
        <f t="shared" si="65"/>
        <v>0</v>
      </c>
      <c r="K328" s="12"/>
      <c r="L328" s="12"/>
    </row>
    <row r="329" spans="2:12" ht="18" customHeight="1">
      <c r="B329" s="119" t="s">
        <v>768</v>
      </c>
      <c r="C329" s="11" t="s">
        <v>769</v>
      </c>
      <c r="D329" s="146"/>
      <c r="E329" s="113" t="s">
        <v>33</v>
      </c>
      <c r="F329" s="40">
        <v>60</v>
      </c>
      <c r="G329" s="40">
        <f t="shared" si="68"/>
        <v>120</v>
      </c>
      <c r="H329" s="39" t="s">
        <v>44</v>
      </c>
      <c r="I329" s="11"/>
      <c r="J329" s="45">
        <f t="shared" si="65"/>
        <v>0</v>
      </c>
      <c r="K329" s="12"/>
      <c r="L329" s="12"/>
    </row>
    <row r="330" spans="2:12" ht="18" customHeight="1">
      <c r="B330" s="119" t="s">
        <v>770</v>
      </c>
      <c r="C330" s="11" t="s">
        <v>771</v>
      </c>
      <c r="D330" s="146"/>
      <c r="E330" s="113" t="s">
        <v>33</v>
      </c>
      <c r="F330" s="40">
        <v>60</v>
      </c>
      <c r="G330" s="40">
        <f t="shared" si="68"/>
        <v>120</v>
      </c>
      <c r="H330" s="39" t="s">
        <v>18</v>
      </c>
      <c r="I330" s="11"/>
      <c r="J330" s="45">
        <f t="shared" si="65"/>
        <v>0</v>
      </c>
      <c r="K330" s="12"/>
      <c r="L330" s="12"/>
    </row>
    <row r="331" spans="2:12" ht="18" customHeight="1">
      <c r="B331" s="119" t="s">
        <v>772</v>
      </c>
      <c r="C331" s="11" t="s">
        <v>773</v>
      </c>
      <c r="D331" s="146"/>
      <c r="E331" s="113" t="s">
        <v>1148</v>
      </c>
      <c r="F331" s="19">
        <v>60</v>
      </c>
      <c r="G331" s="19">
        <f t="shared" si="68"/>
        <v>120</v>
      </c>
      <c r="H331" s="124" t="s">
        <v>41</v>
      </c>
      <c r="I331" s="9"/>
      <c r="J331" s="45">
        <f t="shared" si="65"/>
        <v>0</v>
      </c>
      <c r="K331" s="12"/>
      <c r="L331" s="12"/>
    </row>
    <row r="332" spans="2:12" ht="18" customHeight="1">
      <c r="B332" s="119" t="s">
        <v>774</v>
      </c>
      <c r="C332" s="11" t="s">
        <v>775</v>
      </c>
      <c r="D332" s="146"/>
      <c r="E332" s="113" t="s">
        <v>1148</v>
      </c>
      <c r="F332" s="19">
        <v>60</v>
      </c>
      <c r="G332" s="19">
        <f t="shared" si="68"/>
        <v>120</v>
      </c>
      <c r="H332" s="124" t="s">
        <v>42</v>
      </c>
      <c r="I332" s="9"/>
      <c r="J332" s="45">
        <f t="shared" si="65"/>
        <v>0</v>
      </c>
      <c r="K332" s="12"/>
      <c r="L332" s="12"/>
    </row>
    <row r="333" spans="2:12" ht="18" customHeight="1">
      <c r="B333" s="119" t="s">
        <v>776</v>
      </c>
      <c r="C333" s="11" t="s">
        <v>777</v>
      </c>
      <c r="D333" s="146"/>
      <c r="E333" s="113" t="s">
        <v>1148</v>
      </c>
      <c r="F333" s="19">
        <v>60</v>
      </c>
      <c r="G333" s="19">
        <f t="shared" si="68"/>
        <v>120</v>
      </c>
      <c r="H333" s="124" t="s">
        <v>43</v>
      </c>
      <c r="I333" s="9"/>
      <c r="J333" s="45">
        <f t="shared" si="65"/>
        <v>0</v>
      </c>
      <c r="K333" s="12"/>
      <c r="L333" s="12"/>
    </row>
    <row r="334" spans="2:12" ht="18" customHeight="1">
      <c r="B334" s="119" t="s">
        <v>778</v>
      </c>
      <c r="C334" s="11" t="s">
        <v>779</v>
      </c>
      <c r="D334" s="146"/>
      <c r="E334" s="113" t="s">
        <v>1148</v>
      </c>
      <c r="F334" s="19">
        <v>60</v>
      </c>
      <c r="G334" s="19">
        <f t="shared" si="68"/>
        <v>120</v>
      </c>
      <c r="H334" s="124" t="s">
        <v>44</v>
      </c>
      <c r="I334" s="9"/>
      <c r="J334" s="45">
        <f t="shared" si="65"/>
        <v>0</v>
      </c>
      <c r="K334" s="12"/>
      <c r="L334" s="12"/>
    </row>
    <row r="335" spans="2:12" ht="18" customHeight="1">
      <c r="B335" s="119" t="s">
        <v>780</v>
      </c>
      <c r="C335" s="11" t="s">
        <v>781</v>
      </c>
      <c r="D335" s="146"/>
      <c r="E335" s="113" t="s">
        <v>1148</v>
      </c>
      <c r="F335" s="19">
        <v>60</v>
      </c>
      <c r="G335" s="19">
        <f t="shared" si="68"/>
        <v>120</v>
      </c>
      <c r="H335" s="124" t="s">
        <v>18</v>
      </c>
      <c r="I335" s="9"/>
      <c r="J335" s="45">
        <f t="shared" si="65"/>
        <v>0</v>
      </c>
      <c r="K335" s="12"/>
      <c r="L335" s="12"/>
    </row>
    <row r="336" spans="2:12" ht="18" customHeight="1">
      <c r="B336" s="119" t="s">
        <v>751</v>
      </c>
      <c r="C336" s="11" t="s">
        <v>752</v>
      </c>
      <c r="D336" s="146"/>
      <c r="E336" s="113" t="s">
        <v>20</v>
      </c>
      <c r="F336" s="40">
        <v>60</v>
      </c>
      <c r="G336" s="40">
        <f t="shared" si="66"/>
        <v>120</v>
      </c>
      <c r="H336" s="39" t="s">
        <v>41</v>
      </c>
      <c r="I336" s="11"/>
      <c r="J336" s="45">
        <f t="shared" ref="J336:J399" si="69">SUM(F336*I336)</f>
        <v>0</v>
      </c>
      <c r="K336" s="12"/>
      <c r="L336" s="12"/>
    </row>
    <row r="337" spans="2:12" ht="18" customHeight="1">
      <c r="B337" s="119" t="s">
        <v>754</v>
      </c>
      <c r="C337" s="11" t="s">
        <v>755</v>
      </c>
      <c r="D337" s="146"/>
      <c r="E337" s="113" t="s">
        <v>20</v>
      </c>
      <c r="F337" s="40">
        <v>60</v>
      </c>
      <c r="G337" s="40">
        <f t="shared" si="66"/>
        <v>120</v>
      </c>
      <c r="H337" s="39" t="s">
        <v>42</v>
      </c>
      <c r="I337" s="11"/>
      <c r="J337" s="45">
        <f t="shared" si="69"/>
        <v>0</v>
      </c>
      <c r="K337" s="12"/>
      <c r="L337" s="12"/>
    </row>
    <row r="338" spans="2:12" ht="18" customHeight="1">
      <c r="B338" s="119" t="s">
        <v>756</v>
      </c>
      <c r="C338" s="11" t="s">
        <v>757</v>
      </c>
      <c r="D338" s="146"/>
      <c r="E338" s="113" t="s">
        <v>20</v>
      </c>
      <c r="F338" s="40">
        <v>60</v>
      </c>
      <c r="G338" s="40">
        <f t="shared" si="66"/>
        <v>120</v>
      </c>
      <c r="H338" s="39" t="s">
        <v>43</v>
      </c>
      <c r="I338" s="11"/>
      <c r="J338" s="45">
        <f t="shared" si="69"/>
        <v>0</v>
      </c>
      <c r="K338" s="12"/>
      <c r="L338" s="12"/>
    </row>
    <row r="339" spans="2:12" ht="18" customHeight="1">
      <c r="B339" s="119" t="s">
        <v>758</v>
      </c>
      <c r="C339" s="11" t="s">
        <v>759</v>
      </c>
      <c r="D339" s="146"/>
      <c r="E339" s="113" t="s">
        <v>20</v>
      </c>
      <c r="F339" s="40">
        <v>60</v>
      </c>
      <c r="G339" s="40">
        <f t="shared" si="66"/>
        <v>120</v>
      </c>
      <c r="H339" s="39" t="s">
        <v>44</v>
      </c>
      <c r="I339" s="11"/>
      <c r="J339" s="45">
        <f t="shared" si="69"/>
        <v>0</v>
      </c>
      <c r="K339" s="12"/>
      <c r="L339" s="12"/>
    </row>
    <row r="340" spans="2:12" ht="18" customHeight="1">
      <c r="B340" s="119" t="s">
        <v>760</v>
      </c>
      <c r="C340" s="11" t="s">
        <v>761</v>
      </c>
      <c r="D340" s="147"/>
      <c r="E340" s="113" t="s">
        <v>20</v>
      </c>
      <c r="F340" s="40">
        <v>60</v>
      </c>
      <c r="G340" s="40">
        <f t="shared" si="66"/>
        <v>120</v>
      </c>
      <c r="H340" s="39" t="s">
        <v>18</v>
      </c>
      <c r="I340" s="11"/>
      <c r="J340" s="45">
        <f t="shared" si="69"/>
        <v>0</v>
      </c>
      <c r="K340" s="12"/>
      <c r="L340" s="12"/>
    </row>
    <row r="341" spans="2:12" ht="18" customHeight="1">
      <c r="B341" s="111" t="s">
        <v>857</v>
      </c>
      <c r="C341" s="9" t="s">
        <v>858</v>
      </c>
      <c r="D341" s="139" t="s">
        <v>859</v>
      </c>
      <c r="E341" s="112" t="s">
        <v>1149</v>
      </c>
      <c r="F341" s="19">
        <v>55</v>
      </c>
      <c r="G341" s="19">
        <f t="shared" ref="G341:G409" si="70">SUM(F341*2)</f>
        <v>110</v>
      </c>
      <c r="H341" s="124" t="s">
        <v>41</v>
      </c>
      <c r="I341" s="9"/>
      <c r="J341" s="45">
        <f t="shared" si="69"/>
        <v>0</v>
      </c>
      <c r="K341" s="12"/>
      <c r="L341" s="12"/>
    </row>
    <row r="342" spans="2:12" ht="18" customHeight="1">
      <c r="B342" s="111" t="s">
        <v>860</v>
      </c>
      <c r="C342" s="9" t="s">
        <v>861</v>
      </c>
      <c r="D342" s="140"/>
      <c r="E342" s="112" t="s">
        <v>1149</v>
      </c>
      <c r="F342" s="19">
        <v>55</v>
      </c>
      <c r="G342" s="19">
        <f t="shared" si="70"/>
        <v>110</v>
      </c>
      <c r="H342" s="124" t="s">
        <v>42</v>
      </c>
      <c r="I342" s="9"/>
      <c r="J342" s="45">
        <f t="shared" si="69"/>
        <v>0</v>
      </c>
      <c r="K342" s="12"/>
      <c r="L342" s="12"/>
    </row>
    <row r="343" spans="2:12" ht="18" customHeight="1">
      <c r="B343" s="111" t="s">
        <v>862</v>
      </c>
      <c r="C343" s="9" t="s">
        <v>863</v>
      </c>
      <c r="D343" s="140"/>
      <c r="E343" s="112" t="s">
        <v>1149</v>
      </c>
      <c r="F343" s="19">
        <v>55</v>
      </c>
      <c r="G343" s="19">
        <f t="shared" si="70"/>
        <v>110</v>
      </c>
      <c r="H343" s="124" t="s">
        <v>43</v>
      </c>
      <c r="I343" s="9"/>
      <c r="J343" s="45">
        <f t="shared" si="69"/>
        <v>0</v>
      </c>
      <c r="K343" s="12"/>
      <c r="L343" s="12"/>
    </row>
    <row r="344" spans="2:12" ht="18" customHeight="1">
      <c r="B344" s="111" t="s">
        <v>864</v>
      </c>
      <c r="C344" s="9" t="s">
        <v>865</v>
      </c>
      <c r="D344" s="140"/>
      <c r="E344" s="112" t="s">
        <v>1149</v>
      </c>
      <c r="F344" s="19">
        <v>55</v>
      </c>
      <c r="G344" s="19">
        <f t="shared" si="70"/>
        <v>110</v>
      </c>
      <c r="H344" s="124" t="s">
        <v>44</v>
      </c>
      <c r="I344" s="9"/>
      <c r="J344" s="45">
        <f t="shared" si="69"/>
        <v>0</v>
      </c>
      <c r="K344" s="12"/>
      <c r="L344" s="12"/>
    </row>
    <row r="345" spans="2:12" ht="18" customHeight="1">
      <c r="B345" s="111" t="s">
        <v>866</v>
      </c>
      <c r="C345" s="9" t="s">
        <v>867</v>
      </c>
      <c r="D345" s="140"/>
      <c r="E345" s="112" t="s">
        <v>1149</v>
      </c>
      <c r="F345" s="19">
        <v>55</v>
      </c>
      <c r="G345" s="19">
        <f t="shared" si="70"/>
        <v>110</v>
      </c>
      <c r="H345" s="124" t="s">
        <v>18</v>
      </c>
      <c r="I345" s="9"/>
      <c r="J345" s="45">
        <f t="shared" si="69"/>
        <v>0</v>
      </c>
      <c r="K345" s="12"/>
      <c r="L345" s="12"/>
    </row>
    <row r="346" spans="2:12" ht="18" customHeight="1">
      <c r="B346" s="111" t="s">
        <v>868</v>
      </c>
      <c r="C346" s="9" t="s">
        <v>869</v>
      </c>
      <c r="D346" s="140"/>
      <c r="E346" s="112" t="s">
        <v>112</v>
      </c>
      <c r="F346" s="40">
        <v>55</v>
      </c>
      <c r="G346" s="40">
        <f t="shared" si="70"/>
        <v>110</v>
      </c>
      <c r="H346" s="39" t="s">
        <v>41</v>
      </c>
      <c r="I346" s="11"/>
      <c r="J346" s="45">
        <f t="shared" si="69"/>
        <v>0</v>
      </c>
      <c r="K346" s="12"/>
      <c r="L346" s="12"/>
    </row>
    <row r="347" spans="2:12" ht="18" customHeight="1">
      <c r="B347" s="111" t="s">
        <v>870</v>
      </c>
      <c r="C347" s="9" t="s">
        <v>871</v>
      </c>
      <c r="D347" s="140"/>
      <c r="E347" s="112" t="s">
        <v>112</v>
      </c>
      <c r="F347" s="40">
        <v>55</v>
      </c>
      <c r="G347" s="40">
        <f t="shared" si="70"/>
        <v>110</v>
      </c>
      <c r="H347" s="39" t="s">
        <v>42</v>
      </c>
      <c r="I347" s="11"/>
      <c r="J347" s="45">
        <f t="shared" si="69"/>
        <v>0</v>
      </c>
      <c r="K347" s="12"/>
      <c r="L347" s="12"/>
    </row>
    <row r="348" spans="2:12" ht="18" customHeight="1">
      <c r="B348" s="111" t="s">
        <v>872</v>
      </c>
      <c r="C348" s="9" t="s">
        <v>873</v>
      </c>
      <c r="D348" s="140"/>
      <c r="E348" s="112" t="s">
        <v>112</v>
      </c>
      <c r="F348" s="40">
        <v>55</v>
      </c>
      <c r="G348" s="40">
        <f t="shared" si="70"/>
        <v>110</v>
      </c>
      <c r="H348" s="39" t="s">
        <v>43</v>
      </c>
      <c r="I348" s="11"/>
      <c r="J348" s="45">
        <f t="shared" si="69"/>
        <v>0</v>
      </c>
      <c r="K348" s="12"/>
      <c r="L348" s="12"/>
    </row>
    <row r="349" spans="2:12" ht="18" customHeight="1">
      <c r="B349" s="111" t="s">
        <v>874</v>
      </c>
      <c r="C349" s="9" t="s">
        <v>875</v>
      </c>
      <c r="D349" s="140"/>
      <c r="E349" s="112" t="s">
        <v>112</v>
      </c>
      <c r="F349" s="40">
        <v>55</v>
      </c>
      <c r="G349" s="40">
        <f t="shared" si="70"/>
        <v>110</v>
      </c>
      <c r="H349" s="39" t="s">
        <v>44</v>
      </c>
      <c r="I349" s="11"/>
      <c r="J349" s="45">
        <f>SUM(F349*I349)</f>
        <v>0</v>
      </c>
      <c r="K349" s="12"/>
      <c r="L349" s="12"/>
    </row>
    <row r="350" spans="2:12" ht="18" customHeight="1">
      <c r="B350" s="111" t="s">
        <v>876</v>
      </c>
      <c r="C350" s="9" t="s">
        <v>877</v>
      </c>
      <c r="D350" s="141"/>
      <c r="E350" s="112" t="s">
        <v>112</v>
      </c>
      <c r="F350" s="40">
        <v>55</v>
      </c>
      <c r="G350" s="40">
        <f t="shared" si="70"/>
        <v>110</v>
      </c>
      <c r="H350" s="39" t="s">
        <v>18</v>
      </c>
      <c r="I350" s="11"/>
      <c r="J350" s="45">
        <f t="shared" si="69"/>
        <v>0</v>
      </c>
      <c r="K350" s="12"/>
      <c r="L350" s="12"/>
    </row>
    <row r="351" spans="2:12" ht="18" customHeight="1">
      <c r="B351" s="111" t="s">
        <v>920</v>
      </c>
      <c r="C351" s="9" t="s">
        <v>921</v>
      </c>
      <c r="D351" s="139" t="s">
        <v>901</v>
      </c>
      <c r="E351" s="112" t="s">
        <v>1145</v>
      </c>
      <c r="F351" s="19">
        <v>60</v>
      </c>
      <c r="G351" s="19">
        <f t="shared" ref="G351:G360" si="71">SUM(F351*2)</f>
        <v>120</v>
      </c>
      <c r="H351" s="124" t="s">
        <v>41</v>
      </c>
      <c r="I351" s="9"/>
      <c r="J351" s="45">
        <f t="shared" si="69"/>
        <v>0</v>
      </c>
      <c r="K351" s="12"/>
      <c r="L351" s="12"/>
    </row>
    <row r="352" spans="2:12" ht="18" customHeight="1">
      <c r="B352" s="111" t="s">
        <v>922</v>
      </c>
      <c r="C352" s="9" t="s">
        <v>923</v>
      </c>
      <c r="D352" s="146"/>
      <c r="E352" s="112" t="s">
        <v>1145</v>
      </c>
      <c r="F352" s="19">
        <v>60</v>
      </c>
      <c r="G352" s="19">
        <f t="shared" si="71"/>
        <v>120</v>
      </c>
      <c r="H352" s="124" t="s">
        <v>42</v>
      </c>
      <c r="I352" s="9"/>
      <c r="J352" s="45">
        <f t="shared" si="69"/>
        <v>0</v>
      </c>
      <c r="K352" s="12"/>
      <c r="L352" s="12"/>
    </row>
    <row r="353" spans="2:12" ht="18" customHeight="1">
      <c r="B353" s="111" t="s">
        <v>924</v>
      </c>
      <c r="C353" s="9" t="s">
        <v>925</v>
      </c>
      <c r="D353" s="146"/>
      <c r="E353" s="112" t="s">
        <v>1145</v>
      </c>
      <c r="F353" s="19">
        <v>60</v>
      </c>
      <c r="G353" s="19">
        <f t="shared" si="71"/>
        <v>120</v>
      </c>
      <c r="H353" s="124" t="s">
        <v>43</v>
      </c>
      <c r="I353" s="9"/>
      <c r="J353" s="45">
        <f t="shared" si="69"/>
        <v>0</v>
      </c>
      <c r="K353" s="12"/>
      <c r="L353" s="12"/>
    </row>
    <row r="354" spans="2:12" ht="18" customHeight="1">
      <c r="B354" s="111" t="s">
        <v>926</v>
      </c>
      <c r="C354" s="9" t="s">
        <v>927</v>
      </c>
      <c r="D354" s="146"/>
      <c r="E354" s="112" t="s">
        <v>1145</v>
      </c>
      <c r="F354" s="19">
        <v>60</v>
      </c>
      <c r="G354" s="19">
        <f t="shared" si="71"/>
        <v>120</v>
      </c>
      <c r="H354" s="124" t="s">
        <v>44</v>
      </c>
      <c r="I354" s="9"/>
      <c r="J354" s="45">
        <f t="shared" si="69"/>
        <v>0</v>
      </c>
      <c r="K354" s="12"/>
      <c r="L354" s="12"/>
    </row>
    <row r="355" spans="2:12" ht="18" customHeight="1">
      <c r="B355" s="111" t="s">
        <v>928</v>
      </c>
      <c r="C355" s="9" t="s">
        <v>929</v>
      </c>
      <c r="D355" s="146"/>
      <c r="E355" s="112" t="s">
        <v>1145</v>
      </c>
      <c r="F355" s="19">
        <v>60</v>
      </c>
      <c r="G355" s="19">
        <f t="shared" si="71"/>
        <v>120</v>
      </c>
      <c r="H355" s="124" t="s">
        <v>18</v>
      </c>
      <c r="I355" s="9"/>
      <c r="J355" s="45">
        <f t="shared" si="69"/>
        <v>0</v>
      </c>
      <c r="K355" s="12"/>
      <c r="L355" s="12"/>
    </row>
    <row r="356" spans="2:12" ht="18" customHeight="1">
      <c r="B356" s="111" t="s">
        <v>910</v>
      </c>
      <c r="C356" s="9" t="s">
        <v>911</v>
      </c>
      <c r="D356" s="146"/>
      <c r="E356" s="112" t="s">
        <v>112</v>
      </c>
      <c r="F356" s="40">
        <v>60</v>
      </c>
      <c r="G356" s="40">
        <f t="shared" si="71"/>
        <v>120</v>
      </c>
      <c r="H356" s="39" t="s">
        <v>41</v>
      </c>
      <c r="I356" s="11"/>
      <c r="J356" s="45">
        <f t="shared" si="69"/>
        <v>0</v>
      </c>
      <c r="K356" s="12"/>
      <c r="L356" s="12"/>
    </row>
    <row r="357" spans="2:12" ht="18" customHeight="1">
      <c r="B357" s="111" t="s">
        <v>912</v>
      </c>
      <c r="C357" s="9" t="s">
        <v>913</v>
      </c>
      <c r="D357" s="146"/>
      <c r="E357" s="112" t="s">
        <v>112</v>
      </c>
      <c r="F357" s="40">
        <v>60</v>
      </c>
      <c r="G357" s="40">
        <f t="shared" si="71"/>
        <v>120</v>
      </c>
      <c r="H357" s="39" t="s">
        <v>42</v>
      </c>
      <c r="I357" s="11"/>
      <c r="J357" s="45">
        <f t="shared" si="69"/>
        <v>0</v>
      </c>
      <c r="K357" s="12"/>
      <c r="L357" s="12"/>
    </row>
    <row r="358" spans="2:12" ht="18" customHeight="1">
      <c r="B358" s="111" t="s">
        <v>914</v>
      </c>
      <c r="C358" s="9" t="s">
        <v>915</v>
      </c>
      <c r="D358" s="146"/>
      <c r="E358" s="112" t="s">
        <v>112</v>
      </c>
      <c r="F358" s="40">
        <v>60</v>
      </c>
      <c r="G358" s="40">
        <f t="shared" si="71"/>
        <v>120</v>
      </c>
      <c r="H358" s="39" t="s">
        <v>43</v>
      </c>
      <c r="I358" s="11"/>
      <c r="J358" s="45">
        <f t="shared" si="69"/>
        <v>0</v>
      </c>
      <c r="K358" s="12"/>
      <c r="L358" s="12"/>
    </row>
    <row r="359" spans="2:12" ht="18" customHeight="1">
      <c r="B359" s="111" t="s">
        <v>916</v>
      </c>
      <c r="C359" s="9" t="s">
        <v>917</v>
      </c>
      <c r="D359" s="146"/>
      <c r="E359" s="112" t="s">
        <v>112</v>
      </c>
      <c r="F359" s="40">
        <v>60</v>
      </c>
      <c r="G359" s="40">
        <f t="shared" si="71"/>
        <v>120</v>
      </c>
      <c r="H359" s="39" t="s">
        <v>44</v>
      </c>
      <c r="I359" s="11"/>
      <c r="J359" s="45">
        <f t="shared" si="69"/>
        <v>0</v>
      </c>
      <c r="K359" s="12"/>
      <c r="L359" s="12"/>
    </row>
    <row r="360" spans="2:12" ht="18" customHeight="1">
      <c r="B360" s="111" t="s">
        <v>918</v>
      </c>
      <c r="C360" s="9" t="s">
        <v>919</v>
      </c>
      <c r="D360" s="146"/>
      <c r="E360" s="112" t="s">
        <v>112</v>
      </c>
      <c r="F360" s="40">
        <v>60</v>
      </c>
      <c r="G360" s="40">
        <f t="shared" si="71"/>
        <v>120</v>
      </c>
      <c r="H360" s="39" t="s">
        <v>18</v>
      </c>
      <c r="I360" s="11"/>
      <c r="J360" s="45">
        <f t="shared" si="69"/>
        <v>0</v>
      </c>
      <c r="K360" s="12"/>
      <c r="L360" s="12"/>
    </row>
    <row r="361" spans="2:12" ht="18" customHeight="1">
      <c r="B361" s="111" t="s">
        <v>899</v>
      </c>
      <c r="C361" s="9" t="s">
        <v>900</v>
      </c>
      <c r="D361" s="146"/>
      <c r="E361" s="112" t="s">
        <v>817</v>
      </c>
      <c r="F361" s="19">
        <v>60</v>
      </c>
      <c r="G361" s="19">
        <f t="shared" si="70"/>
        <v>120</v>
      </c>
      <c r="H361" s="124" t="s">
        <v>41</v>
      </c>
      <c r="I361" s="9"/>
      <c r="J361" s="45">
        <f t="shared" si="69"/>
        <v>0</v>
      </c>
      <c r="K361" s="12"/>
      <c r="L361" s="12"/>
    </row>
    <row r="362" spans="2:12" ht="18" customHeight="1">
      <c r="B362" s="111" t="s">
        <v>902</v>
      </c>
      <c r="C362" s="9" t="s">
        <v>903</v>
      </c>
      <c r="D362" s="146"/>
      <c r="E362" s="112" t="s">
        <v>817</v>
      </c>
      <c r="F362" s="19">
        <v>60</v>
      </c>
      <c r="G362" s="19">
        <f t="shared" si="70"/>
        <v>120</v>
      </c>
      <c r="H362" s="124" t="s">
        <v>42</v>
      </c>
      <c r="I362" s="9"/>
      <c r="J362" s="45">
        <f t="shared" si="69"/>
        <v>0</v>
      </c>
      <c r="K362" s="12"/>
      <c r="L362" s="12"/>
    </row>
    <row r="363" spans="2:12" ht="18" customHeight="1">
      <c r="B363" s="111" t="s">
        <v>904</v>
      </c>
      <c r="C363" s="9" t="s">
        <v>905</v>
      </c>
      <c r="D363" s="146"/>
      <c r="E363" s="112" t="s">
        <v>817</v>
      </c>
      <c r="F363" s="19">
        <v>60</v>
      </c>
      <c r="G363" s="19">
        <f t="shared" si="70"/>
        <v>120</v>
      </c>
      <c r="H363" s="124" t="s">
        <v>43</v>
      </c>
      <c r="I363" s="9"/>
      <c r="J363" s="45">
        <f t="shared" si="69"/>
        <v>0</v>
      </c>
      <c r="K363" s="12"/>
      <c r="L363" s="12"/>
    </row>
    <row r="364" spans="2:12" ht="18" customHeight="1">
      <c r="B364" s="111" t="s">
        <v>906</v>
      </c>
      <c r="C364" s="9" t="s">
        <v>907</v>
      </c>
      <c r="D364" s="146"/>
      <c r="E364" s="112" t="s">
        <v>817</v>
      </c>
      <c r="F364" s="19">
        <v>60</v>
      </c>
      <c r="G364" s="19">
        <f t="shared" si="70"/>
        <v>120</v>
      </c>
      <c r="H364" s="124" t="s">
        <v>44</v>
      </c>
      <c r="I364" s="9"/>
      <c r="J364" s="45">
        <f t="shared" si="69"/>
        <v>0</v>
      </c>
      <c r="K364" s="12"/>
      <c r="L364" s="12"/>
    </row>
    <row r="365" spans="2:12" ht="18" customHeight="1">
      <c r="B365" s="111" t="s">
        <v>908</v>
      </c>
      <c r="C365" s="9" t="s">
        <v>909</v>
      </c>
      <c r="D365" s="146"/>
      <c r="E365" s="112" t="s">
        <v>817</v>
      </c>
      <c r="F365" s="19">
        <v>60</v>
      </c>
      <c r="G365" s="19">
        <f t="shared" si="70"/>
        <v>120</v>
      </c>
      <c r="H365" s="124" t="s">
        <v>18</v>
      </c>
      <c r="I365" s="9"/>
      <c r="J365" s="45">
        <f t="shared" si="69"/>
        <v>0</v>
      </c>
      <c r="K365" s="12"/>
      <c r="L365" s="12"/>
    </row>
    <row r="366" spans="2:12" ht="18" customHeight="1">
      <c r="B366" s="111" t="s">
        <v>930</v>
      </c>
      <c r="C366" s="9" t="s">
        <v>931</v>
      </c>
      <c r="D366" s="146"/>
      <c r="E366" s="112" t="s">
        <v>53</v>
      </c>
      <c r="F366" s="40">
        <v>60</v>
      </c>
      <c r="G366" s="40">
        <f t="shared" si="70"/>
        <v>120</v>
      </c>
      <c r="H366" s="39" t="s">
        <v>41</v>
      </c>
      <c r="I366" s="11"/>
      <c r="J366" s="45">
        <f t="shared" si="69"/>
        <v>0</v>
      </c>
      <c r="K366" s="12"/>
      <c r="L366" s="12"/>
    </row>
    <row r="367" spans="2:12" ht="18" customHeight="1">
      <c r="B367" s="111" t="s">
        <v>932</v>
      </c>
      <c r="C367" s="9" t="s">
        <v>933</v>
      </c>
      <c r="D367" s="146"/>
      <c r="E367" s="112" t="s">
        <v>53</v>
      </c>
      <c r="F367" s="40">
        <v>60</v>
      </c>
      <c r="G367" s="40">
        <f t="shared" si="70"/>
        <v>120</v>
      </c>
      <c r="H367" s="39" t="s">
        <v>42</v>
      </c>
      <c r="I367" s="11"/>
      <c r="J367" s="45">
        <f t="shared" si="69"/>
        <v>0</v>
      </c>
      <c r="K367" s="12"/>
      <c r="L367" s="12"/>
    </row>
    <row r="368" spans="2:12" ht="18" customHeight="1">
      <c r="B368" s="111" t="s">
        <v>934</v>
      </c>
      <c r="C368" s="9" t="s">
        <v>935</v>
      </c>
      <c r="D368" s="146"/>
      <c r="E368" s="112" t="s">
        <v>53</v>
      </c>
      <c r="F368" s="40">
        <v>60</v>
      </c>
      <c r="G368" s="40">
        <f t="shared" si="70"/>
        <v>120</v>
      </c>
      <c r="H368" s="39" t="s">
        <v>43</v>
      </c>
      <c r="I368" s="11"/>
      <c r="J368" s="45">
        <f t="shared" si="69"/>
        <v>0</v>
      </c>
      <c r="K368" s="12"/>
      <c r="L368" s="12"/>
    </row>
    <row r="369" spans="2:12" ht="18" customHeight="1">
      <c r="B369" s="111" t="s">
        <v>936</v>
      </c>
      <c r="C369" s="9" t="s">
        <v>937</v>
      </c>
      <c r="D369" s="146"/>
      <c r="E369" s="112" t="s">
        <v>53</v>
      </c>
      <c r="F369" s="40">
        <v>60</v>
      </c>
      <c r="G369" s="40">
        <f t="shared" si="70"/>
        <v>120</v>
      </c>
      <c r="H369" s="39" t="s">
        <v>44</v>
      </c>
      <c r="I369" s="11"/>
      <c r="J369" s="45">
        <f t="shared" si="69"/>
        <v>0</v>
      </c>
      <c r="K369" s="12"/>
      <c r="L369" s="12"/>
    </row>
    <row r="370" spans="2:12" ht="18" customHeight="1">
      <c r="B370" s="111" t="s">
        <v>938</v>
      </c>
      <c r="C370" s="9" t="s">
        <v>939</v>
      </c>
      <c r="D370" s="147"/>
      <c r="E370" s="112" t="s">
        <v>53</v>
      </c>
      <c r="F370" s="40">
        <v>60</v>
      </c>
      <c r="G370" s="40">
        <f t="shared" si="70"/>
        <v>120</v>
      </c>
      <c r="H370" s="39" t="s">
        <v>18</v>
      </c>
      <c r="I370" s="11"/>
      <c r="J370" s="45">
        <f t="shared" si="69"/>
        <v>0</v>
      </c>
      <c r="K370" s="12"/>
      <c r="L370" s="12"/>
    </row>
    <row r="371" spans="2:12" ht="18" customHeight="1">
      <c r="B371" s="119" t="s">
        <v>889</v>
      </c>
      <c r="C371" s="11" t="s">
        <v>890</v>
      </c>
      <c r="D371" s="142" t="s">
        <v>880</v>
      </c>
      <c r="E371" s="113" t="s">
        <v>1150</v>
      </c>
      <c r="F371" s="19">
        <v>55</v>
      </c>
      <c r="G371" s="19">
        <f t="shared" ref="G371:G375" si="72">SUM(F371*2)</f>
        <v>110</v>
      </c>
      <c r="H371" s="124" t="s">
        <v>41</v>
      </c>
      <c r="I371" s="9"/>
      <c r="J371" s="45">
        <f t="shared" si="69"/>
        <v>0</v>
      </c>
      <c r="K371" s="12"/>
      <c r="L371" s="12"/>
    </row>
    <row r="372" spans="2:12" ht="18" customHeight="1">
      <c r="B372" s="119" t="s">
        <v>891</v>
      </c>
      <c r="C372" s="11" t="s">
        <v>892</v>
      </c>
      <c r="D372" s="146"/>
      <c r="E372" s="113" t="s">
        <v>1150</v>
      </c>
      <c r="F372" s="19">
        <v>55</v>
      </c>
      <c r="G372" s="19">
        <f t="shared" si="72"/>
        <v>110</v>
      </c>
      <c r="H372" s="124" t="s">
        <v>42</v>
      </c>
      <c r="I372" s="9"/>
      <c r="J372" s="45">
        <f t="shared" si="69"/>
        <v>0</v>
      </c>
      <c r="K372" s="12"/>
      <c r="L372" s="12"/>
    </row>
    <row r="373" spans="2:12" ht="18" customHeight="1">
      <c r="B373" s="119" t="s">
        <v>893</v>
      </c>
      <c r="C373" s="11" t="s">
        <v>894</v>
      </c>
      <c r="D373" s="146"/>
      <c r="E373" s="113" t="s">
        <v>1150</v>
      </c>
      <c r="F373" s="19">
        <v>55</v>
      </c>
      <c r="G373" s="19">
        <f t="shared" si="72"/>
        <v>110</v>
      </c>
      <c r="H373" s="124" t="s">
        <v>43</v>
      </c>
      <c r="I373" s="9"/>
      <c r="J373" s="45">
        <f t="shared" si="69"/>
        <v>0</v>
      </c>
      <c r="K373" s="12"/>
      <c r="L373" s="12"/>
    </row>
    <row r="374" spans="2:12" ht="18" customHeight="1">
      <c r="B374" s="119" t="s">
        <v>895</v>
      </c>
      <c r="C374" s="11" t="s">
        <v>896</v>
      </c>
      <c r="D374" s="146"/>
      <c r="E374" s="113" t="s">
        <v>1150</v>
      </c>
      <c r="F374" s="19">
        <v>55</v>
      </c>
      <c r="G374" s="19">
        <f t="shared" si="72"/>
        <v>110</v>
      </c>
      <c r="H374" s="124" t="s">
        <v>44</v>
      </c>
      <c r="I374" s="9"/>
      <c r="J374" s="45">
        <f t="shared" si="69"/>
        <v>0</v>
      </c>
      <c r="K374" s="12"/>
      <c r="L374" s="12"/>
    </row>
    <row r="375" spans="2:12" ht="18" customHeight="1">
      <c r="B375" s="119" t="s">
        <v>897</v>
      </c>
      <c r="C375" s="11" t="s">
        <v>898</v>
      </c>
      <c r="D375" s="146"/>
      <c r="E375" s="113" t="s">
        <v>1150</v>
      </c>
      <c r="F375" s="19">
        <v>55</v>
      </c>
      <c r="G375" s="19">
        <f t="shared" si="72"/>
        <v>110</v>
      </c>
      <c r="H375" s="124" t="s">
        <v>18</v>
      </c>
      <c r="I375" s="9"/>
      <c r="J375" s="45">
        <f t="shared" si="69"/>
        <v>0</v>
      </c>
      <c r="K375" s="12"/>
      <c r="L375" s="12"/>
    </row>
    <row r="376" spans="2:12" ht="18" customHeight="1">
      <c r="B376" s="119" t="s">
        <v>878</v>
      </c>
      <c r="C376" s="11" t="s">
        <v>879</v>
      </c>
      <c r="D376" s="146"/>
      <c r="E376" s="113" t="s">
        <v>60</v>
      </c>
      <c r="F376" s="40">
        <v>55</v>
      </c>
      <c r="G376" s="40">
        <f t="shared" si="70"/>
        <v>110</v>
      </c>
      <c r="H376" s="39" t="s">
        <v>41</v>
      </c>
      <c r="I376" s="11"/>
      <c r="J376" s="45">
        <f t="shared" si="69"/>
        <v>0</v>
      </c>
      <c r="K376" s="12"/>
      <c r="L376" s="12"/>
    </row>
    <row r="377" spans="2:12" ht="18" customHeight="1">
      <c r="B377" s="119" t="s">
        <v>881</v>
      </c>
      <c r="C377" s="11" t="s">
        <v>882</v>
      </c>
      <c r="D377" s="146"/>
      <c r="E377" s="113" t="s">
        <v>60</v>
      </c>
      <c r="F377" s="40">
        <v>55</v>
      </c>
      <c r="G377" s="40">
        <f t="shared" si="70"/>
        <v>110</v>
      </c>
      <c r="H377" s="39" t="s">
        <v>42</v>
      </c>
      <c r="I377" s="11"/>
      <c r="J377" s="45">
        <f t="shared" si="69"/>
        <v>0</v>
      </c>
      <c r="K377" s="12"/>
      <c r="L377" s="12"/>
    </row>
    <row r="378" spans="2:12" ht="18" customHeight="1">
      <c r="B378" s="119" t="s">
        <v>883</v>
      </c>
      <c r="C378" s="11" t="s">
        <v>884</v>
      </c>
      <c r="D378" s="146"/>
      <c r="E378" s="113" t="s">
        <v>60</v>
      </c>
      <c r="F378" s="40">
        <v>55</v>
      </c>
      <c r="G378" s="40">
        <f t="shared" si="70"/>
        <v>110</v>
      </c>
      <c r="H378" s="39" t="s">
        <v>43</v>
      </c>
      <c r="I378" s="11"/>
      <c r="J378" s="45">
        <f t="shared" si="69"/>
        <v>0</v>
      </c>
      <c r="K378" s="12"/>
      <c r="L378" s="12"/>
    </row>
    <row r="379" spans="2:12" ht="18" customHeight="1">
      <c r="B379" s="119" t="s">
        <v>885</v>
      </c>
      <c r="C379" s="11" t="s">
        <v>886</v>
      </c>
      <c r="D379" s="146"/>
      <c r="E379" s="113" t="s">
        <v>60</v>
      </c>
      <c r="F379" s="40">
        <v>55</v>
      </c>
      <c r="G379" s="40">
        <f t="shared" si="70"/>
        <v>110</v>
      </c>
      <c r="H379" s="39" t="s">
        <v>44</v>
      </c>
      <c r="I379" s="11"/>
      <c r="J379" s="45">
        <f t="shared" si="69"/>
        <v>0</v>
      </c>
      <c r="K379" s="12"/>
      <c r="L379" s="12"/>
    </row>
    <row r="380" spans="2:12" ht="18" customHeight="1">
      <c r="B380" s="119" t="s">
        <v>887</v>
      </c>
      <c r="C380" s="11" t="s">
        <v>888</v>
      </c>
      <c r="D380" s="147"/>
      <c r="E380" s="113" t="s">
        <v>60</v>
      </c>
      <c r="F380" s="40">
        <v>55</v>
      </c>
      <c r="G380" s="40">
        <f t="shared" si="70"/>
        <v>110</v>
      </c>
      <c r="H380" s="39" t="s">
        <v>18</v>
      </c>
      <c r="I380" s="11"/>
      <c r="J380" s="45">
        <f t="shared" si="69"/>
        <v>0</v>
      </c>
      <c r="K380" s="12"/>
      <c r="L380" s="12"/>
    </row>
    <row r="381" spans="2:12" ht="18" customHeight="1">
      <c r="B381" s="111" t="s">
        <v>961</v>
      </c>
      <c r="C381" s="9" t="s">
        <v>962</v>
      </c>
      <c r="D381" s="139" t="s">
        <v>942</v>
      </c>
      <c r="E381" s="112" t="s">
        <v>20</v>
      </c>
      <c r="F381" s="19">
        <v>55</v>
      </c>
      <c r="G381" s="19">
        <f t="shared" si="70"/>
        <v>110</v>
      </c>
      <c r="H381" s="124" t="s">
        <v>41</v>
      </c>
      <c r="I381" s="9"/>
      <c r="J381" s="45">
        <f t="shared" si="69"/>
        <v>0</v>
      </c>
      <c r="K381" s="12"/>
      <c r="L381" s="12"/>
    </row>
    <row r="382" spans="2:12" ht="18" customHeight="1">
      <c r="B382" s="111" t="s">
        <v>963</v>
      </c>
      <c r="C382" s="9" t="s">
        <v>964</v>
      </c>
      <c r="D382" s="140"/>
      <c r="E382" s="112" t="s">
        <v>20</v>
      </c>
      <c r="F382" s="19">
        <v>55</v>
      </c>
      <c r="G382" s="19">
        <f t="shared" si="70"/>
        <v>110</v>
      </c>
      <c r="H382" s="124" t="s">
        <v>42</v>
      </c>
      <c r="I382" s="9"/>
      <c r="J382" s="45">
        <f t="shared" si="69"/>
        <v>0</v>
      </c>
      <c r="K382" s="12"/>
      <c r="L382" s="12"/>
    </row>
    <row r="383" spans="2:12" ht="18" customHeight="1">
      <c r="B383" s="111" t="s">
        <v>965</v>
      </c>
      <c r="C383" s="9" t="s">
        <v>966</v>
      </c>
      <c r="D383" s="140"/>
      <c r="E383" s="112" t="s">
        <v>20</v>
      </c>
      <c r="F383" s="19">
        <v>55</v>
      </c>
      <c r="G383" s="19">
        <f t="shared" si="70"/>
        <v>110</v>
      </c>
      <c r="H383" s="124" t="s">
        <v>43</v>
      </c>
      <c r="I383" s="9"/>
      <c r="J383" s="45">
        <f t="shared" si="69"/>
        <v>0</v>
      </c>
      <c r="K383" s="12"/>
      <c r="L383" s="12"/>
    </row>
    <row r="384" spans="2:12" ht="18" customHeight="1">
      <c r="B384" s="111" t="s">
        <v>967</v>
      </c>
      <c r="C384" s="9" t="s">
        <v>968</v>
      </c>
      <c r="D384" s="140"/>
      <c r="E384" s="112" t="s">
        <v>20</v>
      </c>
      <c r="F384" s="19">
        <v>55</v>
      </c>
      <c r="G384" s="19">
        <f t="shared" si="70"/>
        <v>110</v>
      </c>
      <c r="H384" s="124" t="s">
        <v>44</v>
      </c>
      <c r="I384" s="9"/>
      <c r="J384" s="45">
        <f t="shared" si="69"/>
        <v>0</v>
      </c>
      <c r="K384" s="12"/>
      <c r="L384" s="12"/>
    </row>
    <row r="385" spans="2:12" ht="18" customHeight="1">
      <c r="B385" s="111" t="s">
        <v>969</v>
      </c>
      <c r="C385" s="9" t="s">
        <v>970</v>
      </c>
      <c r="D385" s="140"/>
      <c r="E385" s="112" t="s">
        <v>20</v>
      </c>
      <c r="F385" s="19">
        <v>55</v>
      </c>
      <c r="G385" s="19">
        <f t="shared" si="70"/>
        <v>110</v>
      </c>
      <c r="H385" s="124" t="s">
        <v>18</v>
      </c>
      <c r="I385" s="9"/>
      <c r="J385" s="45">
        <f t="shared" si="69"/>
        <v>0</v>
      </c>
      <c r="K385" s="12"/>
      <c r="L385" s="12"/>
    </row>
    <row r="386" spans="2:12" ht="18" customHeight="1">
      <c r="B386" s="111" t="s">
        <v>951</v>
      </c>
      <c r="C386" s="9" t="s">
        <v>952</v>
      </c>
      <c r="D386" s="140"/>
      <c r="E386" s="112" t="s">
        <v>1150</v>
      </c>
      <c r="F386" s="40">
        <v>55</v>
      </c>
      <c r="G386" s="40">
        <f t="shared" ref="G386:G390" si="73">SUM(F386*2)</f>
        <v>110</v>
      </c>
      <c r="H386" s="39" t="s">
        <v>41</v>
      </c>
      <c r="I386" s="11"/>
      <c r="J386" s="45">
        <f t="shared" si="69"/>
        <v>0</v>
      </c>
      <c r="K386" s="12"/>
      <c r="L386" s="12"/>
    </row>
    <row r="387" spans="2:12" ht="18" customHeight="1">
      <c r="B387" s="111" t="s">
        <v>953</v>
      </c>
      <c r="C387" s="9" t="s">
        <v>954</v>
      </c>
      <c r="D387" s="140"/>
      <c r="E387" s="112" t="s">
        <v>1150</v>
      </c>
      <c r="F387" s="40">
        <v>55</v>
      </c>
      <c r="G387" s="40">
        <f t="shared" si="73"/>
        <v>110</v>
      </c>
      <c r="H387" s="39" t="s">
        <v>42</v>
      </c>
      <c r="I387" s="11"/>
      <c r="J387" s="45">
        <f t="shared" si="69"/>
        <v>0</v>
      </c>
      <c r="K387" s="12"/>
      <c r="L387" s="12"/>
    </row>
    <row r="388" spans="2:12" ht="18" customHeight="1">
      <c r="B388" s="111" t="s">
        <v>955</v>
      </c>
      <c r="C388" s="9" t="s">
        <v>956</v>
      </c>
      <c r="D388" s="140"/>
      <c r="E388" s="112" t="s">
        <v>1150</v>
      </c>
      <c r="F388" s="40">
        <v>55</v>
      </c>
      <c r="G388" s="40">
        <f t="shared" si="73"/>
        <v>110</v>
      </c>
      <c r="H388" s="39" t="s">
        <v>43</v>
      </c>
      <c r="I388" s="11"/>
      <c r="J388" s="45">
        <f t="shared" si="69"/>
        <v>0</v>
      </c>
      <c r="K388" s="12"/>
      <c r="L388" s="12"/>
    </row>
    <row r="389" spans="2:12" ht="18" customHeight="1">
      <c r="B389" s="111" t="s">
        <v>957</v>
      </c>
      <c r="C389" s="9" t="s">
        <v>958</v>
      </c>
      <c r="D389" s="140"/>
      <c r="E389" s="112" t="s">
        <v>1150</v>
      </c>
      <c r="F389" s="40">
        <v>55</v>
      </c>
      <c r="G389" s="40">
        <f t="shared" si="73"/>
        <v>110</v>
      </c>
      <c r="H389" s="39" t="s">
        <v>44</v>
      </c>
      <c r="I389" s="11"/>
      <c r="J389" s="45">
        <f t="shared" si="69"/>
        <v>0</v>
      </c>
      <c r="K389" s="12"/>
      <c r="L389" s="12"/>
    </row>
    <row r="390" spans="2:12" ht="18" customHeight="1">
      <c r="B390" s="111" t="s">
        <v>959</v>
      </c>
      <c r="C390" s="9" t="s">
        <v>960</v>
      </c>
      <c r="D390" s="140"/>
      <c r="E390" s="112" t="s">
        <v>1150</v>
      </c>
      <c r="F390" s="40">
        <v>55</v>
      </c>
      <c r="G390" s="40">
        <f t="shared" si="73"/>
        <v>110</v>
      </c>
      <c r="H390" s="39" t="s">
        <v>18</v>
      </c>
      <c r="I390" s="11"/>
      <c r="J390" s="45">
        <f t="shared" si="69"/>
        <v>0</v>
      </c>
      <c r="K390" s="12"/>
      <c r="L390" s="12"/>
    </row>
    <row r="391" spans="2:12" ht="18" customHeight="1">
      <c r="B391" s="111" t="s">
        <v>940</v>
      </c>
      <c r="C391" s="9" t="s">
        <v>941</v>
      </c>
      <c r="D391" s="140"/>
      <c r="E391" s="112" t="s">
        <v>60</v>
      </c>
      <c r="F391" s="19">
        <v>55</v>
      </c>
      <c r="G391" s="19">
        <f t="shared" si="70"/>
        <v>110</v>
      </c>
      <c r="H391" s="124" t="s">
        <v>41</v>
      </c>
      <c r="I391" s="9"/>
      <c r="J391" s="45">
        <f t="shared" si="69"/>
        <v>0</v>
      </c>
      <c r="K391" s="12"/>
      <c r="L391" s="12"/>
    </row>
    <row r="392" spans="2:12" ht="18" customHeight="1">
      <c r="B392" s="111" t="s">
        <v>943</v>
      </c>
      <c r="C392" s="9" t="s">
        <v>944</v>
      </c>
      <c r="D392" s="140"/>
      <c r="E392" s="112" t="s">
        <v>60</v>
      </c>
      <c r="F392" s="19">
        <v>55</v>
      </c>
      <c r="G392" s="19">
        <f t="shared" si="70"/>
        <v>110</v>
      </c>
      <c r="H392" s="124" t="s">
        <v>42</v>
      </c>
      <c r="I392" s="9"/>
      <c r="J392" s="45">
        <f t="shared" si="69"/>
        <v>0</v>
      </c>
      <c r="K392" s="12"/>
      <c r="L392" s="12"/>
    </row>
    <row r="393" spans="2:12" ht="18" customHeight="1">
      <c r="B393" s="111" t="s">
        <v>945</v>
      </c>
      <c r="C393" s="9" t="s">
        <v>946</v>
      </c>
      <c r="D393" s="140"/>
      <c r="E393" s="112" t="s">
        <v>60</v>
      </c>
      <c r="F393" s="19">
        <v>55</v>
      </c>
      <c r="G393" s="19">
        <f t="shared" si="70"/>
        <v>110</v>
      </c>
      <c r="H393" s="124" t="s">
        <v>43</v>
      </c>
      <c r="I393" s="9"/>
      <c r="J393" s="45">
        <f t="shared" si="69"/>
        <v>0</v>
      </c>
      <c r="K393" s="12"/>
      <c r="L393" s="12"/>
    </row>
    <row r="394" spans="2:12" ht="18" customHeight="1">
      <c r="B394" s="111" t="s">
        <v>947</v>
      </c>
      <c r="C394" s="9" t="s">
        <v>948</v>
      </c>
      <c r="D394" s="140"/>
      <c r="E394" s="112" t="s">
        <v>60</v>
      </c>
      <c r="F394" s="19">
        <v>55</v>
      </c>
      <c r="G394" s="19">
        <f t="shared" si="70"/>
        <v>110</v>
      </c>
      <c r="H394" s="124" t="s">
        <v>44</v>
      </c>
      <c r="I394" s="9"/>
      <c r="J394" s="45">
        <f t="shared" si="69"/>
        <v>0</v>
      </c>
      <c r="K394" s="12"/>
      <c r="L394" s="12"/>
    </row>
    <row r="395" spans="2:12" ht="18" customHeight="1">
      <c r="B395" s="111" t="s">
        <v>949</v>
      </c>
      <c r="C395" s="9" t="s">
        <v>950</v>
      </c>
      <c r="D395" s="140"/>
      <c r="E395" s="112" t="s">
        <v>60</v>
      </c>
      <c r="F395" s="19">
        <v>55</v>
      </c>
      <c r="G395" s="19">
        <f t="shared" si="70"/>
        <v>110</v>
      </c>
      <c r="H395" s="124" t="s">
        <v>18</v>
      </c>
      <c r="I395" s="9"/>
      <c r="J395" s="45">
        <f t="shared" si="69"/>
        <v>0</v>
      </c>
      <c r="K395" s="12"/>
      <c r="L395" s="12"/>
    </row>
    <row r="396" spans="2:12" ht="18" customHeight="1">
      <c r="B396" s="111" t="s">
        <v>971</v>
      </c>
      <c r="C396" s="9" t="s">
        <v>972</v>
      </c>
      <c r="D396" s="140"/>
      <c r="E396" s="112" t="s">
        <v>1149</v>
      </c>
      <c r="F396" s="40">
        <v>55</v>
      </c>
      <c r="G396" s="40">
        <f t="shared" si="70"/>
        <v>110</v>
      </c>
      <c r="H396" s="39" t="s">
        <v>41</v>
      </c>
      <c r="I396" s="11"/>
      <c r="J396" s="45">
        <f t="shared" si="69"/>
        <v>0</v>
      </c>
      <c r="K396" s="12"/>
      <c r="L396" s="12"/>
    </row>
    <row r="397" spans="2:12" ht="18" customHeight="1">
      <c r="B397" s="111" t="s">
        <v>973</v>
      </c>
      <c r="C397" s="9" t="s">
        <v>974</v>
      </c>
      <c r="D397" s="140"/>
      <c r="E397" s="112" t="s">
        <v>1149</v>
      </c>
      <c r="F397" s="40">
        <v>55</v>
      </c>
      <c r="G397" s="40">
        <f t="shared" si="70"/>
        <v>110</v>
      </c>
      <c r="H397" s="39" t="s">
        <v>42</v>
      </c>
      <c r="I397" s="11"/>
      <c r="J397" s="45">
        <f t="shared" si="69"/>
        <v>0</v>
      </c>
      <c r="K397" s="12"/>
      <c r="L397" s="12"/>
    </row>
    <row r="398" spans="2:12" ht="18" customHeight="1">
      <c r="B398" s="111" t="s">
        <v>975</v>
      </c>
      <c r="C398" s="9" t="s">
        <v>976</v>
      </c>
      <c r="D398" s="140"/>
      <c r="E398" s="112" t="s">
        <v>1149</v>
      </c>
      <c r="F398" s="40">
        <v>55</v>
      </c>
      <c r="G398" s="40">
        <f t="shared" si="70"/>
        <v>110</v>
      </c>
      <c r="H398" s="39" t="s">
        <v>43</v>
      </c>
      <c r="I398" s="11"/>
      <c r="J398" s="45">
        <f t="shared" si="69"/>
        <v>0</v>
      </c>
      <c r="K398" s="12"/>
      <c r="L398" s="12"/>
    </row>
    <row r="399" spans="2:12" ht="18" customHeight="1">
      <c r="B399" s="111" t="s">
        <v>977</v>
      </c>
      <c r="C399" s="9" t="s">
        <v>978</v>
      </c>
      <c r="D399" s="140"/>
      <c r="E399" s="112" t="s">
        <v>1149</v>
      </c>
      <c r="F399" s="40">
        <v>55</v>
      </c>
      <c r="G399" s="40">
        <f t="shared" si="70"/>
        <v>110</v>
      </c>
      <c r="H399" s="39" t="s">
        <v>44</v>
      </c>
      <c r="I399" s="11"/>
      <c r="J399" s="45">
        <f t="shared" si="69"/>
        <v>0</v>
      </c>
      <c r="K399" s="12"/>
      <c r="L399" s="12"/>
    </row>
    <row r="400" spans="2:12" ht="18" customHeight="1">
      <c r="B400" s="111" t="s">
        <v>979</v>
      </c>
      <c r="C400" s="9" t="s">
        <v>980</v>
      </c>
      <c r="D400" s="141"/>
      <c r="E400" s="112" t="s">
        <v>1149</v>
      </c>
      <c r="F400" s="40">
        <v>55</v>
      </c>
      <c r="G400" s="40">
        <f t="shared" si="70"/>
        <v>110</v>
      </c>
      <c r="H400" s="39" t="s">
        <v>18</v>
      </c>
      <c r="I400" s="11"/>
      <c r="J400" s="45">
        <f t="shared" ref="J400:J445" si="74">SUM(F400*I400)</f>
        <v>0</v>
      </c>
      <c r="K400" s="12"/>
      <c r="L400" s="12"/>
    </row>
    <row r="401" spans="2:12" ht="18" customHeight="1">
      <c r="B401" s="119" t="s">
        <v>847</v>
      </c>
      <c r="C401" s="11" t="s">
        <v>848</v>
      </c>
      <c r="D401" s="142" t="s">
        <v>838</v>
      </c>
      <c r="E401" s="113" t="s">
        <v>805</v>
      </c>
      <c r="F401" s="19">
        <v>65</v>
      </c>
      <c r="G401" s="19">
        <f t="shared" si="70"/>
        <v>130</v>
      </c>
      <c r="H401" s="124" t="s">
        <v>41</v>
      </c>
      <c r="I401" s="9"/>
      <c r="J401" s="45">
        <f t="shared" si="74"/>
        <v>0</v>
      </c>
      <c r="K401" s="12"/>
      <c r="L401" s="12"/>
    </row>
    <row r="402" spans="2:12" ht="18" customHeight="1">
      <c r="B402" s="119" t="s">
        <v>849</v>
      </c>
      <c r="C402" s="11" t="s">
        <v>850</v>
      </c>
      <c r="D402" s="146"/>
      <c r="E402" s="113" t="s">
        <v>805</v>
      </c>
      <c r="F402" s="19">
        <v>65</v>
      </c>
      <c r="G402" s="19">
        <f t="shared" si="70"/>
        <v>130</v>
      </c>
      <c r="H402" s="124" t="s">
        <v>42</v>
      </c>
      <c r="I402" s="9"/>
      <c r="J402" s="45">
        <f t="shared" si="74"/>
        <v>0</v>
      </c>
      <c r="K402" s="12"/>
      <c r="L402" s="12"/>
    </row>
    <row r="403" spans="2:12" ht="18" customHeight="1">
      <c r="B403" s="119" t="s">
        <v>851</v>
      </c>
      <c r="C403" s="11" t="s">
        <v>852</v>
      </c>
      <c r="D403" s="146"/>
      <c r="E403" s="113" t="s">
        <v>805</v>
      </c>
      <c r="F403" s="19">
        <v>65</v>
      </c>
      <c r="G403" s="19">
        <f t="shared" si="70"/>
        <v>130</v>
      </c>
      <c r="H403" s="124" t="s">
        <v>43</v>
      </c>
      <c r="I403" s="9"/>
      <c r="J403" s="45">
        <f t="shared" si="74"/>
        <v>0</v>
      </c>
      <c r="K403" s="12"/>
      <c r="L403" s="12"/>
    </row>
    <row r="404" spans="2:12" ht="18" customHeight="1">
      <c r="B404" s="119" t="s">
        <v>853</v>
      </c>
      <c r="C404" s="11" t="s">
        <v>854</v>
      </c>
      <c r="D404" s="146"/>
      <c r="E404" s="113" t="s">
        <v>805</v>
      </c>
      <c r="F404" s="19">
        <v>65</v>
      </c>
      <c r="G404" s="19">
        <f t="shared" si="70"/>
        <v>130</v>
      </c>
      <c r="H404" s="124" t="s">
        <v>44</v>
      </c>
      <c r="I404" s="9"/>
      <c r="J404" s="45">
        <f t="shared" si="74"/>
        <v>0</v>
      </c>
      <c r="K404" s="12"/>
      <c r="L404" s="12"/>
    </row>
    <row r="405" spans="2:12" ht="18" customHeight="1">
      <c r="B405" s="119" t="s">
        <v>855</v>
      </c>
      <c r="C405" s="11" t="s">
        <v>856</v>
      </c>
      <c r="D405" s="146"/>
      <c r="E405" s="113" t="s">
        <v>805</v>
      </c>
      <c r="F405" s="19">
        <v>65</v>
      </c>
      <c r="G405" s="19">
        <f t="shared" si="70"/>
        <v>130</v>
      </c>
      <c r="H405" s="124" t="s">
        <v>18</v>
      </c>
      <c r="I405" s="9"/>
      <c r="J405" s="45">
        <f t="shared" si="74"/>
        <v>0</v>
      </c>
      <c r="K405" s="12"/>
      <c r="L405" s="12"/>
    </row>
    <row r="406" spans="2:12" ht="18" customHeight="1">
      <c r="B406" s="119" t="s">
        <v>836</v>
      </c>
      <c r="C406" s="11" t="s">
        <v>837</v>
      </c>
      <c r="D406" s="146"/>
      <c r="E406" s="113" t="s">
        <v>53</v>
      </c>
      <c r="F406" s="40">
        <v>65</v>
      </c>
      <c r="G406" s="40">
        <f t="shared" si="70"/>
        <v>130</v>
      </c>
      <c r="H406" s="39" t="s">
        <v>41</v>
      </c>
      <c r="I406" s="11"/>
      <c r="J406" s="45">
        <f t="shared" si="74"/>
        <v>0</v>
      </c>
      <c r="K406" s="12"/>
      <c r="L406" s="12"/>
    </row>
    <row r="407" spans="2:12" ht="18" customHeight="1">
      <c r="B407" s="119" t="s">
        <v>839</v>
      </c>
      <c r="C407" s="11" t="s">
        <v>840</v>
      </c>
      <c r="D407" s="146"/>
      <c r="E407" s="113" t="s">
        <v>53</v>
      </c>
      <c r="F407" s="40">
        <v>65</v>
      </c>
      <c r="G407" s="40">
        <f t="shared" si="70"/>
        <v>130</v>
      </c>
      <c r="H407" s="39" t="s">
        <v>42</v>
      </c>
      <c r="I407" s="11"/>
      <c r="J407" s="45">
        <f t="shared" si="74"/>
        <v>0</v>
      </c>
      <c r="K407" s="12"/>
      <c r="L407" s="12"/>
    </row>
    <row r="408" spans="2:12" ht="18" customHeight="1">
      <c r="B408" s="119" t="s">
        <v>841</v>
      </c>
      <c r="C408" s="11" t="s">
        <v>842</v>
      </c>
      <c r="D408" s="146"/>
      <c r="E408" s="113" t="s">
        <v>53</v>
      </c>
      <c r="F408" s="40">
        <v>65</v>
      </c>
      <c r="G408" s="40">
        <f t="shared" si="70"/>
        <v>130</v>
      </c>
      <c r="H408" s="39" t="s">
        <v>43</v>
      </c>
      <c r="I408" s="11"/>
      <c r="J408" s="45">
        <f t="shared" si="74"/>
        <v>0</v>
      </c>
      <c r="K408" s="12"/>
      <c r="L408" s="12"/>
    </row>
    <row r="409" spans="2:12" ht="18" customHeight="1">
      <c r="B409" s="119" t="s">
        <v>843</v>
      </c>
      <c r="C409" s="11" t="s">
        <v>844</v>
      </c>
      <c r="D409" s="146"/>
      <c r="E409" s="113" t="s">
        <v>53</v>
      </c>
      <c r="F409" s="40">
        <v>65</v>
      </c>
      <c r="G409" s="40">
        <f t="shared" si="70"/>
        <v>130</v>
      </c>
      <c r="H409" s="39" t="s">
        <v>44</v>
      </c>
      <c r="I409" s="11"/>
      <c r="J409" s="45">
        <f t="shared" si="74"/>
        <v>0</v>
      </c>
      <c r="K409" s="12"/>
      <c r="L409" s="12"/>
    </row>
    <row r="410" spans="2:12" ht="18" customHeight="1">
      <c r="B410" s="119" t="s">
        <v>845</v>
      </c>
      <c r="C410" s="11" t="s">
        <v>846</v>
      </c>
      <c r="D410" s="147"/>
      <c r="E410" s="113" t="s">
        <v>53</v>
      </c>
      <c r="F410" s="40">
        <v>65</v>
      </c>
      <c r="G410" s="40">
        <f t="shared" ref="G410:G415" si="75">SUM(F410*2)</f>
        <v>130</v>
      </c>
      <c r="H410" s="39" t="s">
        <v>18</v>
      </c>
      <c r="I410" s="11"/>
      <c r="J410" s="45">
        <f t="shared" si="74"/>
        <v>0</v>
      </c>
      <c r="K410" s="12"/>
      <c r="L410" s="12"/>
    </row>
    <row r="411" spans="2:12" ht="18" customHeight="1">
      <c r="B411" s="111" t="s">
        <v>826</v>
      </c>
      <c r="C411" s="9" t="s">
        <v>827</v>
      </c>
      <c r="D411" s="139" t="s">
        <v>816</v>
      </c>
      <c r="E411" s="112" t="s">
        <v>20</v>
      </c>
      <c r="F411" s="19">
        <v>70</v>
      </c>
      <c r="G411" s="19">
        <f t="shared" si="75"/>
        <v>140</v>
      </c>
      <c r="H411" s="124" t="s">
        <v>41</v>
      </c>
      <c r="I411" s="9"/>
      <c r="J411" s="45">
        <f t="shared" si="74"/>
        <v>0</v>
      </c>
      <c r="K411" s="12"/>
      <c r="L411" s="12"/>
    </row>
    <row r="412" spans="2:12" ht="18" customHeight="1">
      <c r="B412" s="111" t="s">
        <v>828</v>
      </c>
      <c r="C412" s="9" t="s">
        <v>829</v>
      </c>
      <c r="D412" s="146"/>
      <c r="E412" s="112" t="s">
        <v>20</v>
      </c>
      <c r="F412" s="19">
        <v>70</v>
      </c>
      <c r="G412" s="19">
        <f t="shared" si="75"/>
        <v>140</v>
      </c>
      <c r="H412" s="124" t="s">
        <v>42</v>
      </c>
      <c r="I412" s="9"/>
      <c r="J412" s="45">
        <f t="shared" si="74"/>
        <v>0</v>
      </c>
      <c r="K412" s="12"/>
      <c r="L412" s="12"/>
    </row>
    <row r="413" spans="2:12" ht="18" customHeight="1">
      <c r="B413" s="111" t="s">
        <v>830</v>
      </c>
      <c r="C413" s="9" t="s">
        <v>831</v>
      </c>
      <c r="D413" s="146"/>
      <c r="E413" s="112" t="s">
        <v>20</v>
      </c>
      <c r="F413" s="19">
        <v>70</v>
      </c>
      <c r="G413" s="19">
        <f t="shared" si="75"/>
        <v>140</v>
      </c>
      <c r="H413" s="124" t="s">
        <v>43</v>
      </c>
      <c r="I413" s="9"/>
      <c r="J413" s="45">
        <f t="shared" si="74"/>
        <v>0</v>
      </c>
      <c r="K413" s="12"/>
      <c r="L413" s="12"/>
    </row>
    <row r="414" spans="2:12" ht="18" customHeight="1">
      <c r="B414" s="111" t="s">
        <v>832</v>
      </c>
      <c r="C414" s="9" t="s">
        <v>833</v>
      </c>
      <c r="D414" s="146"/>
      <c r="E414" s="112" t="s">
        <v>20</v>
      </c>
      <c r="F414" s="19">
        <v>70</v>
      </c>
      <c r="G414" s="19">
        <f t="shared" si="75"/>
        <v>140</v>
      </c>
      <c r="H414" s="124" t="s">
        <v>44</v>
      </c>
      <c r="I414" s="9"/>
      <c r="J414" s="45">
        <f t="shared" si="74"/>
        <v>0</v>
      </c>
      <c r="K414" s="12"/>
      <c r="L414" s="12"/>
    </row>
    <row r="415" spans="2:12" ht="18" customHeight="1">
      <c r="B415" s="111" t="s">
        <v>834</v>
      </c>
      <c r="C415" s="9" t="s">
        <v>835</v>
      </c>
      <c r="D415" s="146"/>
      <c r="E415" s="112" t="s">
        <v>20</v>
      </c>
      <c r="F415" s="19">
        <v>70</v>
      </c>
      <c r="G415" s="19">
        <f t="shared" si="75"/>
        <v>140</v>
      </c>
      <c r="H415" s="124" t="s">
        <v>18</v>
      </c>
      <c r="I415" s="9"/>
      <c r="J415" s="45">
        <f t="shared" si="74"/>
        <v>0</v>
      </c>
      <c r="K415" s="12"/>
      <c r="L415" s="12"/>
    </row>
    <row r="416" spans="2:12" ht="18" customHeight="1">
      <c r="B416" s="111" t="s">
        <v>814</v>
      </c>
      <c r="C416" s="9" t="s">
        <v>815</v>
      </c>
      <c r="D416" s="146"/>
      <c r="E416" s="112" t="s">
        <v>817</v>
      </c>
      <c r="F416" s="40">
        <v>70</v>
      </c>
      <c r="G416" s="40">
        <f>SUM(F416*2)</f>
        <v>140</v>
      </c>
      <c r="H416" s="39" t="s">
        <v>41</v>
      </c>
      <c r="I416" s="11"/>
      <c r="J416" s="45">
        <f t="shared" si="74"/>
        <v>0</v>
      </c>
      <c r="K416" s="12"/>
      <c r="L416" s="12"/>
    </row>
    <row r="417" spans="2:12" ht="18" customHeight="1">
      <c r="B417" s="111" t="s">
        <v>818</v>
      </c>
      <c r="C417" s="9" t="s">
        <v>819</v>
      </c>
      <c r="D417" s="146"/>
      <c r="E417" s="112" t="s">
        <v>817</v>
      </c>
      <c r="F417" s="40">
        <v>70</v>
      </c>
      <c r="G417" s="40">
        <f t="shared" ref="G417:G430" si="76">SUM(F417*2)</f>
        <v>140</v>
      </c>
      <c r="H417" s="39" t="s">
        <v>42</v>
      </c>
      <c r="I417" s="11"/>
      <c r="J417" s="45">
        <f t="shared" si="74"/>
        <v>0</v>
      </c>
      <c r="K417" s="12"/>
      <c r="L417" s="12"/>
    </row>
    <row r="418" spans="2:12" ht="18" customHeight="1">
      <c r="B418" s="111" t="s">
        <v>820</v>
      </c>
      <c r="C418" s="9" t="s">
        <v>821</v>
      </c>
      <c r="D418" s="146"/>
      <c r="E418" s="112" t="s">
        <v>817</v>
      </c>
      <c r="F418" s="40">
        <v>70</v>
      </c>
      <c r="G418" s="40">
        <f t="shared" si="76"/>
        <v>140</v>
      </c>
      <c r="H418" s="39" t="s">
        <v>43</v>
      </c>
      <c r="I418" s="11"/>
      <c r="J418" s="45">
        <f t="shared" si="74"/>
        <v>0</v>
      </c>
      <c r="K418" s="12"/>
      <c r="L418" s="12"/>
    </row>
    <row r="419" spans="2:12" ht="18" customHeight="1">
      <c r="B419" s="111" t="s">
        <v>822</v>
      </c>
      <c r="C419" s="9" t="s">
        <v>823</v>
      </c>
      <c r="D419" s="146"/>
      <c r="E419" s="112" t="s">
        <v>817</v>
      </c>
      <c r="F419" s="40">
        <v>70</v>
      </c>
      <c r="G419" s="40">
        <f t="shared" si="76"/>
        <v>140</v>
      </c>
      <c r="H419" s="39" t="s">
        <v>44</v>
      </c>
      <c r="I419" s="11"/>
      <c r="J419" s="45">
        <f t="shared" si="74"/>
        <v>0</v>
      </c>
      <c r="K419" s="12"/>
      <c r="L419" s="12"/>
    </row>
    <row r="420" spans="2:12" ht="18" customHeight="1">
      <c r="B420" s="111" t="s">
        <v>824</v>
      </c>
      <c r="C420" s="9" t="s">
        <v>825</v>
      </c>
      <c r="D420" s="146"/>
      <c r="E420" s="112" t="s">
        <v>817</v>
      </c>
      <c r="F420" s="40">
        <v>70</v>
      </c>
      <c r="G420" s="40">
        <f t="shared" si="76"/>
        <v>140</v>
      </c>
      <c r="H420" s="39" t="s">
        <v>18</v>
      </c>
      <c r="I420" s="11"/>
      <c r="J420" s="45">
        <f t="shared" si="74"/>
        <v>0</v>
      </c>
      <c r="K420" s="12"/>
      <c r="L420" s="12"/>
    </row>
    <row r="421" spans="2:12" ht="18" customHeight="1">
      <c r="B421" s="111" t="s">
        <v>1023</v>
      </c>
      <c r="C421" s="9" t="s">
        <v>1024</v>
      </c>
      <c r="D421" s="139" t="s">
        <v>1025</v>
      </c>
      <c r="E421" s="112" t="s">
        <v>1151</v>
      </c>
      <c r="F421" s="65">
        <v>75</v>
      </c>
      <c r="G421" s="65">
        <f t="shared" si="76"/>
        <v>150</v>
      </c>
      <c r="H421" s="124" t="s">
        <v>41</v>
      </c>
      <c r="I421" s="9"/>
      <c r="J421" s="45">
        <f t="shared" si="74"/>
        <v>0</v>
      </c>
      <c r="K421" s="12"/>
      <c r="L421" s="12"/>
    </row>
    <row r="422" spans="2:12" ht="18" customHeight="1">
      <c r="B422" s="111" t="s">
        <v>1026</v>
      </c>
      <c r="C422" s="9" t="s">
        <v>1027</v>
      </c>
      <c r="D422" s="146"/>
      <c r="E422" s="112" t="s">
        <v>1151</v>
      </c>
      <c r="F422" s="65">
        <v>75</v>
      </c>
      <c r="G422" s="65">
        <f t="shared" si="76"/>
        <v>150</v>
      </c>
      <c r="H422" s="124" t="s">
        <v>42</v>
      </c>
      <c r="I422" s="9"/>
      <c r="J422" s="45">
        <f t="shared" si="74"/>
        <v>0</v>
      </c>
      <c r="K422" s="12"/>
      <c r="L422" s="12"/>
    </row>
    <row r="423" spans="2:12" ht="18" customHeight="1">
      <c r="B423" s="111" t="s">
        <v>1028</v>
      </c>
      <c r="C423" s="9" t="s">
        <v>1029</v>
      </c>
      <c r="D423" s="146"/>
      <c r="E423" s="112" t="s">
        <v>1151</v>
      </c>
      <c r="F423" s="65">
        <v>75</v>
      </c>
      <c r="G423" s="65">
        <f t="shared" si="76"/>
        <v>150</v>
      </c>
      <c r="H423" s="124" t="s">
        <v>43</v>
      </c>
      <c r="I423" s="9"/>
      <c r="J423" s="45">
        <f t="shared" si="74"/>
        <v>0</v>
      </c>
      <c r="K423" s="12"/>
      <c r="L423" s="12"/>
    </row>
    <row r="424" spans="2:12" ht="18" customHeight="1">
      <c r="B424" s="111" t="s">
        <v>1030</v>
      </c>
      <c r="C424" s="9" t="s">
        <v>1031</v>
      </c>
      <c r="D424" s="146"/>
      <c r="E424" s="112" t="s">
        <v>1151</v>
      </c>
      <c r="F424" s="65">
        <v>75</v>
      </c>
      <c r="G424" s="65">
        <f t="shared" si="76"/>
        <v>150</v>
      </c>
      <c r="H424" s="124" t="s">
        <v>44</v>
      </c>
      <c r="I424" s="9"/>
      <c r="J424" s="45">
        <f t="shared" si="74"/>
        <v>0</v>
      </c>
      <c r="K424" s="12"/>
      <c r="L424" s="12"/>
    </row>
    <row r="425" spans="2:12" ht="18" customHeight="1">
      <c r="B425" s="111" t="s">
        <v>1032</v>
      </c>
      <c r="C425" s="9" t="s">
        <v>1033</v>
      </c>
      <c r="D425" s="147"/>
      <c r="E425" s="112" t="s">
        <v>1151</v>
      </c>
      <c r="F425" s="65">
        <v>75</v>
      </c>
      <c r="G425" s="65">
        <f t="shared" si="76"/>
        <v>150</v>
      </c>
      <c r="H425" s="124" t="s">
        <v>18</v>
      </c>
      <c r="I425" s="9"/>
      <c r="J425" s="45">
        <f t="shared" si="74"/>
        <v>0</v>
      </c>
      <c r="K425" s="12"/>
      <c r="L425" s="12"/>
    </row>
    <row r="426" spans="2:12" ht="18" customHeight="1">
      <c r="B426" s="119" t="s">
        <v>1012</v>
      </c>
      <c r="C426" s="11" t="s">
        <v>1013</v>
      </c>
      <c r="D426" s="142" t="s">
        <v>1014</v>
      </c>
      <c r="E426" s="113" t="s">
        <v>36</v>
      </c>
      <c r="F426" s="40">
        <v>55</v>
      </c>
      <c r="G426" s="40">
        <f t="shared" si="76"/>
        <v>110</v>
      </c>
      <c r="H426" s="39" t="s">
        <v>41</v>
      </c>
      <c r="I426" s="11"/>
      <c r="J426" s="45">
        <f t="shared" si="74"/>
        <v>0</v>
      </c>
      <c r="K426" s="12"/>
      <c r="L426" s="12"/>
    </row>
    <row r="427" spans="2:12" ht="18" customHeight="1">
      <c r="B427" s="119" t="s">
        <v>1015</v>
      </c>
      <c r="C427" s="11" t="s">
        <v>1016</v>
      </c>
      <c r="D427" s="146"/>
      <c r="E427" s="113" t="s">
        <v>36</v>
      </c>
      <c r="F427" s="40">
        <v>55</v>
      </c>
      <c r="G427" s="40">
        <f t="shared" si="76"/>
        <v>110</v>
      </c>
      <c r="H427" s="39" t="s">
        <v>42</v>
      </c>
      <c r="I427" s="11"/>
      <c r="J427" s="45">
        <f t="shared" si="74"/>
        <v>0</v>
      </c>
      <c r="K427" s="12"/>
      <c r="L427" s="12"/>
    </row>
    <row r="428" spans="2:12" ht="18" customHeight="1">
      <c r="B428" s="119" t="s">
        <v>1017</v>
      </c>
      <c r="C428" s="11" t="s">
        <v>1018</v>
      </c>
      <c r="D428" s="146"/>
      <c r="E428" s="113" t="s">
        <v>36</v>
      </c>
      <c r="F428" s="40">
        <v>55</v>
      </c>
      <c r="G428" s="40">
        <f t="shared" si="76"/>
        <v>110</v>
      </c>
      <c r="H428" s="39" t="s">
        <v>43</v>
      </c>
      <c r="I428" s="11"/>
      <c r="J428" s="45">
        <f t="shared" si="74"/>
        <v>0</v>
      </c>
      <c r="K428" s="12"/>
      <c r="L428" s="12"/>
    </row>
    <row r="429" spans="2:12" ht="18" customHeight="1">
      <c r="B429" s="119" t="s">
        <v>1019</v>
      </c>
      <c r="C429" s="11" t="s">
        <v>1020</v>
      </c>
      <c r="D429" s="146"/>
      <c r="E429" s="113" t="s">
        <v>36</v>
      </c>
      <c r="F429" s="40">
        <v>55</v>
      </c>
      <c r="G429" s="40">
        <f t="shared" si="76"/>
        <v>110</v>
      </c>
      <c r="H429" s="39" t="s">
        <v>44</v>
      </c>
      <c r="I429" s="11"/>
      <c r="J429" s="45">
        <f t="shared" si="74"/>
        <v>0</v>
      </c>
      <c r="K429" s="12"/>
      <c r="L429" s="12"/>
    </row>
    <row r="430" spans="2:12" ht="18" customHeight="1">
      <c r="B430" s="119" t="s">
        <v>1021</v>
      </c>
      <c r="C430" s="11" t="s">
        <v>1022</v>
      </c>
      <c r="D430" s="146"/>
      <c r="E430" s="113" t="s">
        <v>36</v>
      </c>
      <c r="F430" s="40">
        <v>55</v>
      </c>
      <c r="G430" s="40">
        <f t="shared" si="76"/>
        <v>110</v>
      </c>
      <c r="H430" s="39" t="s">
        <v>18</v>
      </c>
      <c r="I430" s="11"/>
      <c r="J430" s="45">
        <f t="shared" si="74"/>
        <v>0</v>
      </c>
      <c r="K430" s="12"/>
      <c r="L430" s="12"/>
    </row>
    <row r="431" spans="2:12" ht="18" customHeight="1">
      <c r="B431" s="111" t="s">
        <v>981</v>
      </c>
      <c r="C431" s="9" t="s">
        <v>982</v>
      </c>
      <c r="D431" s="139" t="s">
        <v>983</v>
      </c>
      <c r="E431" s="112" t="s">
        <v>31</v>
      </c>
      <c r="F431" s="19">
        <v>45</v>
      </c>
      <c r="G431" s="19">
        <f t="shared" ref="G431:G445" si="77">SUM(F431*2)</f>
        <v>90</v>
      </c>
      <c r="H431" s="124" t="s">
        <v>41</v>
      </c>
      <c r="I431" s="9"/>
      <c r="J431" s="45">
        <f t="shared" si="74"/>
        <v>0</v>
      </c>
      <c r="K431" s="12"/>
      <c r="L431" s="12"/>
    </row>
    <row r="432" spans="2:12" ht="18" customHeight="1">
      <c r="B432" s="111" t="s">
        <v>984</v>
      </c>
      <c r="C432" s="9" t="s">
        <v>985</v>
      </c>
      <c r="D432" s="140"/>
      <c r="E432" s="112" t="s">
        <v>31</v>
      </c>
      <c r="F432" s="19">
        <v>45</v>
      </c>
      <c r="G432" s="19">
        <f t="shared" si="77"/>
        <v>90</v>
      </c>
      <c r="H432" s="124" t="s">
        <v>42</v>
      </c>
      <c r="I432" s="9"/>
      <c r="J432" s="45">
        <f t="shared" si="74"/>
        <v>0</v>
      </c>
      <c r="K432" s="12"/>
      <c r="L432" s="12"/>
    </row>
    <row r="433" spans="2:12" ht="18" customHeight="1">
      <c r="B433" s="111" t="s">
        <v>986</v>
      </c>
      <c r="C433" s="9" t="s">
        <v>987</v>
      </c>
      <c r="D433" s="140"/>
      <c r="E433" s="112" t="s">
        <v>31</v>
      </c>
      <c r="F433" s="19">
        <v>45</v>
      </c>
      <c r="G433" s="19">
        <f t="shared" si="77"/>
        <v>90</v>
      </c>
      <c r="H433" s="124" t="s">
        <v>43</v>
      </c>
      <c r="I433" s="9"/>
      <c r="J433" s="45">
        <f t="shared" si="74"/>
        <v>0</v>
      </c>
      <c r="K433" s="12"/>
      <c r="L433" s="12"/>
    </row>
    <row r="434" spans="2:12" ht="18" customHeight="1">
      <c r="B434" s="111" t="s">
        <v>988</v>
      </c>
      <c r="C434" s="9" t="s">
        <v>989</v>
      </c>
      <c r="D434" s="140"/>
      <c r="E434" s="112" t="s">
        <v>31</v>
      </c>
      <c r="F434" s="19">
        <v>45</v>
      </c>
      <c r="G434" s="19">
        <f t="shared" si="77"/>
        <v>90</v>
      </c>
      <c r="H434" s="124" t="s">
        <v>44</v>
      </c>
      <c r="I434" s="9"/>
      <c r="J434" s="45">
        <f t="shared" si="74"/>
        <v>0</v>
      </c>
      <c r="K434" s="12"/>
      <c r="L434" s="12"/>
    </row>
    <row r="435" spans="2:12" ht="18" customHeight="1">
      <c r="B435" s="111" t="s">
        <v>990</v>
      </c>
      <c r="C435" s="9" t="s">
        <v>991</v>
      </c>
      <c r="D435" s="140"/>
      <c r="E435" s="112" t="s">
        <v>31</v>
      </c>
      <c r="F435" s="19">
        <v>45</v>
      </c>
      <c r="G435" s="19">
        <f t="shared" si="77"/>
        <v>90</v>
      </c>
      <c r="H435" s="124" t="s">
        <v>18</v>
      </c>
      <c r="I435" s="9"/>
      <c r="J435" s="45">
        <f t="shared" si="74"/>
        <v>0</v>
      </c>
      <c r="K435" s="12"/>
      <c r="L435" s="12"/>
    </row>
    <row r="436" spans="2:12" ht="18" customHeight="1">
      <c r="B436" s="111" t="s">
        <v>992</v>
      </c>
      <c r="C436" s="9" t="s">
        <v>993</v>
      </c>
      <c r="D436" s="140"/>
      <c r="E436" s="112" t="s">
        <v>30</v>
      </c>
      <c r="F436" s="40">
        <v>45</v>
      </c>
      <c r="G436" s="40">
        <f t="shared" si="77"/>
        <v>90</v>
      </c>
      <c r="H436" s="39" t="s">
        <v>41</v>
      </c>
      <c r="I436" s="11"/>
      <c r="J436" s="45">
        <f t="shared" si="74"/>
        <v>0</v>
      </c>
      <c r="K436" s="12"/>
      <c r="L436" s="12"/>
    </row>
    <row r="437" spans="2:12" ht="18" customHeight="1">
      <c r="B437" s="111" t="s">
        <v>994</v>
      </c>
      <c r="C437" s="9" t="s">
        <v>995</v>
      </c>
      <c r="D437" s="140"/>
      <c r="E437" s="112" t="s">
        <v>30</v>
      </c>
      <c r="F437" s="40">
        <v>45</v>
      </c>
      <c r="G437" s="40">
        <f t="shared" si="77"/>
        <v>90</v>
      </c>
      <c r="H437" s="39" t="s">
        <v>42</v>
      </c>
      <c r="I437" s="11"/>
      <c r="J437" s="45">
        <f t="shared" si="74"/>
        <v>0</v>
      </c>
      <c r="K437" s="12"/>
      <c r="L437" s="12"/>
    </row>
    <row r="438" spans="2:12" ht="18" customHeight="1">
      <c r="B438" s="111" t="s">
        <v>996</v>
      </c>
      <c r="C438" s="9" t="s">
        <v>997</v>
      </c>
      <c r="D438" s="140"/>
      <c r="E438" s="112" t="s">
        <v>30</v>
      </c>
      <c r="F438" s="40">
        <v>45</v>
      </c>
      <c r="G438" s="40">
        <f t="shared" si="77"/>
        <v>90</v>
      </c>
      <c r="H438" s="39" t="s">
        <v>43</v>
      </c>
      <c r="I438" s="11"/>
      <c r="J438" s="45">
        <f t="shared" si="74"/>
        <v>0</v>
      </c>
      <c r="K438" s="12"/>
      <c r="L438" s="12"/>
    </row>
    <row r="439" spans="2:12" ht="18" customHeight="1">
      <c r="B439" s="111" t="s">
        <v>998</v>
      </c>
      <c r="C439" s="9" t="s">
        <v>999</v>
      </c>
      <c r="D439" s="140"/>
      <c r="E439" s="112" t="s">
        <v>30</v>
      </c>
      <c r="F439" s="40">
        <v>45</v>
      </c>
      <c r="G439" s="40">
        <f t="shared" si="77"/>
        <v>90</v>
      </c>
      <c r="H439" s="39" t="s">
        <v>44</v>
      </c>
      <c r="I439" s="11"/>
      <c r="J439" s="45">
        <f t="shared" si="74"/>
        <v>0</v>
      </c>
      <c r="K439" s="12"/>
      <c r="L439" s="12"/>
    </row>
    <row r="440" spans="2:12" ht="18" customHeight="1">
      <c r="B440" s="111" t="s">
        <v>1000</v>
      </c>
      <c r="C440" s="9" t="s">
        <v>1001</v>
      </c>
      <c r="D440" s="140"/>
      <c r="E440" s="112" t="s">
        <v>30</v>
      </c>
      <c r="F440" s="40">
        <v>45</v>
      </c>
      <c r="G440" s="40">
        <f t="shared" si="77"/>
        <v>90</v>
      </c>
      <c r="H440" s="39" t="s">
        <v>18</v>
      </c>
      <c r="I440" s="11"/>
      <c r="J440" s="45">
        <f t="shared" si="74"/>
        <v>0</v>
      </c>
      <c r="K440" s="12"/>
      <c r="L440" s="12"/>
    </row>
    <row r="441" spans="2:12" ht="18" customHeight="1">
      <c r="B441" s="111" t="s">
        <v>1002</v>
      </c>
      <c r="C441" s="9" t="s">
        <v>1003</v>
      </c>
      <c r="D441" s="140"/>
      <c r="E441" s="112" t="s">
        <v>34</v>
      </c>
      <c r="F441" s="19">
        <v>45</v>
      </c>
      <c r="G441" s="19">
        <f t="shared" si="77"/>
        <v>90</v>
      </c>
      <c r="H441" s="124" t="s">
        <v>41</v>
      </c>
      <c r="I441" s="9"/>
      <c r="J441" s="45">
        <f t="shared" si="74"/>
        <v>0</v>
      </c>
      <c r="K441" s="12"/>
      <c r="L441" s="12"/>
    </row>
    <row r="442" spans="2:12" ht="18" customHeight="1">
      <c r="B442" s="111" t="s">
        <v>1004</v>
      </c>
      <c r="C442" s="9" t="s">
        <v>1005</v>
      </c>
      <c r="D442" s="140"/>
      <c r="E442" s="112" t="s">
        <v>34</v>
      </c>
      <c r="F442" s="19">
        <v>45</v>
      </c>
      <c r="G442" s="19">
        <f t="shared" si="77"/>
        <v>90</v>
      </c>
      <c r="H442" s="124" t="s">
        <v>42</v>
      </c>
      <c r="I442" s="9"/>
      <c r="J442" s="45">
        <f t="shared" si="74"/>
        <v>0</v>
      </c>
      <c r="K442" s="12"/>
      <c r="L442" s="12"/>
    </row>
    <row r="443" spans="2:12" ht="18" customHeight="1">
      <c r="B443" s="111" t="s">
        <v>1006</v>
      </c>
      <c r="C443" s="9" t="s">
        <v>1007</v>
      </c>
      <c r="D443" s="140"/>
      <c r="E443" s="112" t="s">
        <v>34</v>
      </c>
      <c r="F443" s="19">
        <v>45</v>
      </c>
      <c r="G443" s="19">
        <f t="shared" si="77"/>
        <v>90</v>
      </c>
      <c r="H443" s="124" t="s">
        <v>43</v>
      </c>
      <c r="I443" s="9"/>
      <c r="J443" s="45">
        <f t="shared" si="74"/>
        <v>0</v>
      </c>
      <c r="K443" s="12"/>
      <c r="L443" s="12"/>
    </row>
    <row r="444" spans="2:12" ht="18" customHeight="1">
      <c r="B444" s="111" t="s">
        <v>1008</v>
      </c>
      <c r="C444" s="9" t="s">
        <v>1009</v>
      </c>
      <c r="D444" s="140"/>
      <c r="E444" s="112" t="s">
        <v>34</v>
      </c>
      <c r="F444" s="19">
        <v>45</v>
      </c>
      <c r="G444" s="19">
        <f t="shared" si="77"/>
        <v>90</v>
      </c>
      <c r="H444" s="124" t="s">
        <v>44</v>
      </c>
      <c r="I444" s="9"/>
      <c r="J444" s="45">
        <f t="shared" si="74"/>
        <v>0</v>
      </c>
      <c r="K444" s="12"/>
      <c r="L444" s="12"/>
    </row>
    <row r="445" spans="2:12" ht="18" customHeight="1">
      <c r="B445" s="111" t="s">
        <v>1010</v>
      </c>
      <c r="C445" s="9" t="s">
        <v>1011</v>
      </c>
      <c r="D445" s="141"/>
      <c r="E445" s="112" t="s">
        <v>34</v>
      </c>
      <c r="F445" s="19">
        <v>45</v>
      </c>
      <c r="G445" s="19">
        <f t="shared" si="77"/>
        <v>90</v>
      </c>
      <c r="H445" s="124" t="s">
        <v>18</v>
      </c>
      <c r="I445" s="9"/>
      <c r="J445" s="45">
        <f t="shared" si="74"/>
        <v>0</v>
      </c>
      <c r="K445" s="12"/>
      <c r="L445" s="12"/>
    </row>
    <row r="446" spans="2:12" ht="31" customHeight="1">
      <c r="B446" s="105"/>
      <c r="C446" s="176" t="s">
        <v>28</v>
      </c>
      <c r="D446" s="176"/>
      <c r="E446" s="176"/>
      <c r="F446" s="176"/>
      <c r="G446" s="176"/>
      <c r="H446" s="176"/>
      <c r="I446" s="176"/>
      <c r="J446" s="176"/>
      <c r="K446" s="12"/>
      <c r="L446" s="12"/>
    </row>
    <row r="447" spans="2:12">
      <c r="B447" s="104" t="s">
        <v>143</v>
      </c>
      <c r="C447" s="104" t="s">
        <v>13</v>
      </c>
      <c r="D447" s="104" t="s">
        <v>14</v>
      </c>
      <c r="E447" s="104" t="s">
        <v>15</v>
      </c>
      <c r="F447" s="104" t="s">
        <v>1111</v>
      </c>
      <c r="G447" s="120" t="s">
        <v>323</v>
      </c>
      <c r="H447" s="120" t="s">
        <v>45</v>
      </c>
      <c r="I447" s="121" t="s">
        <v>39</v>
      </c>
      <c r="J447" s="122" t="s">
        <v>19</v>
      </c>
      <c r="K447" s="12"/>
      <c r="L447" s="12"/>
    </row>
    <row r="448" spans="2:12" ht="18" customHeight="1">
      <c r="B448" s="111" t="s">
        <v>1152</v>
      </c>
      <c r="C448" s="9" t="s">
        <v>1054</v>
      </c>
      <c r="D448" s="139" t="s">
        <v>1055</v>
      </c>
      <c r="E448" s="112" t="s">
        <v>1056</v>
      </c>
      <c r="F448" s="65">
        <v>32</v>
      </c>
      <c r="G448" s="65">
        <v>64</v>
      </c>
      <c r="H448" s="124" t="s">
        <v>41</v>
      </c>
      <c r="I448" s="9"/>
      <c r="J448" s="10">
        <f>SUM(F448*I448)</f>
        <v>0</v>
      </c>
      <c r="K448" s="12"/>
      <c r="L448" s="12"/>
    </row>
    <row r="449" spans="2:12" ht="18" customHeight="1">
      <c r="B449" s="111" t="s">
        <v>1153</v>
      </c>
      <c r="C449" s="9" t="s">
        <v>1057</v>
      </c>
      <c r="D449" s="140"/>
      <c r="E449" s="112" t="s">
        <v>1056</v>
      </c>
      <c r="F449" s="65">
        <v>32</v>
      </c>
      <c r="G449" s="65">
        <v>64</v>
      </c>
      <c r="H449" s="124" t="s">
        <v>42</v>
      </c>
      <c r="I449" s="9"/>
      <c r="J449" s="10">
        <f t="shared" ref="J449:J508" si="78">SUM(F449*I449)</f>
        <v>0</v>
      </c>
      <c r="K449" s="12"/>
      <c r="L449" s="12"/>
    </row>
    <row r="450" spans="2:12" ht="18" customHeight="1">
      <c r="B450" s="111" t="s">
        <v>1154</v>
      </c>
      <c r="C450" s="9" t="s">
        <v>1058</v>
      </c>
      <c r="D450" s="140"/>
      <c r="E450" s="112" t="s">
        <v>1056</v>
      </c>
      <c r="F450" s="65">
        <v>32</v>
      </c>
      <c r="G450" s="65">
        <v>64</v>
      </c>
      <c r="H450" s="124" t="s">
        <v>43</v>
      </c>
      <c r="I450" s="9"/>
      <c r="J450" s="10">
        <f t="shared" si="78"/>
        <v>0</v>
      </c>
      <c r="K450" s="12"/>
      <c r="L450" s="12"/>
    </row>
    <row r="451" spans="2:12" ht="18" customHeight="1">
      <c r="B451" s="111" t="s">
        <v>1155</v>
      </c>
      <c r="C451" s="9" t="s">
        <v>1059</v>
      </c>
      <c r="D451" s="140"/>
      <c r="E451" s="112" t="s">
        <v>1056</v>
      </c>
      <c r="F451" s="65">
        <v>32</v>
      </c>
      <c r="G451" s="65">
        <v>64</v>
      </c>
      <c r="H451" s="124" t="s">
        <v>44</v>
      </c>
      <c r="I451" s="9"/>
      <c r="J451" s="10">
        <f t="shared" si="78"/>
        <v>0</v>
      </c>
      <c r="K451" s="12"/>
      <c r="L451" s="12"/>
    </row>
    <row r="452" spans="2:12" ht="18" customHeight="1">
      <c r="B452" s="111" t="s">
        <v>1156</v>
      </c>
      <c r="C452" s="9" t="s">
        <v>1060</v>
      </c>
      <c r="D452" s="141"/>
      <c r="E452" s="112" t="s">
        <v>1056</v>
      </c>
      <c r="F452" s="65">
        <v>32</v>
      </c>
      <c r="G452" s="65">
        <v>64</v>
      </c>
      <c r="H452" s="124" t="s">
        <v>18</v>
      </c>
      <c r="I452" s="9"/>
      <c r="J452" s="10">
        <f t="shared" si="78"/>
        <v>0</v>
      </c>
      <c r="K452" s="12"/>
      <c r="L452" s="12"/>
    </row>
    <row r="453" spans="2:12" ht="18" customHeight="1">
      <c r="B453" s="119" t="s">
        <v>1157</v>
      </c>
      <c r="C453" s="11" t="s">
        <v>1212</v>
      </c>
      <c r="D453" s="142" t="s">
        <v>1034</v>
      </c>
      <c r="E453" s="113" t="s">
        <v>20</v>
      </c>
      <c r="F453" s="40">
        <v>32</v>
      </c>
      <c r="G453" s="40">
        <v>64</v>
      </c>
      <c r="H453" s="39" t="s">
        <v>41</v>
      </c>
      <c r="I453" s="11"/>
      <c r="J453" s="10">
        <f>SUM(F453*I453)</f>
        <v>0</v>
      </c>
      <c r="K453" s="12"/>
      <c r="L453" s="12"/>
    </row>
    <row r="454" spans="2:12" ht="18" customHeight="1">
      <c r="B454" s="119" t="s">
        <v>1158</v>
      </c>
      <c r="C454" s="11" t="s">
        <v>1213</v>
      </c>
      <c r="D454" s="143"/>
      <c r="E454" s="113" t="s">
        <v>20</v>
      </c>
      <c r="F454" s="40">
        <v>32</v>
      </c>
      <c r="G454" s="40">
        <v>64</v>
      </c>
      <c r="H454" s="39" t="s">
        <v>42</v>
      </c>
      <c r="I454" s="11"/>
      <c r="J454" s="10">
        <f t="shared" si="78"/>
        <v>0</v>
      </c>
      <c r="K454" s="12"/>
      <c r="L454" s="12"/>
    </row>
    <row r="455" spans="2:12" ht="18" customHeight="1">
      <c r="B455" s="119" t="s">
        <v>1159</v>
      </c>
      <c r="C455" s="11" t="s">
        <v>1214</v>
      </c>
      <c r="D455" s="143"/>
      <c r="E455" s="113" t="s">
        <v>20</v>
      </c>
      <c r="F455" s="40">
        <v>32</v>
      </c>
      <c r="G455" s="40">
        <v>64</v>
      </c>
      <c r="H455" s="39" t="s">
        <v>43</v>
      </c>
      <c r="I455" s="11"/>
      <c r="J455" s="10">
        <f t="shared" si="78"/>
        <v>0</v>
      </c>
      <c r="K455" s="12"/>
      <c r="L455" s="12"/>
    </row>
    <row r="456" spans="2:12" ht="18" customHeight="1">
      <c r="B456" s="119" t="s">
        <v>1160</v>
      </c>
      <c r="C456" s="11" t="s">
        <v>1215</v>
      </c>
      <c r="D456" s="143"/>
      <c r="E456" s="113" t="s">
        <v>20</v>
      </c>
      <c r="F456" s="40">
        <v>32</v>
      </c>
      <c r="G456" s="40">
        <v>64</v>
      </c>
      <c r="H456" s="39" t="s">
        <v>44</v>
      </c>
      <c r="I456" s="11"/>
      <c r="J456" s="10">
        <f t="shared" si="78"/>
        <v>0</v>
      </c>
      <c r="K456" s="12"/>
      <c r="L456" s="12"/>
    </row>
    <row r="457" spans="2:12" ht="18" customHeight="1">
      <c r="B457" s="119" t="s">
        <v>1161</v>
      </c>
      <c r="C457" s="11" t="s">
        <v>1216</v>
      </c>
      <c r="D457" s="144"/>
      <c r="E457" s="113" t="s">
        <v>20</v>
      </c>
      <c r="F457" s="40">
        <v>32</v>
      </c>
      <c r="G457" s="40">
        <v>64</v>
      </c>
      <c r="H457" s="39" t="s">
        <v>18</v>
      </c>
      <c r="I457" s="11"/>
      <c r="J457" s="10">
        <f t="shared" si="78"/>
        <v>0</v>
      </c>
      <c r="K457" s="12"/>
      <c r="L457" s="12"/>
    </row>
    <row r="458" spans="2:12" ht="18" customHeight="1">
      <c r="B458" s="111" t="s">
        <v>1162</v>
      </c>
      <c r="C458" s="9" t="s">
        <v>1048</v>
      </c>
      <c r="D458" s="139" t="s">
        <v>1049</v>
      </c>
      <c r="E458" s="112" t="s">
        <v>32</v>
      </c>
      <c r="F458" s="65">
        <v>32</v>
      </c>
      <c r="G458" s="65">
        <v>64</v>
      </c>
      <c r="H458" s="124" t="s">
        <v>41</v>
      </c>
      <c r="I458" s="9"/>
      <c r="J458" s="10">
        <f t="shared" si="78"/>
        <v>0</v>
      </c>
      <c r="K458" s="12"/>
      <c r="L458" s="12"/>
    </row>
    <row r="459" spans="2:12" ht="18" customHeight="1">
      <c r="B459" s="111" t="s">
        <v>1163</v>
      </c>
      <c r="C459" s="9" t="s">
        <v>1050</v>
      </c>
      <c r="D459" s="140"/>
      <c r="E459" s="112" t="s">
        <v>32</v>
      </c>
      <c r="F459" s="65">
        <v>32</v>
      </c>
      <c r="G459" s="65">
        <v>64</v>
      </c>
      <c r="H459" s="124" t="s">
        <v>42</v>
      </c>
      <c r="I459" s="9"/>
      <c r="J459" s="10">
        <f t="shared" si="78"/>
        <v>0</v>
      </c>
      <c r="K459" s="12"/>
      <c r="L459" s="12"/>
    </row>
    <row r="460" spans="2:12" ht="18" customHeight="1">
      <c r="B460" s="111" t="s">
        <v>1164</v>
      </c>
      <c r="C460" s="9" t="s">
        <v>1051</v>
      </c>
      <c r="D460" s="140"/>
      <c r="E460" s="112" t="s">
        <v>32</v>
      </c>
      <c r="F460" s="65">
        <v>32</v>
      </c>
      <c r="G460" s="65">
        <v>64</v>
      </c>
      <c r="H460" s="124" t="s">
        <v>43</v>
      </c>
      <c r="I460" s="9"/>
      <c r="J460" s="10">
        <f t="shared" si="78"/>
        <v>0</v>
      </c>
      <c r="K460" s="12"/>
      <c r="L460" s="12"/>
    </row>
    <row r="461" spans="2:12" ht="18" customHeight="1">
      <c r="B461" s="111" t="s">
        <v>1165</v>
      </c>
      <c r="C461" s="9" t="s">
        <v>1052</v>
      </c>
      <c r="D461" s="140"/>
      <c r="E461" s="112" t="s">
        <v>32</v>
      </c>
      <c r="F461" s="65">
        <v>32</v>
      </c>
      <c r="G461" s="65">
        <v>64</v>
      </c>
      <c r="H461" s="124" t="s">
        <v>44</v>
      </c>
      <c r="I461" s="9"/>
      <c r="J461" s="10">
        <f t="shared" si="78"/>
        <v>0</v>
      </c>
      <c r="K461" s="12"/>
      <c r="L461" s="12"/>
    </row>
    <row r="462" spans="2:12" ht="18" customHeight="1">
      <c r="B462" s="111" t="s">
        <v>1166</v>
      </c>
      <c r="C462" s="9" t="s">
        <v>1053</v>
      </c>
      <c r="D462" s="141"/>
      <c r="E462" s="112" t="s">
        <v>32</v>
      </c>
      <c r="F462" s="65">
        <v>32</v>
      </c>
      <c r="G462" s="65">
        <v>64</v>
      </c>
      <c r="H462" s="124" t="s">
        <v>18</v>
      </c>
      <c r="I462" s="9"/>
      <c r="J462" s="10">
        <f t="shared" si="78"/>
        <v>0</v>
      </c>
      <c r="K462" s="12"/>
      <c r="L462" s="12"/>
    </row>
    <row r="463" spans="2:12" ht="18" customHeight="1">
      <c r="B463" s="119" t="s">
        <v>1167</v>
      </c>
      <c r="C463" s="11" t="s">
        <v>1042</v>
      </c>
      <c r="D463" s="142" t="s">
        <v>1043</v>
      </c>
      <c r="E463" s="113" t="s">
        <v>22</v>
      </c>
      <c r="F463" s="40">
        <v>32</v>
      </c>
      <c r="G463" s="40">
        <v>64</v>
      </c>
      <c r="H463" s="39" t="s">
        <v>41</v>
      </c>
      <c r="I463" s="11"/>
      <c r="J463" s="10">
        <f t="shared" si="78"/>
        <v>0</v>
      </c>
      <c r="K463" s="12"/>
      <c r="L463" s="12"/>
    </row>
    <row r="464" spans="2:12" ht="18" customHeight="1">
      <c r="B464" s="119" t="s">
        <v>1168</v>
      </c>
      <c r="C464" s="11" t="s">
        <v>1044</v>
      </c>
      <c r="D464" s="143"/>
      <c r="E464" s="113" t="s">
        <v>22</v>
      </c>
      <c r="F464" s="40">
        <v>32</v>
      </c>
      <c r="G464" s="40">
        <v>64</v>
      </c>
      <c r="H464" s="39" t="s">
        <v>42</v>
      </c>
      <c r="I464" s="11"/>
      <c r="J464" s="10">
        <f t="shared" si="78"/>
        <v>0</v>
      </c>
      <c r="K464" s="12"/>
      <c r="L464" s="12"/>
    </row>
    <row r="465" spans="2:12" ht="18" customHeight="1">
      <c r="B465" s="119" t="s">
        <v>1169</v>
      </c>
      <c r="C465" s="11" t="s">
        <v>1045</v>
      </c>
      <c r="D465" s="143"/>
      <c r="E465" s="113" t="s">
        <v>22</v>
      </c>
      <c r="F465" s="40">
        <v>32</v>
      </c>
      <c r="G465" s="40">
        <v>64</v>
      </c>
      <c r="H465" s="39" t="s">
        <v>43</v>
      </c>
      <c r="I465" s="11"/>
      <c r="J465" s="10">
        <f t="shared" si="78"/>
        <v>0</v>
      </c>
      <c r="K465" s="12"/>
      <c r="L465" s="12"/>
    </row>
    <row r="466" spans="2:12" ht="18" customHeight="1">
      <c r="B466" s="119" t="s">
        <v>1170</v>
      </c>
      <c r="C466" s="11" t="s">
        <v>1046</v>
      </c>
      <c r="D466" s="143"/>
      <c r="E466" s="113" t="s">
        <v>22</v>
      </c>
      <c r="F466" s="40">
        <v>32</v>
      </c>
      <c r="G466" s="40">
        <v>64</v>
      </c>
      <c r="H466" s="39" t="s">
        <v>44</v>
      </c>
      <c r="I466" s="11"/>
      <c r="J466" s="10">
        <f t="shared" si="78"/>
        <v>0</v>
      </c>
      <c r="K466" s="12"/>
      <c r="L466" s="12"/>
    </row>
    <row r="467" spans="2:12" ht="18" customHeight="1">
      <c r="B467" s="119" t="s">
        <v>1171</v>
      </c>
      <c r="C467" s="11" t="s">
        <v>1047</v>
      </c>
      <c r="D467" s="144"/>
      <c r="E467" s="113" t="s">
        <v>22</v>
      </c>
      <c r="F467" s="40">
        <v>32</v>
      </c>
      <c r="G467" s="40">
        <v>64</v>
      </c>
      <c r="H467" s="39" t="s">
        <v>18</v>
      </c>
      <c r="I467" s="11"/>
      <c r="J467" s="10">
        <f t="shared" si="78"/>
        <v>0</v>
      </c>
      <c r="K467" s="12"/>
      <c r="L467" s="12"/>
    </row>
    <row r="468" spans="2:12" ht="18" customHeight="1">
      <c r="B468" s="111" t="s">
        <v>1172</v>
      </c>
      <c r="C468" s="9" t="s">
        <v>1035</v>
      </c>
      <c r="D468" s="139" t="s">
        <v>1036</v>
      </c>
      <c r="E468" s="112" t="s">
        <v>1037</v>
      </c>
      <c r="F468" s="65">
        <v>32</v>
      </c>
      <c r="G468" s="65">
        <v>64</v>
      </c>
      <c r="H468" s="124" t="s">
        <v>41</v>
      </c>
      <c r="I468" s="9"/>
      <c r="J468" s="10">
        <f t="shared" si="78"/>
        <v>0</v>
      </c>
      <c r="K468" s="12"/>
      <c r="L468" s="12"/>
    </row>
    <row r="469" spans="2:12" ht="18" customHeight="1">
      <c r="B469" s="111" t="s">
        <v>1173</v>
      </c>
      <c r="C469" s="9" t="s">
        <v>1038</v>
      </c>
      <c r="D469" s="140"/>
      <c r="E469" s="112" t="s">
        <v>1037</v>
      </c>
      <c r="F469" s="65">
        <v>32</v>
      </c>
      <c r="G469" s="65">
        <v>64</v>
      </c>
      <c r="H469" s="124" t="s">
        <v>42</v>
      </c>
      <c r="I469" s="9"/>
      <c r="J469" s="10">
        <f t="shared" si="78"/>
        <v>0</v>
      </c>
      <c r="K469" s="12"/>
      <c r="L469" s="12"/>
    </row>
    <row r="470" spans="2:12" ht="18" customHeight="1">
      <c r="B470" s="111" t="s">
        <v>1174</v>
      </c>
      <c r="C470" s="9" t="s">
        <v>1039</v>
      </c>
      <c r="D470" s="140"/>
      <c r="E470" s="112" t="s">
        <v>1037</v>
      </c>
      <c r="F470" s="65">
        <v>32</v>
      </c>
      <c r="G470" s="65">
        <v>64</v>
      </c>
      <c r="H470" s="124" t="s">
        <v>43</v>
      </c>
      <c r="I470" s="9"/>
      <c r="J470" s="10">
        <f t="shared" si="78"/>
        <v>0</v>
      </c>
      <c r="K470" s="12"/>
      <c r="L470" s="12"/>
    </row>
    <row r="471" spans="2:12" ht="18" customHeight="1">
      <c r="B471" s="111" t="s">
        <v>1175</v>
      </c>
      <c r="C471" s="9" t="s">
        <v>1040</v>
      </c>
      <c r="D471" s="140"/>
      <c r="E471" s="112" t="s">
        <v>1037</v>
      </c>
      <c r="F471" s="65">
        <v>32</v>
      </c>
      <c r="G471" s="65">
        <v>64</v>
      </c>
      <c r="H471" s="124" t="s">
        <v>44</v>
      </c>
      <c r="I471" s="9"/>
      <c r="J471" s="10">
        <f t="shared" si="78"/>
        <v>0</v>
      </c>
      <c r="K471" s="12"/>
      <c r="L471" s="12"/>
    </row>
    <row r="472" spans="2:12" ht="18" customHeight="1">
      <c r="B472" s="111" t="s">
        <v>1176</v>
      </c>
      <c r="C472" s="9" t="s">
        <v>1041</v>
      </c>
      <c r="D472" s="141"/>
      <c r="E472" s="112" t="s">
        <v>1037</v>
      </c>
      <c r="F472" s="65">
        <v>32</v>
      </c>
      <c r="G472" s="65">
        <v>64</v>
      </c>
      <c r="H472" s="124" t="s">
        <v>18</v>
      </c>
      <c r="I472" s="9"/>
      <c r="J472" s="10">
        <f t="shared" si="78"/>
        <v>0</v>
      </c>
      <c r="K472" s="12"/>
      <c r="L472" s="12"/>
    </row>
    <row r="473" spans="2:12" ht="18" customHeight="1">
      <c r="B473" s="119" t="s">
        <v>1177</v>
      </c>
      <c r="C473" s="11" t="s">
        <v>1061</v>
      </c>
      <c r="D473" s="142" t="s">
        <v>1062</v>
      </c>
      <c r="E473" s="113" t="s">
        <v>1063</v>
      </c>
      <c r="F473" s="40">
        <v>32</v>
      </c>
      <c r="G473" s="40">
        <v>64</v>
      </c>
      <c r="H473" s="39" t="s">
        <v>41</v>
      </c>
      <c r="I473" s="11"/>
      <c r="J473" s="10">
        <f t="shared" si="78"/>
        <v>0</v>
      </c>
      <c r="K473" s="12"/>
      <c r="L473" s="12"/>
    </row>
    <row r="474" spans="2:12" ht="18" customHeight="1">
      <c r="B474" s="119" t="s">
        <v>1178</v>
      </c>
      <c r="C474" s="11" t="s">
        <v>1064</v>
      </c>
      <c r="D474" s="143"/>
      <c r="E474" s="113" t="s">
        <v>1063</v>
      </c>
      <c r="F474" s="40">
        <v>32</v>
      </c>
      <c r="G474" s="40">
        <v>64</v>
      </c>
      <c r="H474" s="39" t="s">
        <v>42</v>
      </c>
      <c r="I474" s="11"/>
      <c r="J474" s="10">
        <f t="shared" si="78"/>
        <v>0</v>
      </c>
      <c r="K474" s="12"/>
      <c r="L474" s="12"/>
    </row>
    <row r="475" spans="2:12" ht="18" customHeight="1">
      <c r="B475" s="119" t="s">
        <v>1179</v>
      </c>
      <c r="C475" s="11" t="s">
        <v>1065</v>
      </c>
      <c r="D475" s="143"/>
      <c r="E475" s="113" t="s">
        <v>1063</v>
      </c>
      <c r="F475" s="40">
        <v>32</v>
      </c>
      <c r="G475" s="40">
        <v>64</v>
      </c>
      <c r="H475" s="39" t="s">
        <v>43</v>
      </c>
      <c r="I475" s="11"/>
      <c r="J475" s="10">
        <f t="shared" si="78"/>
        <v>0</v>
      </c>
      <c r="K475" s="12"/>
      <c r="L475" s="12"/>
    </row>
    <row r="476" spans="2:12" ht="18" customHeight="1">
      <c r="B476" s="119" t="s">
        <v>1180</v>
      </c>
      <c r="C476" s="11" t="s">
        <v>1066</v>
      </c>
      <c r="D476" s="143"/>
      <c r="E476" s="113" t="s">
        <v>1063</v>
      </c>
      <c r="F476" s="40">
        <v>32</v>
      </c>
      <c r="G476" s="40">
        <v>64</v>
      </c>
      <c r="H476" s="39" t="s">
        <v>44</v>
      </c>
      <c r="I476" s="11"/>
      <c r="J476" s="10">
        <f t="shared" si="78"/>
        <v>0</v>
      </c>
      <c r="K476" s="12"/>
      <c r="L476" s="12"/>
    </row>
    <row r="477" spans="2:12" ht="18" customHeight="1">
      <c r="B477" s="119" t="s">
        <v>1181</v>
      </c>
      <c r="C477" s="11" t="s">
        <v>1067</v>
      </c>
      <c r="D477" s="144"/>
      <c r="E477" s="113" t="s">
        <v>1063</v>
      </c>
      <c r="F477" s="40">
        <v>32</v>
      </c>
      <c r="G477" s="40">
        <v>64</v>
      </c>
      <c r="H477" s="39" t="s">
        <v>18</v>
      </c>
      <c r="I477" s="11"/>
      <c r="J477" s="10">
        <f t="shared" si="78"/>
        <v>0</v>
      </c>
      <c r="K477" s="12"/>
      <c r="L477" s="12"/>
    </row>
    <row r="478" spans="2:12" ht="18" customHeight="1">
      <c r="B478" s="111" t="s">
        <v>1182</v>
      </c>
      <c r="C478" s="9" t="s">
        <v>1074</v>
      </c>
      <c r="D478" s="139" t="s">
        <v>1075</v>
      </c>
      <c r="E478" s="112" t="s">
        <v>29</v>
      </c>
      <c r="F478" s="65">
        <v>16</v>
      </c>
      <c r="G478" s="65">
        <v>32</v>
      </c>
      <c r="H478" s="124" t="s">
        <v>41</v>
      </c>
      <c r="I478" s="9"/>
      <c r="J478" s="10">
        <f t="shared" si="78"/>
        <v>0</v>
      </c>
      <c r="K478" s="12"/>
      <c r="L478" s="12"/>
    </row>
    <row r="479" spans="2:12" ht="18" customHeight="1">
      <c r="B479" s="111" t="s">
        <v>1183</v>
      </c>
      <c r="C479" s="9" t="s">
        <v>1076</v>
      </c>
      <c r="D479" s="140"/>
      <c r="E479" s="112" t="s">
        <v>29</v>
      </c>
      <c r="F479" s="65">
        <v>16</v>
      </c>
      <c r="G479" s="65">
        <v>32</v>
      </c>
      <c r="H479" s="124" t="s">
        <v>42</v>
      </c>
      <c r="I479" s="9"/>
      <c r="J479" s="10">
        <f t="shared" si="78"/>
        <v>0</v>
      </c>
      <c r="K479" s="12"/>
      <c r="L479" s="12"/>
    </row>
    <row r="480" spans="2:12" ht="18" customHeight="1">
      <c r="B480" s="111" t="s">
        <v>1184</v>
      </c>
      <c r="C480" s="9" t="s">
        <v>1077</v>
      </c>
      <c r="D480" s="140"/>
      <c r="E480" s="112" t="s">
        <v>29</v>
      </c>
      <c r="F480" s="65">
        <v>16</v>
      </c>
      <c r="G480" s="65">
        <v>32</v>
      </c>
      <c r="H480" s="124" t="s">
        <v>43</v>
      </c>
      <c r="I480" s="9"/>
      <c r="J480" s="10">
        <f t="shared" si="78"/>
        <v>0</v>
      </c>
      <c r="K480" s="12"/>
      <c r="L480" s="12"/>
    </row>
    <row r="481" spans="2:12" ht="18" customHeight="1">
      <c r="B481" s="111" t="s">
        <v>1185</v>
      </c>
      <c r="C481" s="9" t="s">
        <v>1078</v>
      </c>
      <c r="D481" s="140"/>
      <c r="E481" s="112" t="s">
        <v>29</v>
      </c>
      <c r="F481" s="65">
        <v>16</v>
      </c>
      <c r="G481" s="65">
        <v>32</v>
      </c>
      <c r="H481" s="124" t="s">
        <v>44</v>
      </c>
      <c r="I481" s="9"/>
      <c r="J481" s="10">
        <f t="shared" si="78"/>
        <v>0</v>
      </c>
      <c r="K481" s="12"/>
      <c r="L481" s="12"/>
    </row>
    <row r="482" spans="2:12" ht="18" customHeight="1">
      <c r="B482" s="111" t="s">
        <v>1186</v>
      </c>
      <c r="C482" s="9" t="s">
        <v>1079</v>
      </c>
      <c r="D482" s="141"/>
      <c r="E482" s="112" t="s">
        <v>29</v>
      </c>
      <c r="F482" s="65">
        <v>16</v>
      </c>
      <c r="G482" s="65">
        <v>32</v>
      </c>
      <c r="H482" s="124" t="s">
        <v>18</v>
      </c>
      <c r="I482" s="9"/>
      <c r="J482" s="10">
        <f t="shared" si="78"/>
        <v>0</v>
      </c>
      <c r="K482" s="12"/>
      <c r="L482" s="12"/>
    </row>
    <row r="483" spans="2:12" ht="18" customHeight="1">
      <c r="B483" s="119" t="s">
        <v>1187</v>
      </c>
      <c r="C483" s="11" t="s">
        <v>1068</v>
      </c>
      <c r="D483" s="142" t="s">
        <v>1069</v>
      </c>
      <c r="E483" s="113" t="s">
        <v>36</v>
      </c>
      <c r="F483" s="40">
        <v>16</v>
      </c>
      <c r="G483" s="40">
        <v>32</v>
      </c>
      <c r="H483" s="39" t="s">
        <v>41</v>
      </c>
      <c r="I483" s="11"/>
      <c r="J483" s="10">
        <f t="shared" si="78"/>
        <v>0</v>
      </c>
      <c r="K483" s="12"/>
      <c r="L483" s="12"/>
    </row>
    <row r="484" spans="2:12" ht="18" customHeight="1">
      <c r="B484" s="119" t="s">
        <v>1188</v>
      </c>
      <c r="C484" s="11" t="s">
        <v>1070</v>
      </c>
      <c r="D484" s="143"/>
      <c r="E484" s="113" t="s">
        <v>36</v>
      </c>
      <c r="F484" s="40">
        <v>16</v>
      </c>
      <c r="G484" s="40">
        <v>32</v>
      </c>
      <c r="H484" s="39" t="s">
        <v>42</v>
      </c>
      <c r="I484" s="11"/>
      <c r="J484" s="10">
        <f t="shared" si="78"/>
        <v>0</v>
      </c>
      <c r="K484" s="12"/>
      <c r="L484" s="12"/>
    </row>
    <row r="485" spans="2:12" ht="18" customHeight="1">
      <c r="B485" s="119" t="s">
        <v>1189</v>
      </c>
      <c r="C485" s="11" t="s">
        <v>1071</v>
      </c>
      <c r="D485" s="143"/>
      <c r="E485" s="113" t="s">
        <v>36</v>
      </c>
      <c r="F485" s="40">
        <v>16</v>
      </c>
      <c r="G485" s="40">
        <v>32</v>
      </c>
      <c r="H485" s="39" t="s">
        <v>43</v>
      </c>
      <c r="I485" s="11"/>
      <c r="J485" s="10">
        <f t="shared" si="78"/>
        <v>0</v>
      </c>
      <c r="K485" s="12"/>
      <c r="L485" s="12"/>
    </row>
    <row r="486" spans="2:12" ht="18" customHeight="1">
      <c r="B486" s="119" t="s">
        <v>1190</v>
      </c>
      <c r="C486" s="11" t="s">
        <v>1072</v>
      </c>
      <c r="D486" s="143"/>
      <c r="E486" s="113" t="s">
        <v>36</v>
      </c>
      <c r="F486" s="40">
        <v>16</v>
      </c>
      <c r="G486" s="40">
        <v>32</v>
      </c>
      <c r="H486" s="39" t="s">
        <v>44</v>
      </c>
      <c r="I486" s="11"/>
      <c r="J486" s="10">
        <f t="shared" si="78"/>
        <v>0</v>
      </c>
      <c r="K486" s="12"/>
      <c r="L486" s="12"/>
    </row>
    <row r="487" spans="2:12" ht="18" customHeight="1">
      <c r="B487" s="119" t="s">
        <v>1191</v>
      </c>
      <c r="C487" s="11" t="s">
        <v>1073</v>
      </c>
      <c r="D487" s="144"/>
      <c r="E487" s="113" t="s">
        <v>36</v>
      </c>
      <c r="F487" s="40">
        <v>16</v>
      </c>
      <c r="G487" s="40">
        <v>32</v>
      </c>
      <c r="H487" s="39" t="s">
        <v>18</v>
      </c>
      <c r="I487" s="11"/>
      <c r="J487" s="10">
        <f t="shared" si="78"/>
        <v>0</v>
      </c>
      <c r="K487" s="12"/>
      <c r="L487" s="12"/>
    </row>
    <row r="488" spans="2:12" ht="18" customHeight="1">
      <c r="B488" s="111" t="s">
        <v>1192</v>
      </c>
      <c r="C488" s="9" t="s">
        <v>1080</v>
      </c>
      <c r="D488" s="139" t="s">
        <v>1081</v>
      </c>
      <c r="E488" s="112" t="s">
        <v>20</v>
      </c>
      <c r="F488" s="65">
        <v>14</v>
      </c>
      <c r="G488" s="65">
        <v>28</v>
      </c>
      <c r="H488" s="124" t="s">
        <v>41</v>
      </c>
      <c r="I488" s="9"/>
      <c r="J488" s="10">
        <f t="shared" si="78"/>
        <v>0</v>
      </c>
      <c r="K488" s="12"/>
      <c r="L488" s="12"/>
    </row>
    <row r="489" spans="2:12" ht="18" customHeight="1">
      <c r="B489" s="111" t="s">
        <v>1193</v>
      </c>
      <c r="C489" s="9" t="s">
        <v>1082</v>
      </c>
      <c r="D489" s="140"/>
      <c r="E489" s="112" t="s">
        <v>20</v>
      </c>
      <c r="F489" s="65">
        <v>14</v>
      </c>
      <c r="G489" s="65">
        <v>28</v>
      </c>
      <c r="H489" s="124" t="s">
        <v>42</v>
      </c>
      <c r="I489" s="9"/>
      <c r="J489" s="10">
        <f t="shared" si="78"/>
        <v>0</v>
      </c>
      <c r="K489" s="12"/>
      <c r="L489" s="12"/>
    </row>
    <row r="490" spans="2:12" ht="18" customHeight="1">
      <c r="B490" s="111" t="s">
        <v>1194</v>
      </c>
      <c r="C490" s="9" t="s">
        <v>1083</v>
      </c>
      <c r="D490" s="140"/>
      <c r="E490" s="112" t="s">
        <v>20</v>
      </c>
      <c r="F490" s="65">
        <v>14</v>
      </c>
      <c r="G490" s="65">
        <v>28</v>
      </c>
      <c r="H490" s="124" t="s">
        <v>43</v>
      </c>
      <c r="I490" s="9"/>
      <c r="J490" s="10">
        <f t="shared" si="78"/>
        <v>0</v>
      </c>
      <c r="K490" s="12"/>
      <c r="L490" s="12"/>
    </row>
    <row r="491" spans="2:12" ht="18" customHeight="1">
      <c r="B491" s="111" t="s">
        <v>1195</v>
      </c>
      <c r="C491" s="9" t="s">
        <v>1084</v>
      </c>
      <c r="D491" s="140"/>
      <c r="E491" s="112" t="s">
        <v>20</v>
      </c>
      <c r="F491" s="65">
        <v>14</v>
      </c>
      <c r="G491" s="65">
        <v>28</v>
      </c>
      <c r="H491" s="124" t="s">
        <v>44</v>
      </c>
      <c r="I491" s="9"/>
      <c r="J491" s="10">
        <f t="shared" si="78"/>
        <v>0</v>
      </c>
      <c r="K491" s="12"/>
      <c r="L491" s="12"/>
    </row>
    <row r="492" spans="2:12" ht="18" customHeight="1">
      <c r="B492" s="111" t="s">
        <v>1196</v>
      </c>
      <c r="C492" s="9" t="s">
        <v>1085</v>
      </c>
      <c r="D492" s="141"/>
      <c r="E492" s="112" t="s">
        <v>20</v>
      </c>
      <c r="F492" s="65">
        <v>14</v>
      </c>
      <c r="G492" s="65">
        <v>28</v>
      </c>
      <c r="H492" s="124" t="s">
        <v>18</v>
      </c>
      <c r="I492" s="9"/>
      <c r="J492" s="10">
        <f t="shared" si="78"/>
        <v>0</v>
      </c>
      <c r="K492" s="12"/>
      <c r="L492" s="12"/>
    </row>
    <row r="493" spans="2:12" ht="18" customHeight="1">
      <c r="B493" s="119" t="s">
        <v>1197</v>
      </c>
      <c r="C493" s="11" t="s">
        <v>1092</v>
      </c>
      <c r="D493" s="142" t="s">
        <v>1093</v>
      </c>
      <c r="E493" s="113" t="s">
        <v>29</v>
      </c>
      <c r="F493" s="40">
        <v>14</v>
      </c>
      <c r="G493" s="40">
        <v>28</v>
      </c>
      <c r="H493" s="39" t="s">
        <v>41</v>
      </c>
      <c r="I493" s="11"/>
      <c r="J493" s="10">
        <f t="shared" si="78"/>
        <v>0</v>
      </c>
      <c r="K493" s="12"/>
      <c r="L493" s="12"/>
    </row>
    <row r="494" spans="2:12" ht="18" customHeight="1">
      <c r="B494" s="119" t="s">
        <v>1198</v>
      </c>
      <c r="C494" s="11" t="s">
        <v>1094</v>
      </c>
      <c r="D494" s="143"/>
      <c r="E494" s="113" t="s">
        <v>29</v>
      </c>
      <c r="F494" s="40">
        <v>14</v>
      </c>
      <c r="G494" s="40">
        <v>28</v>
      </c>
      <c r="H494" s="39" t="s">
        <v>42</v>
      </c>
      <c r="I494" s="11"/>
      <c r="J494" s="10">
        <f t="shared" si="78"/>
        <v>0</v>
      </c>
      <c r="K494" s="12"/>
      <c r="L494" s="12"/>
    </row>
    <row r="495" spans="2:12" ht="18" customHeight="1">
      <c r="B495" s="119" t="s">
        <v>1199</v>
      </c>
      <c r="C495" s="11" t="s">
        <v>1095</v>
      </c>
      <c r="D495" s="143"/>
      <c r="E495" s="113" t="s">
        <v>29</v>
      </c>
      <c r="F495" s="40">
        <v>14</v>
      </c>
      <c r="G495" s="40">
        <v>28</v>
      </c>
      <c r="H495" s="39" t="s">
        <v>43</v>
      </c>
      <c r="I495" s="11"/>
      <c r="J495" s="10">
        <f t="shared" si="78"/>
        <v>0</v>
      </c>
      <c r="K495" s="12"/>
      <c r="L495" s="12"/>
    </row>
    <row r="496" spans="2:12" ht="18" customHeight="1">
      <c r="B496" s="119" t="s">
        <v>1200</v>
      </c>
      <c r="C496" s="11" t="s">
        <v>1096</v>
      </c>
      <c r="D496" s="143"/>
      <c r="E496" s="113" t="s">
        <v>29</v>
      </c>
      <c r="F496" s="40">
        <v>14</v>
      </c>
      <c r="G496" s="40">
        <v>28</v>
      </c>
      <c r="H496" s="39" t="s">
        <v>44</v>
      </c>
      <c r="I496" s="11"/>
      <c r="J496" s="10">
        <f t="shared" si="78"/>
        <v>0</v>
      </c>
      <c r="K496" s="12"/>
      <c r="L496" s="12"/>
    </row>
    <row r="497" spans="2:12" ht="18" customHeight="1">
      <c r="B497" s="119" t="s">
        <v>1201</v>
      </c>
      <c r="C497" s="11" t="s">
        <v>1097</v>
      </c>
      <c r="D497" s="144"/>
      <c r="E497" s="113" t="s">
        <v>29</v>
      </c>
      <c r="F497" s="40">
        <v>14</v>
      </c>
      <c r="G497" s="40">
        <v>28</v>
      </c>
      <c r="H497" s="39" t="s">
        <v>18</v>
      </c>
      <c r="I497" s="11"/>
      <c r="J497" s="10">
        <f>SUM(F497*I497)</f>
        <v>0</v>
      </c>
      <c r="K497" s="12"/>
      <c r="L497" s="12"/>
    </row>
    <row r="498" spans="2:12" ht="18" customHeight="1">
      <c r="B498" s="111" t="s">
        <v>1202</v>
      </c>
      <c r="C498" s="9" t="s">
        <v>1098</v>
      </c>
      <c r="D498" s="139" t="s">
        <v>1099</v>
      </c>
      <c r="E498" s="112" t="s">
        <v>34</v>
      </c>
      <c r="F498" s="65">
        <v>14</v>
      </c>
      <c r="G498" s="65">
        <v>28</v>
      </c>
      <c r="H498" s="124" t="s">
        <v>41</v>
      </c>
      <c r="I498" s="123"/>
      <c r="J498" s="10">
        <f t="shared" si="78"/>
        <v>0</v>
      </c>
      <c r="K498" s="12"/>
      <c r="L498" s="12"/>
    </row>
    <row r="499" spans="2:12" ht="18" customHeight="1">
      <c r="B499" s="111" t="s">
        <v>1203</v>
      </c>
      <c r="C499" s="9" t="s">
        <v>1100</v>
      </c>
      <c r="D499" s="140"/>
      <c r="E499" s="112" t="s">
        <v>34</v>
      </c>
      <c r="F499" s="65">
        <v>14</v>
      </c>
      <c r="G499" s="65">
        <v>28</v>
      </c>
      <c r="H499" s="124" t="s">
        <v>42</v>
      </c>
      <c r="I499" s="123"/>
      <c r="J499" s="10">
        <f t="shared" si="78"/>
        <v>0</v>
      </c>
      <c r="K499" s="12"/>
      <c r="L499" s="12"/>
    </row>
    <row r="500" spans="2:12" ht="18" customHeight="1">
      <c r="B500" s="111" t="s">
        <v>1204</v>
      </c>
      <c r="C500" s="9" t="s">
        <v>1101</v>
      </c>
      <c r="D500" s="140"/>
      <c r="E500" s="112" t="s">
        <v>34</v>
      </c>
      <c r="F500" s="65">
        <v>14</v>
      </c>
      <c r="G500" s="65">
        <v>28</v>
      </c>
      <c r="H500" s="124" t="s">
        <v>43</v>
      </c>
      <c r="I500" s="123"/>
      <c r="J500" s="10">
        <f t="shared" si="78"/>
        <v>0</v>
      </c>
      <c r="K500" s="12"/>
      <c r="L500" s="12"/>
    </row>
    <row r="501" spans="2:12" ht="18" customHeight="1">
      <c r="B501" s="111" t="s">
        <v>1205</v>
      </c>
      <c r="C501" s="9" t="s">
        <v>1102</v>
      </c>
      <c r="D501" s="140"/>
      <c r="E501" s="112" t="s">
        <v>34</v>
      </c>
      <c r="F501" s="65">
        <v>14</v>
      </c>
      <c r="G501" s="65">
        <v>28</v>
      </c>
      <c r="H501" s="124" t="s">
        <v>44</v>
      </c>
      <c r="I501" s="123"/>
      <c r="J501" s="10">
        <f t="shared" si="78"/>
        <v>0</v>
      </c>
      <c r="K501" s="12"/>
      <c r="L501" s="12"/>
    </row>
    <row r="502" spans="2:12" ht="18" customHeight="1">
      <c r="B502" s="111" t="s">
        <v>1206</v>
      </c>
      <c r="C502" s="127" t="s">
        <v>1103</v>
      </c>
      <c r="D502" s="141"/>
      <c r="E502" s="112" t="s">
        <v>34</v>
      </c>
      <c r="F502" s="65">
        <v>14</v>
      </c>
      <c r="G502" s="65">
        <v>28</v>
      </c>
      <c r="H502" s="124" t="s">
        <v>18</v>
      </c>
      <c r="I502" s="9"/>
      <c r="J502" s="10">
        <f t="shared" si="78"/>
        <v>0</v>
      </c>
      <c r="K502" s="12"/>
      <c r="L502" s="12"/>
    </row>
    <row r="503" spans="2:12" ht="18" customHeight="1">
      <c r="B503" s="119" t="s">
        <v>1207</v>
      </c>
      <c r="C503" s="11" t="s">
        <v>1086</v>
      </c>
      <c r="D503" s="142" t="s">
        <v>1087</v>
      </c>
      <c r="E503" s="113" t="s">
        <v>31</v>
      </c>
      <c r="F503" s="40">
        <v>14</v>
      </c>
      <c r="G503" s="40">
        <v>28</v>
      </c>
      <c r="H503" s="39" t="s">
        <v>41</v>
      </c>
      <c r="I503" s="83"/>
      <c r="J503" s="10">
        <f t="shared" si="78"/>
        <v>0</v>
      </c>
      <c r="K503" s="12"/>
      <c r="L503" s="12"/>
    </row>
    <row r="504" spans="2:12" ht="18" customHeight="1">
      <c r="B504" s="119" t="s">
        <v>1208</v>
      </c>
      <c r="C504" s="11" t="s">
        <v>1088</v>
      </c>
      <c r="D504" s="143"/>
      <c r="E504" s="113" t="s">
        <v>31</v>
      </c>
      <c r="F504" s="40">
        <v>14</v>
      </c>
      <c r="G504" s="40">
        <v>28</v>
      </c>
      <c r="H504" s="39" t="s">
        <v>42</v>
      </c>
      <c r="I504" s="83"/>
      <c r="J504" s="10">
        <f t="shared" si="78"/>
        <v>0</v>
      </c>
      <c r="K504" s="12"/>
      <c r="L504" s="12"/>
    </row>
    <row r="505" spans="2:12" ht="18" customHeight="1">
      <c r="B505" s="119" t="s">
        <v>1209</v>
      </c>
      <c r="C505" s="11" t="s">
        <v>1089</v>
      </c>
      <c r="D505" s="143"/>
      <c r="E505" s="113" t="s">
        <v>31</v>
      </c>
      <c r="F505" s="40">
        <v>14</v>
      </c>
      <c r="G505" s="40">
        <v>28</v>
      </c>
      <c r="H505" s="39" t="s">
        <v>43</v>
      </c>
      <c r="I505" s="83"/>
      <c r="J505" s="10">
        <f t="shared" si="78"/>
        <v>0</v>
      </c>
      <c r="K505" s="12"/>
      <c r="L505" s="12"/>
    </row>
    <row r="506" spans="2:12" ht="18" customHeight="1">
      <c r="B506" s="119" t="s">
        <v>1210</v>
      </c>
      <c r="C506" s="11" t="s">
        <v>1090</v>
      </c>
      <c r="D506" s="143"/>
      <c r="E506" s="113" t="s">
        <v>31</v>
      </c>
      <c r="F506" s="40">
        <v>14</v>
      </c>
      <c r="G506" s="40">
        <v>28</v>
      </c>
      <c r="H506" s="39" t="s">
        <v>44</v>
      </c>
      <c r="I506" s="83"/>
      <c r="J506" s="10">
        <f t="shared" si="78"/>
        <v>0</v>
      </c>
      <c r="K506" s="12"/>
      <c r="L506" s="12"/>
    </row>
    <row r="507" spans="2:12" ht="18" customHeight="1">
      <c r="B507" s="119" t="s">
        <v>1211</v>
      </c>
      <c r="C507" s="11" t="s">
        <v>1091</v>
      </c>
      <c r="D507" s="144"/>
      <c r="E507" s="113" t="s">
        <v>31</v>
      </c>
      <c r="F507" s="40">
        <v>14</v>
      </c>
      <c r="G507" s="40">
        <v>28</v>
      </c>
      <c r="H507" s="39" t="s">
        <v>18</v>
      </c>
      <c r="I507" s="11"/>
      <c r="J507" s="10">
        <f t="shared" si="78"/>
        <v>0</v>
      </c>
      <c r="K507" s="12"/>
      <c r="L507" s="12"/>
    </row>
    <row r="508" spans="2:12" s="12" customFormat="1" ht="17" thickBot="1">
      <c r="B508" s="21"/>
      <c r="G508" s="166" t="s">
        <v>49</v>
      </c>
      <c r="H508" s="167"/>
      <c r="I508" s="68">
        <f>SUM(I31:I40,I42:I95,I97:I160,I162:I192,I194:I209,I211:I267,I271:I445,I448:I507)</f>
        <v>0</v>
      </c>
      <c r="J508" s="10">
        <f t="shared" si="78"/>
        <v>0</v>
      </c>
    </row>
    <row r="509" spans="2:12" s="12" customFormat="1">
      <c r="B509" s="21"/>
      <c r="I509" s="84" t="s">
        <v>126</v>
      </c>
    </row>
    <row r="510" spans="2:12" s="12" customFormat="1">
      <c r="H510" s="67" t="s">
        <v>128</v>
      </c>
      <c r="I510" s="95">
        <f>SUM(I291:I340,I453:I507)</f>
        <v>0</v>
      </c>
      <c r="J510" s="96">
        <f>SUM(,J271:J445,J448:J507)</f>
        <v>0</v>
      </c>
    </row>
    <row r="511" spans="2:12" s="12" customFormat="1">
      <c r="H511" s="67"/>
      <c r="I511" s="84"/>
      <c r="J511" s="93"/>
    </row>
    <row r="512" spans="2:12" s="12" customFormat="1">
      <c r="C512" s="21"/>
      <c r="D512" s="84" t="s">
        <v>133</v>
      </c>
      <c r="E512" s="21"/>
      <c r="F512" s="21"/>
      <c r="G512" s="93"/>
      <c r="H512" s="21"/>
      <c r="I512" s="21"/>
      <c r="J512" s="94"/>
    </row>
    <row r="513" spans="3:14" s="12" customFormat="1" ht="17" thickBot="1">
      <c r="C513" s="90" t="s">
        <v>1104</v>
      </c>
      <c r="D513" s="145" t="s">
        <v>1110</v>
      </c>
      <c r="E513" s="118" t="s">
        <v>22</v>
      </c>
      <c r="F513" s="90" t="s">
        <v>17</v>
      </c>
      <c r="G513" s="91">
        <v>0</v>
      </c>
      <c r="H513" s="90" t="s">
        <v>17</v>
      </c>
      <c r="I513" s="90">
        <f t="shared" ref="I513:I518" si="79">SUM(H513)</f>
        <v>0</v>
      </c>
      <c r="J513" s="92">
        <f t="shared" ref="J513:J518" si="80">SUM(G513*I513)</f>
        <v>0</v>
      </c>
      <c r="K513" s="128" t="s">
        <v>129</v>
      </c>
      <c r="L513" s="129"/>
      <c r="M513" s="130">
        <f>SUM(I268/12)</f>
        <v>0</v>
      </c>
      <c r="N513" s="44"/>
    </row>
    <row r="514" spans="3:14" s="12" customFormat="1">
      <c r="C514" s="90" t="s">
        <v>1105</v>
      </c>
      <c r="D514" s="140"/>
      <c r="E514" s="118" t="s">
        <v>26</v>
      </c>
      <c r="F514" s="90" t="s">
        <v>17</v>
      </c>
      <c r="G514" s="91">
        <v>0</v>
      </c>
      <c r="H514" s="90" t="s">
        <v>17</v>
      </c>
      <c r="I514" s="90">
        <f t="shared" si="79"/>
        <v>0</v>
      </c>
      <c r="J514" s="92">
        <f t="shared" si="80"/>
        <v>0</v>
      </c>
      <c r="K514" s="131" t="s">
        <v>130</v>
      </c>
      <c r="L514" s="132"/>
      <c r="M514" s="133"/>
      <c r="N514" s="58"/>
    </row>
    <row r="515" spans="3:14" s="12" customFormat="1">
      <c r="C515" s="90" t="s">
        <v>1106</v>
      </c>
      <c r="D515" s="140"/>
      <c r="E515" s="118" t="s">
        <v>31</v>
      </c>
      <c r="F515" s="90" t="s">
        <v>17</v>
      </c>
      <c r="G515" s="91">
        <v>0</v>
      </c>
      <c r="H515" s="90" t="s">
        <v>17</v>
      </c>
      <c r="I515" s="90">
        <f t="shared" si="79"/>
        <v>0</v>
      </c>
      <c r="J515" s="92">
        <f t="shared" si="80"/>
        <v>0</v>
      </c>
      <c r="K515" s="134" t="s">
        <v>131</v>
      </c>
      <c r="L515" s="132"/>
      <c r="M515" s="135"/>
      <c r="N515" s="58"/>
    </row>
    <row r="516" spans="3:14" s="12" customFormat="1">
      <c r="C516" s="90" t="s">
        <v>1107</v>
      </c>
      <c r="D516" s="140"/>
      <c r="E516" s="118" t="s">
        <v>462</v>
      </c>
      <c r="F516" s="90" t="s">
        <v>17</v>
      </c>
      <c r="G516" s="91">
        <v>0</v>
      </c>
      <c r="H516" s="90" t="s">
        <v>17</v>
      </c>
      <c r="I516" s="90">
        <f t="shared" si="79"/>
        <v>0</v>
      </c>
      <c r="J516" s="92">
        <f t="shared" si="80"/>
        <v>0</v>
      </c>
      <c r="K516" s="136" t="s">
        <v>132</v>
      </c>
      <c r="L516" s="137"/>
      <c r="M516" s="138"/>
      <c r="N516" s="58"/>
    </row>
    <row r="517" spans="3:14" s="12" customFormat="1">
      <c r="C517" s="90" t="s">
        <v>1108</v>
      </c>
      <c r="D517" s="140"/>
      <c r="E517" s="118" t="s">
        <v>110</v>
      </c>
      <c r="F517" s="90" t="s">
        <v>17</v>
      </c>
      <c r="G517" s="91">
        <v>0</v>
      </c>
      <c r="H517" s="90" t="s">
        <v>17</v>
      </c>
      <c r="I517" s="90">
        <f t="shared" si="79"/>
        <v>0</v>
      </c>
      <c r="J517" s="92">
        <f t="shared" si="80"/>
        <v>0</v>
      </c>
      <c r="K517" s="58"/>
    </row>
    <row r="518" spans="3:14" s="12" customFormat="1">
      <c r="C518" s="90" t="s">
        <v>1109</v>
      </c>
      <c r="D518" s="141"/>
      <c r="E518" s="118" t="s">
        <v>30</v>
      </c>
      <c r="F518" s="90" t="s">
        <v>17</v>
      </c>
      <c r="G518" s="91">
        <v>0</v>
      </c>
      <c r="H518" s="90" t="s">
        <v>17</v>
      </c>
      <c r="I518" s="90">
        <f t="shared" si="79"/>
        <v>0</v>
      </c>
      <c r="J518" s="92">
        <f t="shared" si="80"/>
        <v>0</v>
      </c>
    </row>
    <row r="519" spans="3:14" s="12" customFormat="1">
      <c r="C519" s="21"/>
    </row>
    <row r="520" spans="3:14" s="12" customFormat="1"/>
    <row r="521" spans="3:14" s="12" customFormat="1"/>
    <row r="522" spans="3:14" s="12" customFormat="1">
      <c r="H522" s="89"/>
    </row>
    <row r="523" spans="3:14" s="12" customFormat="1">
      <c r="G523" s="44"/>
      <c r="H523" s="44"/>
      <c r="I523" s="44"/>
      <c r="J523" s="44"/>
    </row>
    <row r="524" spans="3:14" s="12" customFormat="1">
      <c r="G524" s="58"/>
      <c r="H524" s="58"/>
      <c r="I524" s="58"/>
      <c r="J524" s="58"/>
    </row>
    <row r="525" spans="3:14" s="12" customFormat="1">
      <c r="C525" s="58"/>
      <c r="D525" s="58"/>
      <c r="E525" s="44" t="s">
        <v>37</v>
      </c>
      <c r="F525" s="44"/>
      <c r="G525" s="58"/>
      <c r="H525" s="58"/>
      <c r="I525" s="58"/>
      <c r="J525" s="58"/>
    </row>
    <row r="526" spans="3:14" s="12" customFormat="1">
      <c r="C526" s="58"/>
      <c r="D526" s="58"/>
      <c r="E526" s="44" t="s">
        <v>0</v>
      </c>
      <c r="F526" s="44"/>
      <c r="G526" s="58"/>
      <c r="H526" s="58"/>
      <c r="I526" s="58"/>
      <c r="J526" s="58"/>
    </row>
    <row r="527" spans="3:14" s="12" customFormat="1">
      <c r="C527" s="58"/>
      <c r="D527" s="58"/>
      <c r="E527" s="44" t="s">
        <v>46</v>
      </c>
      <c r="F527" s="44"/>
      <c r="G527" s="58"/>
      <c r="H527" s="58"/>
      <c r="I527" s="58"/>
      <c r="J527" s="58"/>
    </row>
    <row r="528" spans="3:14" s="12" customFormat="1">
      <c r="C528" s="58"/>
      <c r="D528" s="58"/>
      <c r="E528" s="44" t="s">
        <v>125</v>
      </c>
      <c r="F528" s="44"/>
    </row>
    <row r="529" spans="3:12" s="12" customFormat="1">
      <c r="C529" s="58"/>
      <c r="D529" s="58"/>
      <c r="E529" s="44" t="s">
        <v>1</v>
      </c>
      <c r="F529" s="44"/>
    </row>
    <row r="530" spans="3:12" s="12" customFormat="1">
      <c r="E530" s="67"/>
      <c r="F530" s="67"/>
      <c r="K530" s="44"/>
      <c r="L530" s="44"/>
    </row>
    <row r="531" spans="3:12" s="12" customFormat="1">
      <c r="K531" s="58"/>
      <c r="L531" s="58"/>
    </row>
    <row r="532" spans="3:12" s="12" customFormat="1">
      <c r="K532" s="58"/>
      <c r="L532" s="58"/>
    </row>
    <row r="533" spans="3:12" s="12" customFormat="1">
      <c r="K533" s="58"/>
      <c r="L533" s="58"/>
    </row>
    <row r="534" spans="3:12" s="12" customFormat="1">
      <c r="K534" s="58"/>
      <c r="L534" s="58"/>
    </row>
    <row r="535" spans="3:12" s="12" customFormat="1"/>
    <row r="536" spans="3:12" s="12" customFormat="1"/>
    <row r="537" spans="3:12" s="12" customFormat="1"/>
    <row r="538" spans="3:12" s="12" customFormat="1"/>
    <row r="539" spans="3:12" s="12" customFormat="1"/>
    <row r="540" spans="3:12" s="12" customFormat="1"/>
    <row r="541" spans="3:12" s="12" customFormat="1"/>
    <row r="542" spans="3:12" s="12" customFormat="1"/>
    <row r="543" spans="3:12" s="12" customFormat="1"/>
    <row r="544" spans="3:12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pans="3:12" s="12" customFormat="1"/>
    <row r="626" spans="3:12" s="12" customFormat="1"/>
    <row r="627" spans="3:12" s="12" customFormat="1"/>
    <row r="628" spans="3:12" s="12" customFormat="1"/>
    <row r="629" spans="3:12" s="12" customFormat="1"/>
    <row r="630" spans="3:12" s="12" customFormat="1"/>
    <row r="631" spans="3:12" s="12" customFormat="1"/>
    <row r="632" spans="3:12" s="12" customFormat="1"/>
    <row r="633" spans="3:12" s="12" customFormat="1"/>
    <row r="634" spans="3:12" s="12" customFormat="1"/>
    <row r="635" spans="3:12"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spans="3:12"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spans="3:12"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spans="3:12"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spans="3:12"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spans="3:12"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spans="3:12"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spans="3:12"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spans="3:12"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spans="3:12">
      <c r="C644" s="12"/>
      <c r="D644" s="12"/>
      <c r="E644" s="12"/>
      <c r="F644" s="12"/>
      <c r="K644" s="12"/>
      <c r="L644" s="12"/>
    </row>
    <row r="645" spans="3:12">
      <c r="C645" s="12"/>
      <c r="D645" s="12"/>
      <c r="E645" s="12"/>
      <c r="F645" s="12"/>
      <c r="K645" s="12"/>
      <c r="L645" s="12"/>
    </row>
    <row r="646" spans="3:12">
      <c r="K646" s="12"/>
      <c r="L646" s="12"/>
    </row>
    <row r="647" spans="3:12">
      <c r="K647" s="12"/>
      <c r="L647" s="12"/>
    </row>
    <row r="648" spans="3:12">
      <c r="K648" s="12"/>
      <c r="L648" s="12"/>
    </row>
    <row r="649" spans="3:12">
      <c r="K649" s="12"/>
      <c r="L649" s="12"/>
    </row>
    <row r="650" spans="3:12">
      <c r="K650" s="12"/>
      <c r="L650" s="12"/>
    </row>
    <row r="651" spans="3:12">
      <c r="K651" s="12"/>
      <c r="L651" s="12"/>
    </row>
  </sheetData>
  <mergeCells count="115">
    <mergeCell ref="F13:H13"/>
    <mergeCell ref="F14:H14"/>
    <mergeCell ref="F15:H15"/>
    <mergeCell ref="F16:H16"/>
    <mergeCell ref="F17:H17"/>
    <mergeCell ref="F18:H18"/>
    <mergeCell ref="D158:D160"/>
    <mergeCell ref="D155:D157"/>
    <mergeCell ref="D254:D255"/>
    <mergeCell ref="D115:D119"/>
    <mergeCell ref="D120:D122"/>
    <mergeCell ref="D123:D130"/>
    <mergeCell ref="D152:D154"/>
    <mergeCell ref="D162:D167"/>
    <mergeCell ref="D168:D170"/>
    <mergeCell ref="D171:D173"/>
    <mergeCell ref="D174:D176"/>
    <mergeCell ref="D180:D182"/>
    <mergeCell ref="D183:D185"/>
    <mergeCell ref="D131:D136"/>
    <mergeCell ref="D137:D139"/>
    <mergeCell ref="D140:D142"/>
    <mergeCell ref="D189:D192"/>
    <mergeCell ref="D71:D73"/>
    <mergeCell ref="G508:H508"/>
    <mergeCell ref="F21:H21"/>
    <mergeCell ref="F22:H22"/>
    <mergeCell ref="D146:D148"/>
    <mergeCell ref="D143:D145"/>
    <mergeCell ref="D35:D36"/>
    <mergeCell ref="D88:D91"/>
    <mergeCell ref="F20:H20"/>
    <mergeCell ref="H23:J23"/>
    <mergeCell ref="D256:D257"/>
    <mergeCell ref="D271:D295"/>
    <mergeCell ref="D85:D87"/>
    <mergeCell ref="D68:D70"/>
    <mergeCell ref="D74:D77"/>
    <mergeCell ref="D149:D151"/>
    <mergeCell ref="C446:J446"/>
    <mergeCell ref="C269:J269"/>
    <mergeCell ref="E268:H268"/>
    <mergeCell ref="B193:J193"/>
    <mergeCell ref="B210:J210"/>
    <mergeCell ref="D194:D199"/>
    <mergeCell ref="D200:D205"/>
    <mergeCell ref="D206:D209"/>
    <mergeCell ref="D37:D38"/>
    <mergeCell ref="D39:D40"/>
    <mergeCell ref="B52:J52"/>
    <mergeCell ref="B30:J30"/>
    <mergeCell ref="B41:J41"/>
    <mergeCell ref="D53:D64"/>
    <mergeCell ref="D42:D47"/>
    <mergeCell ref="D48:D51"/>
    <mergeCell ref="B96:J96"/>
    <mergeCell ref="D78:D81"/>
    <mergeCell ref="D92:D95"/>
    <mergeCell ref="D97:D108"/>
    <mergeCell ref="D109:D114"/>
    <mergeCell ref="B161:J161"/>
    <mergeCell ref="B247:J247"/>
    <mergeCell ref="D211:D213"/>
    <mergeCell ref="D214:D216"/>
    <mergeCell ref="D219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1"/>
    <mergeCell ref="D242:D246"/>
    <mergeCell ref="D473:D477"/>
    <mergeCell ref="D483:D487"/>
    <mergeCell ref="D401:D410"/>
    <mergeCell ref="D326:D340"/>
    <mergeCell ref="D371:D380"/>
    <mergeCell ref="D311:D325"/>
    <mergeCell ref="D381:D400"/>
    <mergeCell ref="D411:D420"/>
    <mergeCell ref="D248:D249"/>
    <mergeCell ref="D250:D251"/>
    <mergeCell ref="D252:D253"/>
    <mergeCell ref="D258:D259"/>
    <mergeCell ref="D260:D261"/>
    <mergeCell ref="D262:D263"/>
    <mergeCell ref="D264:D265"/>
    <mergeCell ref="D266:D267"/>
    <mergeCell ref="D488:D492"/>
    <mergeCell ref="D503:D507"/>
    <mergeCell ref="D513:D518"/>
    <mergeCell ref="D31:D32"/>
    <mergeCell ref="D33:D34"/>
    <mergeCell ref="D82:D84"/>
    <mergeCell ref="D177:D179"/>
    <mergeCell ref="D186:D188"/>
    <mergeCell ref="D217:D218"/>
    <mergeCell ref="D296:D310"/>
    <mergeCell ref="D341:D350"/>
    <mergeCell ref="D351:D370"/>
    <mergeCell ref="D421:D425"/>
    <mergeCell ref="D426:D430"/>
    <mergeCell ref="D448:D452"/>
    <mergeCell ref="D458:D462"/>
    <mergeCell ref="D493:D497"/>
    <mergeCell ref="D498:D502"/>
    <mergeCell ref="D65:D67"/>
    <mergeCell ref="D431:D445"/>
    <mergeCell ref="D453:D457"/>
    <mergeCell ref="D463:D467"/>
    <mergeCell ref="D468:D472"/>
    <mergeCell ref="D478:D482"/>
  </mergeCells>
  <phoneticPr fontId="22" type="noConversion"/>
  <dataValidations count="1">
    <dataValidation type="textLength" operator="equal" allowBlank="1" showInputMessage="1" showErrorMessage="1" promptTitle="no action needed" prompt="prefilled data - no action needed" sqref="B42:B51 B31:B40 B53:B95 B162:B192 B97:B160 B211:B246 B194:B209 B248:B267 B271:B445 B448:B507" xr:uid="{16B4FEEC-E413-0845-8189-FBAE4BA9FB15}">
      <formula1>14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DF20-3840-B446-8AC3-B4EA25F7075F}">
  <dimension ref="B1:J43"/>
  <sheetViews>
    <sheetView showGridLines="0" zoomScaleNormal="100" workbookViewId="0">
      <selection activeCell="B16" sqref="B16"/>
    </sheetView>
  </sheetViews>
  <sheetFormatPr baseColWidth="10" defaultRowHeight="16"/>
  <cols>
    <col min="1" max="1" width="4.33203125" customWidth="1"/>
    <col min="2" max="2" width="123.6640625" bestFit="1" customWidth="1"/>
    <col min="3" max="3" width="13.5" bestFit="1" customWidth="1"/>
  </cols>
  <sheetData>
    <row r="1" spans="2:10">
      <c r="B1" s="188" t="s">
        <v>137</v>
      </c>
      <c r="C1" s="97" t="s">
        <v>134</v>
      </c>
      <c r="D1" s="98" t="s">
        <v>135</v>
      </c>
    </row>
    <row r="2" spans="2:10">
      <c r="B2" s="101" t="s">
        <v>1217</v>
      </c>
      <c r="C2" s="99" t="s">
        <v>140</v>
      </c>
      <c r="D2" s="100">
        <v>0.02</v>
      </c>
    </row>
    <row r="3" spans="2:10">
      <c r="B3" s="102" t="s">
        <v>1220</v>
      </c>
      <c r="C3" s="99" t="s">
        <v>139</v>
      </c>
      <c r="D3" s="100">
        <v>0.03</v>
      </c>
    </row>
    <row r="4" spans="2:10">
      <c r="B4" s="103" t="s">
        <v>136</v>
      </c>
      <c r="C4" s="99" t="s">
        <v>138</v>
      </c>
      <c r="D4" s="100">
        <v>0.04</v>
      </c>
    </row>
    <row r="6" spans="2:10" ht="19">
      <c r="B6" s="182" t="s">
        <v>73</v>
      </c>
      <c r="C6" s="183"/>
      <c r="D6" s="184"/>
    </row>
    <row r="7" spans="2:10" ht="19">
      <c r="B7" s="23" t="s">
        <v>74</v>
      </c>
      <c r="C7" s="24"/>
      <c r="D7" s="25"/>
    </row>
    <row r="8" spans="2:10" ht="19">
      <c r="B8" s="23" t="s">
        <v>75</v>
      </c>
      <c r="C8" s="24"/>
      <c r="D8" s="25"/>
      <c r="E8" s="22"/>
      <c r="F8" s="22"/>
      <c r="G8" s="22"/>
      <c r="H8" s="22"/>
      <c r="I8" s="22"/>
      <c r="J8" s="22"/>
    </row>
    <row r="9" spans="2:10" ht="19">
      <c r="B9" s="23" t="s">
        <v>76</v>
      </c>
      <c r="C9" s="24"/>
      <c r="D9" s="25"/>
      <c r="E9" s="22"/>
      <c r="F9" s="22"/>
      <c r="G9" s="22"/>
      <c r="H9" s="22"/>
      <c r="I9" s="22"/>
      <c r="J9" s="22"/>
    </row>
    <row r="10" spans="2:10" ht="19">
      <c r="B10" s="23" t="s">
        <v>77</v>
      </c>
      <c r="C10" s="24"/>
      <c r="D10" s="25"/>
      <c r="E10" s="22"/>
      <c r="F10" s="22"/>
      <c r="G10" s="22"/>
      <c r="H10" s="22"/>
      <c r="I10" s="22"/>
      <c r="J10" s="22"/>
    </row>
    <row r="11" spans="2:10" ht="19">
      <c r="B11" s="23" t="s">
        <v>78</v>
      </c>
      <c r="C11" s="24"/>
      <c r="D11" s="25"/>
      <c r="E11" s="22"/>
      <c r="F11" s="22"/>
      <c r="G11" s="22"/>
      <c r="H11" s="22"/>
      <c r="I11" s="22"/>
      <c r="J11" s="22"/>
    </row>
    <row r="12" spans="2:10" ht="19">
      <c r="B12" s="23" t="s">
        <v>79</v>
      </c>
      <c r="C12" s="24"/>
      <c r="D12" s="25"/>
      <c r="E12" s="22"/>
      <c r="F12" s="22"/>
      <c r="G12" s="22"/>
      <c r="H12" s="22"/>
      <c r="I12" s="22"/>
      <c r="J12" s="22"/>
    </row>
    <row r="13" spans="2:10" ht="19">
      <c r="B13" s="23" t="s">
        <v>80</v>
      </c>
      <c r="C13" s="24"/>
      <c r="D13" s="25"/>
      <c r="E13" s="22"/>
      <c r="F13" s="22"/>
      <c r="G13" s="22"/>
      <c r="H13" s="22"/>
      <c r="I13" s="22"/>
      <c r="J13" s="22"/>
    </row>
    <row r="14" spans="2:10" ht="19">
      <c r="B14" s="23" t="s">
        <v>81</v>
      </c>
      <c r="C14" s="24"/>
      <c r="D14" s="25"/>
      <c r="E14" s="22"/>
      <c r="F14" s="22"/>
      <c r="G14" s="22"/>
      <c r="H14" s="22"/>
      <c r="I14" s="22"/>
      <c r="J14" s="22"/>
    </row>
    <row r="15" spans="2:10" ht="19">
      <c r="B15" s="23" t="s">
        <v>82</v>
      </c>
      <c r="C15" s="24"/>
      <c r="D15" s="25"/>
      <c r="E15" s="22"/>
      <c r="F15" s="22"/>
      <c r="G15" s="22"/>
      <c r="H15" s="22"/>
      <c r="I15" s="22"/>
      <c r="J15" s="22"/>
    </row>
    <row r="16" spans="2:10" ht="19">
      <c r="B16" s="23" t="s">
        <v>83</v>
      </c>
      <c r="C16" s="24"/>
      <c r="D16" s="25"/>
      <c r="E16" s="22"/>
      <c r="F16" s="22"/>
      <c r="G16" s="22"/>
      <c r="H16" s="22"/>
      <c r="I16" s="22"/>
      <c r="J16" s="22"/>
    </row>
    <row r="17" spans="2:10" ht="19">
      <c r="B17" s="23" t="s">
        <v>84</v>
      </c>
      <c r="C17" s="24"/>
      <c r="D17" s="25"/>
      <c r="E17" s="22"/>
      <c r="F17" s="22"/>
      <c r="G17" s="22"/>
      <c r="H17" s="22"/>
      <c r="I17" s="22"/>
      <c r="J17" s="22"/>
    </row>
    <row r="18" spans="2:10" ht="19">
      <c r="B18" s="23" t="s">
        <v>1221</v>
      </c>
      <c r="C18" s="24"/>
      <c r="D18" s="25"/>
      <c r="E18" s="22"/>
      <c r="F18" s="22"/>
      <c r="G18" s="22"/>
      <c r="H18" s="22"/>
      <c r="I18" s="22"/>
      <c r="J18" s="22"/>
    </row>
    <row r="19" spans="2:10" ht="19">
      <c r="B19" s="23" t="s">
        <v>85</v>
      </c>
      <c r="C19" s="24"/>
      <c r="D19" s="25"/>
      <c r="E19" s="22"/>
      <c r="F19" s="22"/>
      <c r="G19" s="22"/>
      <c r="H19" s="22"/>
      <c r="I19" s="22"/>
      <c r="J19" s="22"/>
    </row>
    <row r="20" spans="2:10" ht="19">
      <c r="B20" s="23" t="s">
        <v>86</v>
      </c>
      <c r="C20" s="24"/>
      <c r="D20" s="25"/>
      <c r="E20" s="22"/>
      <c r="F20" s="22"/>
      <c r="G20" s="22"/>
      <c r="H20" s="22"/>
      <c r="I20" s="22"/>
      <c r="J20" s="22"/>
    </row>
    <row r="21" spans="2:10" ht="19">
      <c r="B21" s="23" t="s">
        <v>87</v>
      </c>
      <c r="C21" s="24"/>
      <c r="D21" s="25"/>
      <c r="E21" s="22"/>
      <c r="F21" s="22"/>
      <c r="G21" s="22"/>
      <c r="H21" s="22"/>
      <c r="I21" s="22"/>
      <c r="J21" s="22"/>
    </row>
    <row r="22" spans="2:10" ht="19">
      <c r="B22" s="26" t="s">
        <v>88</v>
      </c>
      <c r="C22" s="27"/>
      <c r="D22" s="28"/>
      <c r="E22" s="22"/>
      <c r="F22" s="22"/>
      <c r="G22" s="22"/>
      <c r="H22" s="22"/>
      <c r="I22" s="22"/>
      <c r="J22" s="22"/>
    </row>
    <row r="23" spans="2:10" ht="19">
      <c r="B23" s="29"/>
      <c r="C23" s="30"/>
      <c r="D23" s="30"/>
      <c r="E23" s="22"/>
      <c r="F23" s="22"/>
      <c r="G23" s="22"/>
      <c r="H23" s="22"/>
      <c r="I23" s="22"/>
      <c r="J23" s="22"/>
    </row>
    <row r="24" spans="2:10" ht="19">
      <c r="B24" s="182" t="s">
        <v>89</v>
      </c>
      <c r="C24" s="183"/>
      <c r="D24" s="184"/>
      <c r="E24" s="22"/>
      <c r="F24" s="22"/>
      <c r="G24" s="22"/>
      <c r="H24" s="22"/>
      <c r="I24" s="22"/>
      <c r="J24" s="22"/>
    </row>
    <row r="25" spans="2:10" ht="19">
      <c r="B25" s="31" t="s">
        <v>90</v>
      </c>
      <c r="C25" s="30"/>
      <c r="D25" s="32"/>
      <c r="E25" s="22"/>
      <c r="F25" s="22"/>
      <c r="G25" s="22"/>
      <c r="H25" s="22"/>
      <c r="I25" s="22"/>
      <c r="J25" s="22"/>
    </row>
    <row r="26" spans="2:10" ht="19">
      <c r="B26" s="31" t="s">
        <v>1218</v>
      </c>
      <c r="C26" s="30"/>
      <c r="D26" s="32"/>
      <c r="E26" s="22"/>
      <c r="F26" s="22"/>
      <c r="G26" s="22"/>
      <c r="H26" s="22"/>
      <c r="I26" s="22"/>
      <c r="J26" s="22"/>
    </row>
    <row r="27" spans="2:10" ht="19">
      <c r="B27" s="31" t="s">
        <v>91</v>
      </c>
      <c r="C27" s="30"/>
      <c r="D27" s="32"/>
      <c r="E27" s="22"/>
      <c r="F27" s="22"/>
      <c r="G27" s="22"/>
      <c r="H27" s="22"/>
      <c r="I27" s="22"/>
      <c r="J27" s="22"/>
    </row>
    <row r="28" spans="2:10" ht="19">
      <c r="B28" s="23" t="s">
        <v>92</v>
      </c>
      <c r="C28" s="24"/>
      <c r="D28" s="25"/>
      <c r="E28" s="22"/>
      <c r="F28" s="22"/>
      <c r="G28" s="22"/>
      <c r="H28" s="22"/>
      <c r="I28" s="22"/>
      <c r="J28" s="22"/>
    </row>
    <row r="29" spans="2:10" ht="19">
      <c r="B29" s="31" t="s">
        <v>93</v>
      </c>
      <c r="C29" s="30"/>
      <c r="D29" s="32"/>
      <c r="E29" s="22"/>
      <c r="F29" s="22"/>
      <c r="G29" s="22"/>
      <c r="H29" s="22"/>
      <c r="I29" s="22"/>
      <c r="J29" s="22"/>
    </row>
    <row r="30" spans="2:10" ht="19">
      <c r="B30" s="33" t="s">
        <v>94</v>
      </c>
      <c r="C30" s="34"/>
      <c r="D30" s="35"/>
      <c r="E30" s="22"/>
      <c r="F30" s="22"/>
      <c r="G30" s="22"/>
      <c r="H30" s="22"/>
      <c r="I30" s="22"/>
      <c r="J30" s="22"/>
    </row>
    <row r="31" spans="2:10" ht="19">
      <c r="B31" s="29"/>
      <c r="C31" s="30"/>
      <c r="D31" s="30"/>
      <c r="E31" s="22"/>
      <c r="F31" s="22"/>
      <c r="G31" s="22"/>
      <c r="H31" s="22"/>
      <c r="I31" s="22"/>
      <c r="J31" s="22"/>
    </row>
    <row r="32" spans="2:10" ht="19">
      <c r="B32" s="182" t="s">
        <v>95</v>
      </c>
      <c r="C32" s="183"/>
      <c r="D32" s="184"/>
      <c r="E32" s="22"/>
      <c r="F32" s="22"/>
      <c r="G32" s="22"/>
      <c r="H32" s="22"/>
      <c r="I32" s="22"/>
      <c r="J32" s="22"/>
    </row>
    <row r="33" spans="2:10" ht="19">
      <c r="B33" s="31" t="s">
        <v>96</v>
      </c>
      <c r="C33" s="30"/>
      <c r="D33" s="32"/>
      <c r="E33" s="22"/>
      <c r="F33" s="22"/>
      <c r="G33" s="22"/>
      <c r="H33" s="22"/>
      <c r="I33" s="22"/>
      <c r="J33" s="22"/>
    </row>
    <row r="34" spans="2:10" ht="19">
      <c r="B34" s="31" t="s">
        <v>1219</v>
      </c>
      <c r="C34" s="30"/>
      <c r="D34" s="32"/>
      <c r="E34" s="22"/>
      <c r="F34" s="22"/>
      <c r="G34" s="22"/>
      <c r="H34" s="22"/>
      <c r="I34" s="22"/>
      <c r="J34" s="22"/>
    </row>
    <row r="35" spans="2:10" ht="19">
      <c r="B35" s="31" t="s">
        <v>97</v>
      </c>
      <c r="C35" s="30"/>
      <c r="D35" s="32"/>
      <c r="E35" s="22"/>
      <c r="F35" s="22"/>
      <c r="G35" s="22"/>
      <c r="H35" s="22"/>
      <c r="I35" s="22"/>
      <c r="J35" s="22"/>
    </row>
    <row r="36" spans="2:10" ht="19">
      <c r="B36" s="31" t="s">
        <v>98</v>
      </c>
      <c r="C36" s="30"/>
      <c r="D36" s="32"/>
      <c r="E36" s="22"/>
      <c r="F36" s="22"/>
      <c r="G36" s="22"/>
      <c r="H36" s="22"/>
      <c r="I36" s="22"/>
      <c r="J36" s="22"/>
    </row>
    <row r="37" spans="2:10" ht="19">
      <c r="B37" s="33" t="s">
        <v>99</v>
      </c>
      <c r="C37" s="34"/>
      <c r="D37" s="35"/>
      <c r="E37" s="22"/>
      <c r="F37" s="22"/>
      <c r="G37" s="22"/>
      <c r="H37" s="22"/>
      <c r="I37" s="22"/>
      <c r="J37" s="22"/>
    </row>
    <row r="38" spans="2:10" ht="20" thickBot="1">
      <c r="B38" s="36"/>
      <c r="C38" s="34"/>
      <c r="D38" s="34"/>
      <c r="E38" s="22"/>
      <c r="F38" s="22"/>
      <c r="G38" s="22"/>
      <c r="H38" s="22"/>
      <c r="I38" s="22"/>
      <c r="J38" s="22"/>
    </row>
    <row r="39" spans="2:10" ht="19">
      <c r="B39" s="185" t="s">
        <v>100</v>
      </c>
      <c r="C39" s="186"/>
      <c r="D39" s="187"/>
      <c r="E39" s="22"/>
      <c r="F39" s="22"/>
      <c r="G39" s="22"/>
      <c r="H39" s="22"/>
      <c r="I39" s="22"/>
      <c r="J39" s="22"/>
    </row>
    <row r="40" spans="2:10" ht="19">
      <c r="B40" s="33" t="s">
        <v>101</v>
      </c>
      <c r="C40" s="34"/>
      <c r="D40" s="35"/>
      <c r="E40" s="22"/>
      <c r="F40" s="22"/>
      <c r="G40" s="22"/>
      <c r="H40" s="22"/>
      <c r="I40" s="22"/>
      <c r="J40" s="22"/>
    </row>
    <row r="41" spans="2:10" ht="19">
      <c r="B41" s="37" t="s">
        <v>102</v>
      </c>
      <c r="C41" s="38"/>
      <c r="D41" s="38"/>
      <c r="E41" s="22"/>
      <c r="F41" s="22"/>
      <c r="G41" s="22"/>
      <c r="H41" s="22"/>
      <c r="I41" s="22"/>
      <c r="J41" s="22"/>
    </row>
    <row r="42" spans="2:10" ht="19">
      <c r="E42" s="22"/>
      <c r="F42" s="22"/>
      <c r="G42" s="22"/>
      <c r="H42" s="22"/>
      <c r="I42" s="22"/>
      <c r="J42" s="22"/>
    </row>
    <row r="43" spans="2:10" ht="19">
      <c r="E43" s="22"/>
      <c r="F43" s="22"/>
      <c r="G43" s="22"/>
      <c r="H43" s="22"/>
      <c r="I43" s="22"/>
      <c r="J43" s="22"/>
    </row>
  </sheetData>
  <mergeCells count="4">
    <mergeCell ref="B6:D6"/>
    <mergeCell ref="B24:D24"/>
    <mergeCell ref="B32:D32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Alband</dc:creator>
  <cp:lastModifiedBy>jeffrey richards</cp:lastModifiedBy>
  <dcterms:created xsi:type="dcterms:W3CDTF">2020-09-18T18:37:43Z</dcterms:created>
  <dcterms:modified xsi:type="dcterms:W3CDTF">2023-12-12T20:11:18Z</dcterms:modified>
</cp:coreProperties>
</file>
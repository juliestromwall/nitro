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1"/>
  <workbookPr autoCompressPictures="0"/>
  <mc:AlternateContent xmlns:mc="http://schemas.openxmlformats.org/markup-compatibility/2006">
    <mc:Choice Requires="x15">
      <x15ac:absPath xmlns:x15ac="http://schemas.microsoft.com/office/spreadsheetml/2010/11/ac" url="/Users/cait/Desktop/2023/Usa/Eivy/"/>
    </mc:Choice>
  </mc:AlternateContent>
  <xr:revisionPtr revIDLastSave="0" documentId="8_{B5B66A3F-0E15-134A-A56B-F5C9E9524352}" xr6:coauthVersionLast="47" xr6:coauthVersionMax="47" xr10:uidLastSave="{00000000-0000-0000-0000-000000000000}"/>
  <bookViews>
    <workbookView xWindow="0" yWindow="500" windowWidth="28800" windowHeight="16020" activeTab="1" xr2:uid="{00000000-000D-0000-FFFF-FFFF00000000}"/>
  </bookViews>
  <sheets>
    <sheet name="Summary" sheetId="4" r:id="rId1"/>
    <sheet name="Policy" sheetId="3" r:id="rId2"/>
    <sheet name="Eivy 22-23 Drop One" sheetId="1" r:id="rId3"/>
    <sheet name="Eivy 22-23 Drop Two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335" i="2" l="1"/>
  <c r="I336" i="2"/>
  <c r="I337" i="2"/>
  <c r="I338" i="2"/>
  <c r="I339" i="2"/>
  <c r="I340" i="2"/>
  <c r="I341" i="2"/>
  <c r="I24" i="1"/>
  <c r="I25" i="1"/>
  <c r="I26" i="1"/>
  <c r="I27" i="1"/>
  <c r="I28" i="1"/>
  <c r="I29" i="1"/>
  <c r="I30" i="1"/>
  <c r="I31" i="1"/>
  <c r="H465" i="2"/>
  <c r="H311" i="2"/>
  <c r="H286" i="2"/>
  <c r="H213" i="2"/>
  <c r="I314" i="2"/>
  <c r="H562" i="1"/>
  <c r="H496" i="1"/>
  <c r="H339" i="1"/>
  <c r="I459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60" i="2"/>
  <c r="I461" i="2"/>
  <c r="I462" i="2"/>
  <c r="I463" i="2"/>
  <c r="I464" i="2"/>
  <c r="I3" i="2"/>
  <c r="I213" i="2" l="1"/>
  <c r="C24" i="4" s="1"/>
  <c r="I286" i="2"/>
  <c r="E24" i="4" s="1"/>
  <c r="I311" i="2"/>
  <c r="F24" i="4" s="1"/>
  <c r="I465" i="2"/>
  <c r="C27" i="4" s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3" i="1"/>
  <c r="I339" i="1" l="1"/>
  <c r="C17" i="4" s="1"/>
  <c r="G26" i="4"/>
  <c r="I562" i="1"/>
  <c r="F17" i="4" s="1"/>
  <c r="I496" i="1"/>
  <c r="E17" i="4" s="1"/>
  <c r="G19" i="4" l="1"/>
  <c r="G30" i="4" s="1"/>
</calcChain>
</file>

<file path=xl/sharedStrings.xml><?xml version="1.0" encoding="utf-8"?>
<sst xmlns="http://schemas.openxmlformats.org/spreadsheetml/2006/main" count="5004" uniqueCount="1745">
  <si>
    <t>Black</t>
  </si>
  <si>
    <t>Color</t>
  </si>
  <si>
    <t>EAN</t>
  </si>
  <si>
    <t>Size</t>
  </si>
  <si>
    <t>Name</t>
  </si>
  <si>
    <t>Code</t>
  </si>
  <si>
    <t>Leopard</t>
  </si>
  <si>
    <t>36-38</t>
  </si>
  <si>
    <t>39-41</t>
  </si>
  <si>
    <t>Wine</t>
  </si>
  <si>
    <t>Redwood Sherpa Jacket</t>
  </si>
  <si>
    <t>Mountain Fleece</t>
  </si>
  <si>
    <t>Icecold Top</t>
  </si>
  <si>
    <t>Icecold Tights</t>
  </si>
  <si>
    <t>Icecold Hood Top</t>
  </si>
  <si>
    <t>Offwhite</t>
  </si>
  <si>
    <t>Icecold Gaiter Top</t>
  </si>
  <si>
    <t>Forest Green</t>
  </si>
  <si>
    <t>Bloom</t>
  </si>
  <si>
    <t>Icecold Hoodie Top</t>
  </si>
  <si>
    <t>Autumn Bloom</t>
  </si>
  <si>
    <t>Icecold Zip Hood Top</t>
  </si>
  <si>
    <t>Grey Melange</t>
  </si>
  <si>
    <t>Redwood Sherpa Coat</t>
  </si>
  <si>
    <t>XS</t>
  </si>
  <si>
    <t>S</t>
  </si>
  <si>
    <t>M</t>
  </si>
  <si>
    <t>L</t>
  </si>
  <si>
    <t>XL</t>
  </si>
  <si>
    <t>Peg Cropped Fleece</t>
  </si>
  <si>
    <t>Cheerleader Wool Socks</t>
  </si>
  <si>
    <t>Raspberry</t>
  </si>
  <si>
    <t>Watcher Beanie</t>
  </si>
  <si>
    <t>Rust</t>
  </si>
  <si>
    <t>Team Black</t>
  </si>
  <si>
    <t>XXL</t>
  </si>
  <si>
    <t>Rider Sports Bra</t>
  </si>
  <si>
    <t>Team Leopard</t>
  </si>
  <si>
    <t>Harlem Travel Pants</t>
  </si>
  <si>
    <t>Snow Leopard</t>
  </si>
  <si>
    <t>Winter Blossom</t>
  </si>
  <si>
    <t>Cheetah</t>
  </si>
  <si>
    <t>Winter Bloom</t>
  </si>
  <si>
    <t>Ivy Blossom</t>
  </si>
  <si>
    <t>Venture Rib Top</t>
  </si>
  <si>
    <t>Harlem Rib Travel Pants</t>
  </si>
  <si>
    <t>Ball Fleece</t>
  </si>
  <si>
    <t>Lumberjackie Sherpa Vest</t>
  </si>
  <si>
    <t xml:space="preserve">Cheerleader Over Knee Wool Socks </t>
  </si>
  <si>
    <t>Colder Neckwarmer</t>
  </si>
  <si>
    <t>Tubular Fleece Neckwarmer</t>
  </si>
  <si>
    <t>Hinge Balaclava</t>
  </si>
  <si>
    <t>Mandy Fleece Balaclava</t>
  </si>
  <si>
    <t>Mandy Sherpa Balaclava</t>
  </si>
  <si>
    <t>League Beanie</t>
  </si>
  <si>
    <t>OS</t>
  </si>
  <si>
    <t>Icecold Rib Top</t>
  </si>
  <si>
    <t>Faded Amber</t>
  </si>
  <si>
    <t>Icecold Rib Tights</t>
  </si>
  <si>
    <t>Rider Rib Sports Bra</t>
  </si>
  <si>
    <t>Faded Cloud</t>
  </si>
  <si>
    <t>Faded Oak</t>
  </si>
  <si>
    <t>Faded Woodrose</t>
  </si>
  <si>
    <t>Icecold Gaiter Rib Top</t>
  </si>
  <si>
    <t>Rib Wool Socks</t>
  </si>
  <si>
    <t>7330057018950</t>
  </si>
  <si>
    <t>7330057018967</t>
  </si>
  <si>
    <t>7330057018974</t>
  </si>
  <si>
    <t>7330057018981</t>
  </si>
  <si>
    <t>7330057018998</t>
  </si>
  <si>
    <t>7330057019001</t>
  </si>
  <si>
    <t>7330057019018</t>
  </si>
  <si>
    <t>7330057019025</t>
  </si>
  <si>
    <t>7330057019032</t>
  </si>
  <si>
    <t>7330057019049</t>
  </si>
  <si>
    <t>7330057019056</t>
  </si>
  <si>
    <t>7330057019063</t>
  </si>
  <si>
    <t>7330057019070</t>
  </si>
  <si>
    <t>7330057019087</t>
  </si>
  <si>
    <t>7330057019094</t>
  </si>
  <si>
    <t>7330057019100</t>
  </si>
  <si>
    <t>7330057019117</t>
  </si>
  <si>
    <t>7330057019124</t>
  </si>
  <si>
    <t>7330057019131</t>
  </si>
  <si>
    <t>7330057019148</t>
  </si>
  <si>
    <t>7330057019155</t>
  </si>
  <si>
    <t>7330057019445</t>
  </si>
  <si>
    <t>7330057019452</t>
  </si>
  <si>
    <t>7330057019469</t>
  </si>
  <si>
    <t>7330057019476</t>
  </si>
  <si>
    <t>7330057019483</t>
  </si>
  <si>
    <t>7330057019490</t>
  </si>
  <si>
    <t>7330057019506</t>
  </si>
  <si>
    <t>7330057019513</t>
  </si>
  <si>
    <t>7330057019520</t>
  </si>
  <si>
    <t>7330057019537</t>
  </si>
  <si>
    <t>7330057019544</t>
  </si>
  <si>
    <t>7330057019551</t>
  </si>
  <si>
    <t>7330057019568</t>
  </si>
  <si>
    <t>7330057019575</t>
  </si>
  <si>
    <t>7330057019582</t>
  </si>
  <si>
    <t>7330057019599</t>
  </si>
  <si>
    <t>7330057019605</t>
  </si>
  <si>
    <t>7330057019612</t>
  </si>
  <si>
    <t>7330057019629</t>
  </si>
  <si>
    <t>7330057019636</t>
  </si>
  <si>
    <t>7330057019643</t>
  </si>
  <si>
    <t>7330057019650</t>
  </si>
  <si>
    <t>7330057019667</t>
  </si>
  <si>
    <t>7330057019674</t>
  </si>
  <si>
    <t>7330057019681</t>
  </si>
  <si>
    <t>7330057019698</t>
  </si>
  <si>
    <t>7330057019704</t>
  </si>
  <si>
    <t>7330057019711</t>
  </si>
  <si>
    <t>7330057019797</t>
  </si>
  <si>
    <t>7330057019803</t>
  </si>
  <si>
    <t>7330057019810</t>
  </si>
  <si>
    <t>7330057019827</t>
  </si>
  <si>
    <t>7330057019834</t>
  </si>
  <si>
    <t>7330057019841</t>
  </si>
  <si>
    <t>7330057019858</t>
  </si>
  <si>
    <t>7330057019933</t>
  </si>
  <si>
    <t>7330057019940</t>
  </si>
  <si>
    <t>7330057019957</t>
  </si>
  <si>
    <t>7330057019964</t>
  </si>
  <si>
    <t>7330057019971</t>
  </si>
  <si>
    <t>7330057019988</t>
  </si>
  <si>
    <t>7330057019995</t>
  </si>
  <si>
    <t>7330057020007</t>
  </si>
  <si>
    <t>7330057020014</t>
  </si>
  <si>
    <t>7330057020021</t>
  </si>
  <si>
    <t>7330057020038</t>
  </si>
  <si>
    <t>7330057020045</t>
  </si>
  <si>
    <t>7330057020052</t>
  </si>
  <si>
    <t>7330057020069</t>
  </si>
  <si>
    <t>7330057020076</t>
  </si>
  <si>
    <t>7330057020083</t>
  </si>
  <si>
    <t>7330057020090</t>
  </si>
  <si>
    <t>7330057020106</t>
  </si>
  <si>
    <t>7330057020113</t>
  </si>
  <si>
    <t>7330057020120</t>
  </si>
  <si>
    <t>7330057020137</t>
  </si>
  <si>
    <t>7330057020144</t>
  </si>
  <si>
    <t>7330057020151</t>
  </si>
  <si>
    <t>7330057020168</t>
  </si>
  <si>
    <t>7330057020175</t>
  </si>
  <si>
    <t>7330057020182</t>
  </si>
  <si>
    <t>7330057020199</t>
  </si>
  <si>
    <t>7330057020205</t>
  </si>
  <si>
    <t>7330057020212</t>
  </si>
  <si>
    <t>7330057020229</t>
  </si>
  <si>
    <t>7330057020236</t>
  </si>
  <si>
    <t>7330057020243</t>
  </si>
  <si>
    <t>7330057020250</t>
  </si>
  <si>
    <t>7330057020267</t>
  </si>
  <si>
    <t>7330057020274</t>
  </si>
  <si>
    <t>7330057020281</t>
  </si>
  <si>
    <t>7330057020298</t>
  </si>
  <si>
    <t>7330057020304</t>
  </si>
  <si>
    <t>7330057020311</t>
  </si>
  <si>
    <t>7330057020328</t>
  </si>
  <si>
    <t>7330057020335</t>
  </si>
  <si>
    <t>7330057020342</t>
  </si>
  <si>
    <t>7330057020359</t>
  </si>
  <si>
    <t>7330057020366</t>
  </si>
  <si>
    <t>7330057020373</t>
  </si>
  <si>
    <t>7330057020380</t>
  </si>
  <si>
    <t>7330057020397</t>
  </si>
  <si>
    <t>7330057020403</t>
  </si>
  <si>
    <t>7330057020410</t>
  </si>
  <si>
    <t>7330057020427</t>
  </si>
  <si>
    <t>7330057020434</t>
  </si>
  <si>
    <t>7330057020441</t>
  </si>
  <si>
    <t>7330057020458</t>
  </si>
  <si>
    <t>7330057020465</t>
  </si>
  <si>
    <t>7330057020472</t>
  </si>
  <si>
    <t>7330057020489</t>
  </si>
  <si>
    <t>7330057020496</t>
  </si>
  <si>
    <t>7330057020502</t>
  </si>
  <si>
    <t>7330057020519</t>
  </si>
  <si>
    <t>7330057020526</t>
  </si>
  <si>
    <t>7330057020533</t>
  </si>
  <si>
    <t>7330057020540</t>
  </si>
  <si>
    <t>7330057020557</t>
  </si>
  <si>
    <t>7330057020564</t>
  </si>
  <si>
    <t>7330057020571</t>
  </si>
  <si>
    <t>7330057020588</t>
  </si>
  <si>
    <t>7330057020595</t>
  </si>
  <si>
    <t>7330057020601</t>
  </si>
  <si>
    <t>7330057020618</t>
  </si>
  <si>
    <t>7330057020625</t>
  </si>
  <si>
    <t>7330057020779</t>
  </si>
  <si>
    <t>7330057020786</t>
  </si>
  <si>
    <t>7330057020793</t>
  </si>
  <si>
    <t>7330057020809</t>
  </si>
  <si>
    <t>7330057020816</t>
  </si>
  <si>
    <t>7330057020823</t>
  </si>
  <si>
    <t>7330057020830</t>
  </si>
  <si>
    <t>7330057020847</t>
  </si>
  <si>
    <t>7330057020854</t>
  </si>
  <si>
    <t>7330057020861</t>
  </si>
  <si>
    <t>7330057020878</t>
  </si>
  <si>
    <t>7330057020885</t>
  </si>
  <si>
    <t>7330057020892</t>
  </si>
  <si>
    <t>7330057020908</t>
  </si>
  <si>
    <t>7330057020915</t>
  </si>
  <si>
    <t>7330057020922</t>
  </si>
  <si>
    <t>7330057020939</t>
  </si>
  <si>
    <t>7330057020946</t>
  </si>
  <si>
    <t>7330057020953</t>
  </si>
  <si>
    <t>7330057020960</t>
  </si>
  <si>
    <t>7330057020977</t>
  </si>
  <si>
    <t>7330057020984</t>
  </si>
  <si>
    <t>7330057020991</t>
  </si>
  <si>
    <t>7330057021004</t>
  </si>
  <si>
    <t>7330057021011</t>
  </si>
  <si>
    <t>7330057021028</t>
  </si>
  <si>
    <t>7330057021035</t>
  </si>
  <si>
    <t>7330057021042</t>
  </si>
  <si>
    <t>7330057021752</t>
  </si>
  <si>
    <t>7330057021769</t>
  </si>
  <si>
    <t>7330057021776</t>
  </si>
  <si>
    <t>7330057021783</t>
  </si>
  <si>
    <t>7330057021790</t>
  </si>
  <si>
    <t>7330057021806</t>
  </si>
  <si>
    <t>7330057021813</t>
  </si>
  <si>
    <t>7330057021967</t>
  </si>
  <si>
    <t>7330057021974</t>
  </si>
  <si>
    <t>7330057021981</t>
  </si>
  <si>
    <t>7330057021998</t>
  </si>
  <si>
    <t>7330057022001</t>
  </si>
  <si>
    <t>7330057022018</t>
  </si>
  <si>
    <t>7330057022025</t>
  </si>
  <si>
    <t>7330057022315</t>
  </si>
  <si>
    <t>7330057022322</t>
  </si>
  <si>
    <t>7330057022339</t>
  </si>
  <si>
    <t>7330057022346</t>
  </si>
  <si>
    <t>7330057022353</t>
  </si>
  <si>
    <t>7330057022360</t>
  </si>
  <si>
    <t>7330057022377</t>
  </si>
  <si>
    <t>7330057022452</t>
  </si>
  <si>
    <t>7330057022469</t>
  </si>
  <si>
    <t>7330057022476</t>
  </si>
  <si>
    <t>7330057022483</t>
  </si>
  <si>
    <t>7330057022490</t>
  </si>
  <si>
    <t>7330057022506</t>
  </si>
  <si>
    <t>7330057022513</t>
  </si>
  <si>
    <t>7330057022520</t>
  </si>
  <si>
    <t>7330057022537</t>
  </si>
  <si>
    <t>7330057022544</t>
  </si>
  <si>
    <t>7330057022551</t>
  </si>
  <si>
    <t>7330057022568</t>
  </si>
  <si>
    <t>7330057022575</t>
  </si>
  <si>
    <t>7330057022582</t>
  </si>
  <si>
    <t>7330057022599</t>
  </si>
  <si>
    <t>7330057022605</t>
  </si>
  <si>
    <t>7330057022612</t>
  </si>
  <si>
    <t>7330057022629</t>
  </si>
  <si>
    <t>7330057022636</t>
  </si>
  <si>
    <t>7330057022643</t>
  </si>
  <si>
    <t>7330057022650</t>
  </si>
  <si>
    <t>7330057022667</t>
  </si>
  <si>
    <t>7330057022674</t>
  </si>
  <si>
    <t>7330057022681</t>
  </si>
  <si>
    <t>7330057022698</t>
  </si>
  <si>
    <t>7330057022704</t>
  </si>
  <si>
    <t>7330057022711</t>
  </si>
  <si>
    <t>7330057022728</t>
  </si>
  <si>
    <t>7330057022803</t>
  </si>
  <si>
    <t>7330057022810</t>
  </si>
  <si>
    <t>7330057022827</t>
  </si>
  <si>
    <t>7330057022834</t>
  </si>
  <si>
    <t>7330057022841</t>
  </si>
  <si>
    <t>7330057022858</t>
  </si>
  <si>
    <t>7330057022865</t>
  </si>
  <si>
    <t>7330057023015</t>
  </si>
  <si>
    <t>7330057023022</t>
  </si>
  <si>
    <t>7330057023039</t>
  </si>
  <si>
    <t>7330057023046</t>
  </si>
  <si>
    <t>7330057023053</t>
  </si>
  <si>
    <t>7330057023060</t>
  </si>
  <si>
    <t>7330057023077</t>
  </si>
  <si>
    <t>7330057023084</t>
  </si>
  <si>
    <t>7330057023091</t>
  </si>
  <si>
    <t>7330057023107</t>
  </si>
  <si>
    <t>7330057023114</t>
  </si>
  <si>
    <t>7330057023121</t>
  </si>
  <si>
    <t>7330057023138</t>
  </si>
  <si>
    <t>7330057023145</t>
  </si>
  <si>
    <t>7330057023152</t>
  </si>
  <si>
    <t>7330057023169</t>
  </si>
  <si>
    <t>7330057023176</t>
  </si>
  <si>
    <t>7330057023183</t>
  </si>
  <si>
    <t>7330057023190</t>
  </si>
  <si>
    <t>7330057023206</t>
  </si>
  <si>
    <t>7330057023213</t>
  </si>
  <si>
    <t>7330057023220</t>
  </si>
  <si>
    <t>7330057023237</t>
  </si>
  <si>
    <t>7330057023244</t>
  </si>
  <si>
    <t>7330057023251</t>
  </si>
  <si>
    <t>7330057023343</t>
  </si>
  <si>
    <t>7330057023350</t>
  </si>
  <si>
    <t>7330057023367</t>
  </si>
  <si>
    <t>7330057023374</t>
  </si>
  <si>
    <t>7330057023381</t>
  </si>
  <si>
    <t>7330057023398</t>
  </si>
  <si>
    <t>7330057023428</t>
  </si>
  <si>
    <t>7330057023435</t>
  </si>
  <si>
    <t>7330057023466</t>
  </si>
  <si>
    <t>7330057023473</t>
  </si>
  <si>
    <t>7330057023480</t>
  </si>
  <si>
    <t>7330057023503</t>
  </si>
  <si>
    <t>7330057023541</t>
  </si>
  <si>
    <t>7330057023558</t>
  </si>
  <si>
    <t>7330057023565</t>
  </si>
  <si>
    <t>7330057023572</t>
  </si>
  <si>
    <t>7330057023589</t>
  </si>
  <si>
    <t>7330057023657</t>
  </si>
  <si>
    <t>7330057023664</t>
  </si>
  <si>
    <t>7330057023671</t>
  </si>
  <si>
    <t>7330057023688</t>
  </si>
  <si>
    <t>7330057023695</t>
  </si>
  <si>
    <t>7330057023701</t>
  </si>
  <si>
    <t>7330057023718</t>
  </si>
  <si>
    <t>7330057023725</t>
  </si>
  <si>
    <t>7330057023732</t>
  </si>
  <si>
    <t>7330057023749</t>
  </si>
  <si>
    <t>7330057023756</t>
  </si>
  <si>
    <t>7330057023763</t>
  </si>
  <si>
    <t>7330057023770</t>
  </si>
  <si>
    <t>7330057023787</t>
  </si>
  <si>
    <t>7330057023794</t>
  </si>
  <si>
    <t>7330057023800</t>
  </si>
  <si>
    <t>7330057023817</t>
  </si>
  <si>
    <t>7330057023824</t>
  </si>
  <si>
    <t>7330057023831</t>
  </si>
  <si>
    <t>7330057023848</t>
  </si>
  <si>
    <t>7330057023855</t>
  </si>
  <si>
    <t>7330057023862</t>
  </si>
  <si>
    <t>7330057023879</t>
  </si>
  <si>
    <t>7330057023886</t>
  </si>
  <si>
    <t>7330057023893</t>
  </si>
  <si>
    <t>7330057023909</t>
  </si>
  <si>
    <t>7330057023916</t>
  </si>
  <si>
    <t>7330057023923</t>
  </si>
  <si>
    <t>7330057023930</t>
  </si>
  <si>
    <t>7330057023947</t>
  </si>
  <si>
    <t>7330057023954</t>
  </si>
  <si>
    <t>7330057023961</t>
  </si>
  <si>
    <t>7330057023978</t>
  </si>
  <si>
    <t>7330057023985</t>
  </si>
  <si>
    <t>7330057023992</t>
  </si>
  <si>
    <t>7330057024005</t>
  </si>
  <si>
    <t>7330057024012</t>
  </si>
  <si>
    <t>7330057024029</t>
  </si>
  <si>
    <t>7330057024036</t>
  </si>
  <si>
    <t>7330057024043</t>
  </si>
  <si>
    <t>7330057024050</t>
  </si>
  <si>
    <t>7330057024067</t>
  </si>
  <si>
    <t>7330057024074</t>
  </si>
  <si>
    <t>7330057024081</t>
  </si>
  <si>
    <t>7330057024098</t>
  </si>
  <si>
    <t>7330057024104</t>
  </si>
  <si>
    <t>7330057024111</t>
  </si>
  <si>
    <t>7330057024128</t>
  </si>
  <si>
    <t>7330057024135</t>
  </si>
  <si>
    <t>7330057024142</t>
  </si>
  <si>
    <t>7330057024159</t>
  </si>
  <si>
    <t>7330057024166</t>
  </si>
  <si>
    <t>7330057024173</t>
  </si>
  <si>
    <t>7330057024180</t>
  </si>
  <si>
    <t>7330057024197</t>
  </si>
  <si>
    <t>7330057024203</t>
  </si>
  <si>
    <t>7330057024210</t>
  </si>
  <si>
    <t>7330057024227</t>
  </si>
  <si>
    <t>7330057024234</t>
  </si>
  <si>
    <t>7330057024241</t>
  </si>
  <si>
    <t>7330057024258</t>
  </si>
  <si>
    <t>7330057024265</t>
  </si>
  <si>
    <t>7330057024272</t>
  </si>
  <si>
    <t>7330057024289</t>
  </si>
  <si>
    <t>7330057024296</t>
  </si>
  <si>
    <t>7330057024302</t>
  </si>
  <si>
    <t>7330057024319</t>
  </si>
  <si>
    <t>7330057024326</t>
  </si>
  <si>
    <t>7330057024333</t>
  </si>
  <si>
    <t>7330057024340</t>
  </si>
  <si>
    <t>7330057024357</t>
  </si>
  <si>
    <t>XXS</t>
  </si>
  <si>
    <t>7330057024364</t>
  </si>
  <si>
    <t>7330057024371</t>
  </si>
  <si>
    <t>7330057024388</t>
  </si>
  <si>
    <t>7330057024395</t>
  </si>
  <si>
    <t>7330057024401</t>
  </si>
  <si>
    <t>7330057024418</t>
  </si>
  <si>
    <t>7330057024425</t>
  </si>
  <si>
    <t>7330057024432</t>
  </si>
  <si>
    <t>7330057024449</t>
  </si>
  <si>
    <t>A00188077-XXS</t>
  </si>
  <si>
    <t>A00188077-XS</t>
  </si>
  <si>
    <t>A00188077-S</t>
  </si>
  <si>
    <t>A00188077-M</t>
  </si>
  <si>
    <t>A00188077-L</t>
  </si>
  <si>
    <t>A00188077-XL</t>
  </si>
  <si>
    <t>A00188077-XXL</t>
  </si>
  <si>
    <t>A00188081-XXS</t>
  </si>
  <si>
    <t>A00188081-XS</t>
  </si>
  <si>
    <t>A00188081-S</t>
  </si>
  <si>
    <t>A00188081-M</t>
  </si>
  <si>
    <t>A00188081-L</t>
  </si>
  <si>
    <t>A00188081-XL</t>
  </si>
  <si>
    <t>A00188081-XXL</t>
  </si>
  <si>
    <t>A00188006-XXS</t>
  </si>
  <si>
    <t>A00188006-XS</t>
  </si>
  <si>
    <t>A00188006-S</t>
  </si>
  <si>
    <t>A00188006-M</t>
  </si>
  <si>
    <t>A00188006-L</t>
  </si>
  <si>
    <t>A00188006-XL</t>
  </si>
  <si>
    <t>A00188006-XXL</t>
  </si>
  <si>
    <t>A00188078-XXS</t>
  </si>
  <si>
    <t>A00188078-XS</t>
  </si>
  <si>
    <t>A00188078-S</t>
  </si>
  <si>
    <t>A00188078-M</t>
  </si>
  <si>
    <t>A00188078-L</t>
  </si>
  <si>
    <t>A00188078-XL</t>
  </si>
  <si>
    <t>A00188078-XXL</t>
  </si>
  <si>
    <t>A00188079-XXS</t>
  </si>
  <si>
    <t>A00188079-XS</t>
  </si>
  <si>
    <t>A00188079-S</t>
  </si>
  <si>
    <t>A00188079-M</t>
  </si>
  <si>
    <t>A00188079-L</t>
  </si>
  <si>
    <t>A00188079-XL</t>
  </si>
  <si>
    <t>A00188079-XXL</t>
  </si>
  <si>
    <t>A00188012-XXS</t>
  </si>
  <si>
    <t>A00188012-XS</t>
  </si>
  <si>
    <t>A00188012-S</t>
  </si>
  <si>
    <t>A00188012-M</t>
  </si>
  <si>
    <t>A00188012-L</t>
  </si>
  <si>
    <t>A00188012-XL</t>
  </si>
  <si>
    <t>A00188012-XXL</t>
  </si>
  <si>
    <t>A00188058-XXS</t>
  </si>
  <si>
    <t>A00188058-XS</t>
  </si>
  <si>
    <t>A00188058-S</t>
  </si>
  <si>
    <t>A00188058-M</t>
  </si>
  <si>
    <t>A00188058-L</t>
  </si>
  <si>
    <t>A00188058-XL</t>
  </si>
  <si>
    <t>A00188058-XXL</t>
  </si>
  <si>
    <t>A00225086-36-38</t>
  </si>
  <si>
    <t>A00225086-39-41</t>
  </si>
  <si>
    <t>A00225087-36-38</t>
  </si>
  <si>
    <t>A00225087-39-41</t>
  </si>
  <si>
    <t>A00225088-36-38</t>
  </si>
  <si>
    <t>A00225088-39-41</t>
  </si>
  <si>
    <t>A00225089-36-38</t>
  </si>
  <si>
    <t>A00225089-39-41</t>
  </si>
  <si>
    <t>A00224086-XXS</t>
  </si>
  <si>
    <t>A00224086-XS</t>
  </si>
  <si>
    <t>A00224086-S</t>
  </si>
  <si>
    <t>A00224086-M</t>
  </si>
  <si>
    <t>A00224086-L</t>
  </si>
  <si>
    <t>A00224086-XL</t>
  </si>
  <si>
    <t>A00224086-XXL</t>
  </si>
  <si>
    <t>A00224087-XXS</t>
  </si>
  <si>
    <t>A00224087-XS</t>
  </si>
  <si>
    <t>A00224087-S</t>
  </si>
  <si>
    <t>A00224087-M</t>
  </si>
  <si>
    <t>A00224087-L</t>
  </si>
  <si>
    <t>A00224087-XL</t>
  </si>
  <si>
    <t>A00224087-XXL</t>
  </si>
  <si>
    <t>A00224088-XXS</t>
  </si>
  <si>
    <t>A00224088-XS</t>
  </si>
  <si>
    <t>A00224088-S</t>
  </si>
  <si>
    <t>A00224088-M</t>
  </si>
  <si>
    <t>A00224088-L</t>
  </si>
  <si>
    <t>A00224088-XL</t>
  </si>
  <si>
    <t>A00224088-XXL</t>
  </si>
  <si>
    <t>A00224089-XXS</t>
  </si>
  <si>
    <t>A00224089-XS</t>
  </si>
  <si>
    <t>A00224089-S</t>
  </si>
  <si>
    <t>A00224089-M</t>
  </si>
  <si>
    <t>A00224089-L</t>
  </si>
  <si>
    <t>A00224089-XL</t>
  </si>
  <si>
    <t>A00224089-XXL</t>
  </si>
  <si>
    <t>A00223089-XXS</t>
  </si>
  <si>
    <t>A00223089-XS</t>
  </si>
  <si>
    <t>A00223089-S</t>
  </si>
  <si>
    <t>A00223089-M</t>
  </si>
  <si>
    <t>A00223089-L</t>
  </si>
  <si>
    <t>A00223089-XL</t>
  </si>
  <si>
    <t>A00223089-XXL</t>
  </si>
  <si>
    <t>A00223088-XXS</t>
  </si>
  <si>
    <t>A00223088-XS</t>
  </si>
  <si>
    <t>A00223088-S</t>
  </si>
  <si>
    <t>A00223088-M</t>
  </si>
  <si>
    <t>A00223088-L</t>
  </si>
  <si>
    <t>A00223088-XL</t>
  </si>
  <si>
    <t>A00223088-XXL</t>
  </si>
  <si>
    <t>A00223087-XXS</t>
  </si>
  <si>
    <t>A00223087-XS</t>
  </si>
  <si>
    <t>A00223087-S</t>
  </si>
  <si>
    <t>A00223087-M</t>
  </si>
  <si>
    <t>A00223087-L</t>
  </si>
  <si>
    <t>A00223087-XL</t>
  </si>
  <si>
    <t>A00223087-XXL</t>
  </si>
  <si>
    <t>A00223086-XXS</t>
  </si>
  <si>
    <t>A00223086-XS</t>
  </si>
  <si>
    <t>A00223086-S</t>
  </si>
  <si>
    <t>A00223086-M</t>
  </si>
  <si>
    <t>A00223086-L</t>
  </si>
  <si>
    <t>A00223086-XL</t>
  </si>
  <si>
    <t>A00223086-XXL</t>
  </si>
  <si>
    <t>A00222089-XXS</t>
  </si>
  <si>
    <t>A00222089-XS</t>
  </si>
  <si>
    <t>A00222089-S</t>
  </si>
  <si>
    <t>A00222089-M</t>
  </si>
  <si>
    <t>A00222089-L</t>
  </si>
  <si>
    <t>A00222089-XL</t>
  </si>
  <si>
    <t>A00222089-XXL</t>
  </si>
  <si>
    <t>A00222088-XXS</t>
  </si>
  <si>
    <t>A00222088-XS</t>
  </si>
  <si>
    <t>A00222088-S</t>
  </si>
  <si>
    <t>A00222088-M</t>
  </si>
  <si>
    <t>A00222088-L</t>
  </si>
  <si>
    <t>A00222088-XL</t>
  </si>
  <si>
    <t>A00222088-XXL</t>
  </si>
  <si>
    <t>A00222087-XXS</t>
  </si>
  <si>
    <t>A00222087-XS</t>
  </si>
  <si>
    <t>A00222087-S</t>
  </si>
  <si>
    <t>A00222087-M</t>
  </si>
  <si>
    <t>A00222087-L</t>
  </si>
  <si>
    <t>A00222087-XL</t>
  </si>
  <si>
    <t>A00222087-XXL</t>
  </si>
  <si>
    <t>A00222086-XXS</t>
  </si>
  <si>
    <t>A00222086-XS</t>
  </si>
  <si>
    <t>A00222086-S</t>
  </si>
  <si>
    <t>A00222086-M</t>
  </si>
  <si>
    <t>A00222086-L</t>
  </si>
  <si>
    <t>A00222086-XL</t>
  </si>
  <si>
    <t>A00222086-XXL</t>
  </si>
  <si>
    <t>A00221089-XXS</t>
  </si>
  <si>
    <t>A00221089-XS</t>
  </si>
  <si>
    <t>A00221089-S</t>
  </si>
  <si>
    <t>A00221089-M</t>
  </si>
  <si>
    <t>A00221089-L</t>
  </si>
  <si>
    <t>A00221089-XL</t>
  </si>
  <si>
    <t>A00221089-XXL</t>
  </si>
  <si>
    <t>A00221088-XXS</t>
  </si>
  <si>
    <t>A00221088-XS</t>
  </si>
  <si>
    <t>A00221088-S</t>
  </si>
  <si>
    <t>A00221088-M</t>
  </si>
  <si>
    <t>A00221088-L</t>
  </si>
  <si>
    <t>A00221088-XL</t>
  </si>
  <si>
    <t>A00221088-XXL</t>
  </si>
  <si>
    <t>A00221086-XXL</t>
  </si>
  <si>
    <t>A00221087-XXS</t>
  </si>
  <si>
    <t>A00221087-XS</t>
  </si>
  <si>
    <t>A00221087-S</t>
  </si>
  <si>
    <t>A00221087-M</t>
  </si>
  <si>
    <t>A00221087-L</t>
  </si>
  <si>
    <t>A00221087-XL</t>
  </si>
  <si>
    <t>A00221087-XXL</t>
  </si>
  <si>
    <t>A00221086-XXS</t>
  </si>
  <si>
    <t>A00221086-XS</t>
  </si>
  <si>
    <t>A00221086-S</t>
  </si>
  <si>
    <t>A00221086-M</t>
  </si>
  <si>
    <t>A00221086-L</t>
  </si>
  <si>
    <t>A00221086-XL</t>
  </si>
  <si>
    <t>A00220089-XXS</t>
  </si>
  <si>
    <t>A00220089-XS</t>
  </si>
  <si>
    <t>A00220089-S</t>
  </si>
  <si>
    <t>A00220089-M</t>
  </si>
  <si>
    <t>A00220089-L</t>
  </si>
  <si>
    <t>A00220089-XL</t>
  </si>
  <si>
    <t>A00220089-XXL</t>
  </si>
  <si>
    <t>A00220088-XXS</t>
  </si>
  <si>
    <t>A00220088-XS</t>
  </si>
  <si>
    <t>A00220088-S</t>
  </si>
  <si>
    <t>A00220088-M</t>
  </si>
  <si>
    <t>A00220088-L</t>
  </si>
  <si>
    <t>A00220088-XL</t>
  </si>
  <si>
    <t>A00220088-XXL</t>
  </si>
  <si>
    <t>A00219087-XXS</t>
  </si>
  <si>
    <t>A00219087-XS</t>
  </si>
  <si>
    <t>A00219087-S</t>
  </si>
  <si>
    <t>A00219087-M</t>
  </si>
  <si>
    <t>A00219087-L</t>
  </si>
  <si>
    <t>A00219087-XL</t>
  </si>
  <si>
    <t>A00219087-XXL</t>
  </si>
  <si>
    <t>A00219086-XXS</t>
  </si>
  <si>
    <t>A00219086-XS</t>
  </si>
  <si>
    <t>A00219086-S</t>
  </si>
  <si>
    <t>A00219086-M</t>
  </si>
  <si>
    <t>A00219086-L</t>
  </si>
  <si>
    <t>A00219086-XL</t>
  </si>
  <si>
    <t>A00219086-XXL</t>
  </si>
  <si>
    <t>A00218001-XXS</t>
  </si>
  <si>
    <t>A00218001-XS</t>
  </si>
  <si>
    <t>A00218001-S</t>
  </si>
  <si>
    <t>A00218001-M</t>
  </si>
  <si>
    <t>A00218001-L</t>
  </si>
  <si>
    <t>A00218001-XL</t>
  </si>
  <si>
    <t>A00218001-XXL</t>
  </si>
  <si>
    <t>A00218010-XXS</t>
  </si>
  <si>
    <t>A00218010-XS</t>
  </si>
  <si>
    <t>A00218010-S</t>
  </si>
  <si>
    <t>A00218010-M</t>
  </si>
  <si>
    <t>A00218010-L</t>
  </si>
  <si>
    <t>A00218010-XL</t>
  </si>
  <si>
    <t>A00218010-XXL</t>
  </si>
  <si>
    <t>A00218006-XXS</t>
  </si>
  <si>
    <t>A00218006-XS</t>
  </si>
  <si>
    <t>A00218006-S</t>
  </si>
  <si>
    <t>A00218006-M</t>
  </si>
  <si>
    <t>A00218006-L</t>
  </si>
  <si>
    <t>A00218006-XL</t>
  </si>
  <si>
    <t>A00218006-XXL</t>
  </si>
  <si>
    <t>A00213027-ONESIZ</t>
  </si>
  <si>
    <t>A00213009-ONESIZ</t>
  </si>
  <si>
    <t>A00213013-ONESIZ</t>
  </si>
  <si>
    <t>A00213064-ONESIZ</t>
  </si>
  <si>
    <t>A00213001-ONESIZ</t>
  </si>
  <si>
    <t>A00211079-ONESIZ</t>
  </si>
  <si>
    <t>A00210006-ONESIZ</t>
  </si>
  <si>
    <t>A00210010-ONESIZ</t>
  </si>
  <si>
    <t>A00210001-ONESIZ</t>
  </si>
  <si>
    <t>A00209001-ONESIZ</t>
  </si>
  <si>
    <t>A00208012-ONESIZ</t>
  </si>
  <si>
    <t>A00208006-ONESIZ</t>
  </si>
  <si>
    <t>A00208010-ONESIZ</t>
  </si>
  <si>
    <t>A00207027-39-41</t>
  </si>
  <si>
    <t>A00207027-36-38</t>
  </si>
  <si>
    <t>A00207001-39-41</t>
  </si>
  <si>
    <t>A00207001-36-38</t>
  </si>
  <si>
    <t>A00206010-39-41</t>
  </si>
  <si>
    <t>A00206010-36-38</t>
  </si>
  <si>
    <t>A00206064-39-41</t>
  </si>
  <si>
    <t>A00206064-36-38</t>
  </si>
  <si>
    <t>A00205040-XXL</t>
  </si>
  <si>
    <t>A00205040-XL</t>
  </si>
  <si>
    <t>A00205040-L</t>
  </si>
  <si>
    <t>A00205040-M</t>
  </si>
  <si>
    <t>A00205040-S</t>
  </si>
  <si>
    <t>A00205040-XS</t>
  </si>
  <si>
    <t>A00205040-XXS</t>
  </si>
  <si>
    <t>A00205064-XXL</t>
  </si>
  <si>
    <t>A00205064-XL</t>
  </si>
  <si>
    <t>A00205064-L</t>
  </si>
  <si>
    <t>A00205064-M</t>
  </si>
  <si>
    <t>A00205064-S</t>
  </si>
  <si>
    <t>A00205064-XS</t>
  </si>
  <si>
    <t>A00205064-XXS</t>
  </si>
  <si>
    <t>A00205001-XXL</t>
  </si>
  <si>
    <t>A00205001-XL</t>
  </si>
  <si>
    <t>A00205001-L</t>
  </si>
  <si>
    <t>A00205001-M</t>
  </si>
  <si>
    <t>A00205001-S</t>
  </si>
  <si>
    <t>A00205001-XS</t>
  </si>
  <si>
    <t>A00205001-XXS</t>
  </si>
  <si>
    <t>A00204029-XXL</t>
  </si>
  <si>
    <t>A00204029-XL</t>
  </si>
  <si>
    <t>A00204029-L</t>
  </si>
  <si>
    <t>A00204029-M</t>
  </si>
  <si>
    <t>A00204029-S</t>
  </si>
  <si>
    <t>A00204029-XS</t>
  </si>
  <si>
    <t>A00204029-XXS</t>
  </si>
  <si>
    <t>A00204010-XXL</t>
  </si>
  <si>
    <t>A00204010-XL</t>
  </si>
  <si>
    <t>A00204010-L</t>
  </si>
  <si>
    <t>A00204010-M</t>
  </si>
  <si>
    <t>A00204010-S</t>
  </si>
  <si>
    <t>A00204010-XS</t>
  </si>
  <si>
    <t>A00204010-XXS</t>
  </si>
  <si>
    <t>A00204001-XXL</t>
  </si>
  <si>
    <t>A00204001-XL</t>
  </si>
  <si>
    <t>A00204001-L</t>
  </si>
  <si>
    <t>A00204001-M</t>
  </si>
  <si>
    <t>A00204001-S</t>
  </si>
  <si>
    <t>A00204001-XS</t>
  </si>
  <si>
    <t>A00204001-XXS</t>
  </si>
  <si>
    <t>A00203040-XXL</t>
  </si>
  <si>
    <t>A00203040-XL</t>
  </si>
  <si>
    <t>A00203040-L</t>
  </si>
  <si>
    <t>A00203040-M</t>
  </si>
  <si>
    <t>A00203040-S</t>
  </si>
  <si>
    <t>A00203040-XS</t>
  </si>
  <si>
    <t>A00203040-XXS</t>
  </si>
  <si>
    <t>A00203010-XXL</t>
  </si>
  <si>
    <t>A00203010-XL</t>
  </si>
  <si>
    <t>A00203010-L</t>
  </si>
  <si>
    <t>A00203010-M</t>
  </si>
  <si>
    <t>A00203010-S</t>
  </si>
  <si>
    <t>A00203010-XS</t>
  </si>
  <si>
    <t>A00203010-XXS</t>
  </si>
  <si>
    <t>A00203001-XXL</t>
  </si>
  <si>
    <t>A00203001-XL</t>
  </si>
  <si>
    <t>A00203001-L</t>
  </si>
  <si>
    <t>A00203001-M</t>
  </si>
  <si>
    <t>A00203001-S</t>
  </si>
  <si>
    <t>A00203001-XS</t>
  </si>
  <si>
    <t>A00203001-XXS</t>
  </si>
  <si>
    <t>A00200079-XXL</t>
  </si>
  <si>
    <t>A00200079-XL</t>
  </si>
  <si>
    <t>A00200079-L</t>
  </si>
  <si>
    <t>A00200079-M</t>
  </si>
  <si>
    <t>A00200079-S</t>
  </si>
  <si>
    <t>A00200079-XS</t>
  </si>
  <si>
    <t>A00200079-XXS</t>
  </si>
  <si>
    <t>A00198075-XXL</t>
  </si>
  <si>
    <t>A00198075-XL</t>
  </si>
  <si>
    <t>A00198075-L</t>
  </si>
  <si>
    <t>A00198075-M</t>
  </si>
  <si>
    <t>A00198075-S</t>
  </si>
  <si>
    <t>A00198075-XS</t>
  </si>
  <si>
    <t>A00198075-XXS</t>
  </si>
  <si>
    <t>A00197006-XXS</t>
  </si>
  <si>
    <t>A00197006-XS</t>
  </si>
  <si>
    <t>A00197006-S</t>
  </si>
  <si>
    <t>A00197006-M</t>
  </si>
  <si>
    <t>A00197006-L</t>
  </si>
  <si>
    <t>A00197006-XL</t>
  </si>
  <si>
    <t>A00197006-XXL</t>
  </si>
  <si>
    <t>A00197010-XXS</t>
  </si>
  <si>
    <t>A00197010-XS</t>
  </si>
  <si>
    <t>A00197010-S</t>
  </si>
  <si>
    <t>A00197010-M</t>
  </si>
  <si>
    <t>A00197010-L</t>
  </si>
  <si>
    <t>A00197010-XL</t>
  </si>
  <si>
    <t>A00197010-XXL</t>
  </si>
  <si>
    <t>A00194006-XXS</t>
  </si>
  <si>
    <t>A00194006-XS</t>
  </si>
  <si>
    <t>A00194006-S</t>
  </si>
  <si>
    <t>A00194006-M</t>
  </si>
  <si>
    <t>A00194006-L</t>
  </si>
  <si>
    <t>A00194006-XL</t>
  </si>
  <si>
    <t>A00194006-XXL</t>
  </si>
  <si>
    <t>A00193058-XXL</t>
  </si>
  <si>
    <t>A00193058-XL</t>
  </si>
  <si>
    <t>A00193058-L</t>
  </si>
  <si>
    <t>A00193058-M</t>
  </si>
  <si>
    <t>A00193058-S</t>
  </si>
  <si>
    <t>A00193058-XS</t>
  </si>
  <si>
    <t>A00193058-XXS</t>
  </si>
  <si>
    <t>A00192012-XXL</t>
  </si>
  <si>
    <t>A00192012-XL</t>
  </si>
  <si>
    <t>A00192012-L</t>
  </si>
  <si>
    <t>A00192012-M</t>
  </si>
  <si>
    <t>A00192012-S</t>
  </si>
  <si>
    <t>A00192012-XS</t>
  </si>
  <si>
    <t>A00192012-XXS</t>
  </si>
  <si>
    <t>A00191081-XXS</t>
  </si>
  <si>
    <t>A00191081-XS</t>
  </si>
  <si>
    <t>A00191081-S</t>
  </si>
  <si>
    <t>A00191081-M</t>
  </si>
  <si>
    <t>A00191081-L</t>
  </si>
  <si>
    <t>A00191081-XL</t>
  </si>
  <si>
    <t>A00191081-XXL</t>
  </si>
  <si>
    <t>A00191079-XXS</t>
  </si>
  <si>
    <t>A00191079-XS</t>
  </si>
  <si>
    <t>A00191079-S</t>
  </si>
  <si>
    <t>A00191079-M</t>
  </si>
  <si>
    <t>A00191079-L</t>
  </si>
  <si>
    <t>A00191079-XL</t>
  </si>
  <si>
    <t>A00191079-XXL</t>
  </si>
  <si>
    <t>A00190010-XXS</t>
  </si>
  <si>
    <t>A00190010-XS</t>
  </si>
  <si>
    <t>A00190010-S</t>
  </si>
  <si>
    <t>A00190010-M</t>
  </si>
  <si>
    <t>A00190010-L</t>
  </si>
  <si>
    <t>A00190010-XL</t>
  </si>
  <si>
    <t>A00190010-XXL</t>
  </si>
  <si>
    <t>A00189078-XXS</t>
  </si>
  <si>
    <t>A00189078-XS</t>
  </si>
  <si>
    <t>A00189078-S</t>
  </si>
  <si>
    <t>A00189078-M</t>
  </si>
  <si>
    <t>A00189078-L</t>
  </si>
  <si>
    <t>A00189078-XL</t>
  </si>
  <si>
    <t>A00189078-XXL</t>
  </si>
  <si>
    <t>A00189075-XXS</t>
  </si>
  <si>
    <t>A00189075-XS</t>
  </si>
  <si>
    <t>A00189075-S</t>
  </si>
  <si>
    <t>A00189075-M</t>
  </si>
  <si>
    <t>A00189075-L</t>
  </si>
  <si>
    <t>A00189075-XL</t>
  </si>
  <si>
    <t>A00189075-XXL</t>
  </si>
  <si>
    <t>League Wool Socks</t>
  </si>
  <si>
    <t>A00188010-XXS</t>
  </si>
  <si>
    <t>A00188010-XS</t>
  </si>
  <si>
    <t>A00188010-S</t>
  </si>
  <si>
    <t>A00188010-M</t>
  </si>
  <si>
    <t>A00188010-L</t>
  </si>
  <si>
    <t>A00188010-XL</t>
  </si>
  <si>
    <t>A00188010-XXL</t>
  </si>
  <si>
    <t>A00188075-XXS</t>
  </si>
  <si>
    <t>A00188075-XS</t>
  </si>
  <si>
    <t>A00188075-S</t>
  </si>
  <si>
    <t>A00188075-M</t>
  </si>
  <si>
    <t>A00188075-L</t>
  </si>
  <si>
    <t>A00188075-XL</t>
  </si>
  <si>
    <t>A00188075-XXL</t>
  </si>
  <si>
    <t>Boyfriends Fit Gaiter Top</t>
  </si>
  <si>
    <t>Boyfriends Fit Hoodie Top</t>
  </si>
  <si>
    <t>Order Qty</t>
  </si>
  <si>
    <t>Pink Cheetah</t>
  </si>
  <si>
    <t>Abstract Shapes</t>
  </si>
  <si>
    <t>Venture Top</t>
  </si>
  <si>
    <t>MX Pink</t>
  </si>
  <si>
    <t>Black &amp; Offwhite</t>
  </si>
  <si>
    <t>Raspberry &amp; Navy</t>
  </si>
  <si>
    <t>Navy</t>
  </si>
  <si>
    <t>Tubular Sherpa Neckwarmer</t>
  </si>
  <si>
    <t>True Red</t>
  </si>
  <si>
    <t>Knit Beanie</t>
  </si>
  <si>
    <t>Full Moon Sherpa Hat</t>
  </si>
  <si>
    <t>Dusty Pink</t>
  </si>
  <si>
    <t>Flap Sherpa Cap</t>
  </si>
  <si>
    <t>Deep Sea</t>
  </si>
  <si>
    <t>Deep Purple</t>
  </si>
  <si>
    <t>Easter Rib Wool Beanie</t>
  </si>
  <si>
    <t>A00188064-XXS</t>
  </si>
  <si>
    <t>A00188064-XS</t>
  </si>
  <si>
    <t>A00188064-S</t>
  </si>
  <si>
    <t>A00188064-M</t>
  </si>
  <si>
    <t>A00188064-L</t>
  </si>
  <si>
    <t>A00188064-XL</t>
  </si>
  <si>
    <t>A00188064-XXL</t>
  </si>
  <si>
    <t>1: Enter your company information (If you don't enter, we cant deliver ;)</t>
  </si>
  <si>
    <t>7330057026481</t>
  </si>
  <si>
    <t>7330057026498</t>
  </si>
  <si>
    <t>7330057026504</t>
  </si>
  <si>
    <t>7330057026511</t>
  </si>
  <si>
    <t>7330057026528</t>
  </si>
  <si>
    <t>7330057026535</t>
  </si>
  <si>
    <t>7330057026542</t>
  </si>
  <si>
    <t>7330057026559</t>
  </si>
  <si>
    <t>7330057026566</t>
  </si>
  <si>
    <t>7330057026573</t>
  </si>
  <si>
    <t>7330057026580</t>
  </si>
  <si>
    <t>7330057026597</t>
  </si>
  <si>
    <t>7330057026603</t>
  </si>
  <si>
    <t>7330057026610</t>
  </si>
  <si>
    <t>7330057026627</t>
  </si>
  <si>
    <t>7330057026634</t>
  </si>
  <si>
    <t>7330057026641</t>
  </si>
  <si>
    <t>7330057026658</t>
  </si>
  <si>
    <t>7330057026665</t>
  </si>
  <si>
    <t>7330057026672</t>
  </si>
  <si>
    <t>7330057026689</t>
  </si>
  <si>
    <t>7330057026696</t>
  </si>
  <si>
    <t>7330057026702</t>
  </si>
  <si>
    <t>7330057026719</t>
  </si>
  <si>
    <t>7330057026726</t>
  </si>
  <si>
    <t>7330057026733</t>
  </si>
  <si>
    <t>7330057026740</t>
  </si>
  <si>
    <t>7330057026757</t>
  </si>
  <si>
    <t>7330057026764</t>
  </si>
  <si>
    <t>7330057026771</t>
  </si>
  <si>
    <t>7330057026788</t>
  </si>
  <si>
    <t>7330057026795</t>
  </si>
  <si>
    <t>7330057026801</t>
  </si>
  <si>
    <t>7330057026818</t>
  </si>
  <si>
    <t>7330057026825</t>
  </si>
  <si>
    <t>7330057026832</t>
  </si>
  <si>
    <t>7330057026849</t>
  </si>
  <si>
    <t>7330057026856</t>
  </si>
  <si>
    <t>7330057026863</t>
  </si>
  <si>
    <t>7330057026870</t>
  </si>
  <si>
    <t>7330057026887</t>
  </si>
  <si>
    <t>7330057026894</t>
  </si>
  <si>
    <t>7330057026900</t>
  </si>
  <si>
    <t>7330057026917</t>
  </si>
  <si>
    <t>7330057026924</t>
  </si>
  <si>
    <t>7330057026931</t>
  </si>
  <si>
    <t>7330057026948</t>
  </si>
  <si>
    <t>7330057026955</t>
  </si>
  <si>
    <t>7330057026962</t>
  </si>
  <si>
    <t>7330057026979</t>
  </si>
  <si>
    <t>7330057026986</t>
  </si>
  <si>
    <t>7330057026993</t>
  </si>
  <si>
    <t>7330057027006</t>
  </si>
  <si>
    <t>7330057027013</t>
  </si>
  <si>
    <t>7330057027020</t>
  </si>
  <si>
    <t>7330057027037</t>
  </si>
  <si>
    <t>7330057027044</t>
  </si>
  <si>
    <t>7330057027051</t>
  </si>
  <si>
    <t>7330057027068</t>
  </si>
  <si>
    <t>7330057027075</t>
  </si>
  <si>
    <t>7330057027082</t>
  </si>
  <si>
    <t>7330057027099</t>
  </si>
  <si>
    <t>7330057027105</t>
  </si>
  <si>
    <t>7330057027112</t>
  </si>
  <si>
    <t>7330057027129</t>
  </si>
  <si>
    <t>7330057027136</t>
  </si>
  <si>
    <t>7330057027143</t>
  </si>
  <si>
    <t>7330057027150</t>
  </si>
  <si>
    <t>7330057027167</t>
  </si>
  <si>
    <t>7330057027174</t>
  </si>
  <si>
    <t>7330057027181</t>
  </si>
  <si>
    <t>7330057027198</t>
  </si>
  <si>
    <t>7330057027204</t>
  </si>
  <si>
    <t>7330057027211</t>
  </si>
  <si>
    <t>7330057027228</t>
  </si>
  <si>
    <t>7330057027235</t>
  </si>
  <si>
    <t>7330057027242</t>
  </si>
  <si>
    <t>7330057027259</t>
  </si>
  <si>
    <t>7330057027266</t>
  </si>
  <si>
    <t>7330057027273</t>
  </si>
  <si>
    <t>7330057027280</t>
  </si>
  <si>
    <t>7330057027297</t>
  </si>
  <si>
    <t>7330057027303</t>
  </si>
  <si>
    <t>7330057027310</t>
  </si>
  <si>
    <t>7330057027327</t>
  </si>
  <si>
    <t>7330057027334</t>
  </si>
  <si>
    <t>7330057027341</t>
  </si>
  <si>
    <t>7330057027358</t>
  </si>
  <si>
    <t>7330057027365</t>
  </si>
  <si>
    <t>7330057027372</t>
  </si>
  <si>
    <t>7330057027389</t>
  </si>
  <si>
    <t>7330057027396</t>
  </si>
  <si>
    <t>7330057027402</t>
  </si>
  <si>
    <t>7330057027419</t>
  </si>
  <si>
    <t>7330057027426</t>
  </si>
  <si>
    <t>7330057027433</t>
  </si>
  <si>
    <t>7330057027440</t>
  </si>
  <si>
    <t>7330057027457</t>
  </si>
  <si>
    <t>7330057027464</t>
  </si>
  <si>
    <t>7330057027471</t>
  </si>
  <si>
    <t>7330057027488</t>
  </si>
  <si>
    <t>7330057027495</t>
  </si>
  <si>
    <t>7330057027501</t>
  </si>
  <si>
    <t>7330057027518</t>
  </si>
  <si>
    <t>7330057027525</t>
  </si>
  <si>
    <t>7330057027532</t>
  </si>
  <si>
    <t>7330057027549</t>
  </si>
  <si>
    <t>7330057027556</t>
  </si>
  <si>
    <t>7330057027563</t>
  </si>
  <si>
    <t>7330057027570</t>
  </si>
  <si>
    <t>7330057027587</t>
  </si>
  <si>
    <t>7330057027594</t>
  </si>
  <si>
    <t>7330057027600</t>
  </si>
  <si>
    <t>7330057027617</t>
  </si>
  <si>
    <t>7330057027624</t>
  </si>
  <si>
    <t>7330057027631</t>
  </si>
  <si>
    <t>7330057027648</t>
  </si>
  <si>
    <t>7330057027655</t>
  </si>
  <si>
    <t>7330057027662</t>
  </si>
  <si>
    <t>7330057027747</t>
  </si>
  <si>
    <t>7330057027754</t>
  </si>
  <si>
    <t>7330057027761</t>
  </si>
  <si>
    <t>7330057027778</t>
  </si>
  <si>
    <t>7330057027785</t>
  </si>
  <si>
    <t>7330057027792</t>
  </si>
  <si>
    <t>7330057027808</t>
  </si>
  <si>
    <t>7330057027815</t>
  </si>
  <si>
    <t>7330057027822</t>
  </si>
  <si>
    <t>7330057027839</t>
  </si>
  <si>
    <t>7330057027846</t>
  </si>
  <si>
    <t>7330057027853</t>
  </si>
  <si>
    <t>7330057027860</t>
  </si>
  <si>
    <t>7330057027877</t>
  </si>
  <si>
    <t>7330057027884</t>
  </si>
  <si>
    <t>7330057027891</t>
  </si>
  <si>
    <t>7330057027907</t>
  </si>
  <si>
    <t>7330057027914</t>
  </si>
  <si>
    <t>7330057027921</t>
  </si>
  <si>
    <t>7330057027938</t>
  </si>
  <si>
    <t>7330057027945</t>
  </si>
  <si>
    <t>7330057027952</t>
  </si>
  <si>
    <t>7330057027969</t>
  </si>
  <si>
    <t>7330057027976</t>
  </si>
  <si>
    <t>7330057027983</t>
  </si>
  <si>
    <t>7330057027990</t>
  </si>
  <si>
    <t>7330057028003</t>
  </si>
  <si>
    <t>7330057028010</t>
  </si>
  <si>
    <t>7330057028027</t>
  </si>
  <si>
    <t>7330057028034</t>
  </si>
  <si>
    <t>7330057028041</t>
  </si>
  <si>
    <t>7330057028058</t>
  </si>
  <si>
    <t>7330057028065</t>
  </si>
  <si>
    <t>7330057028072</t>
  </si>
  <si>
    <t>7330057028089</t>
  </si>
  <si>
    <t>7330057028096</t>
  </si>
  <si>
    <t>7330057028102</t>
  </si>
  <si>
    <t>7330057028119</t>
  </si>
  <si>
    <t>7330057028126</t>
  </si>
  <si>
    <t>7330057028133</t>
  </si>
  <si>
    <t>7330057028140</t>
  </si>
  <si>
    <t>7330057028157</t>
  </si>
  <si>
    <t>7330057028164</t>
  </si>
  <si>
    <t>7330057028171</t>
  </si>
  <si>
    <t>7330057028188</t>
  </si>
  <si>
    <t>7330057028195</t>
  </si>
  <si>
    <t>7330057028201</t>
  </si>
  <si>
    <t>7330057028218</t>
  </si>
  <si>
    <t>7330057028225</t>
  </si>
  <si>
    <t>7330057028232</t>
  </si>
  <si>
    <t>7330057028249</t>
  </si>
  <si>
    <t>7330057028256</t>
  </si>
  <si>
    <t>7330057028263</t>
  </si>
  <si>
    <t>7330057028270</t>
  </si>
  <si>
    <t>7330057028287</t>
  </si>
  <si>
    <t>7330057028294</t>
  </si>
  <si>
    <t>7330057028300</t>
  </si>
  <si>
    <t>7330057028317</t>
  </si>
  <si>
    <t>7330057028324</t>
  </si>
  <si>
    <t>7330057028331</t>
  </si>
  <si>
    <t>7330057028348</t>
  </si>
  <si>
    <t>7330057028355</t>
  </si>
  <si>
    <t>7330057028362</t>
  </si>
  <si>
    <t>7330057028379</t>
  </si>
  <si>
    <t>7330057028386</t>
  </si>
  <si>
    <t>7330057028393</t>
  </si>
  <si>
    <t>7330057028409</t>
  </si>
  <si>
    <t>7330057028416</t>
  </si>
  <si>
    <t>7330057028423</t>
  </si>
  <si>
    <t>7330057028430</t>
  </si>
  <si>
    <t>7330057028447</t>
  </si>
  <si>
    <t>7330057028454</t>
  </si>
  <si>
    <t>7330057028461</t>
  </si>
  <si>
    <t>7330057028478</t>
  </si>
  <si>
    <t>7330057028485</t>
  </si>
  <si>
    <t>7330057028492</t>
  </si>
  <si>
    <t>7330057028508</t>
  </si>
  <si>
    <t>7330057028515</t>
  </si>
  <si>
    <t>7330057028522</t>
  </si>
  <si>
    <t>7330057028539</t>
  </si>
  <si>
    <t>7330057028546</t>
  </si>
  <si>
    <t>7330057028553</t>
  </si>
  <si>
    <t>7330057028560</t>
  </si>
  <si>
    <t>7330057028577</t>
  </si>
  <si>
    <t>7330057028584</t>
  </si>
  <si>
    <t>7330057028591</t>
  </si>
  <si>
    <t>7330057028607</t>
  </si>
  <si>
    <t>7330057028614</t>
  </si>
  <si>
    <t>7330057028621</t>
  </si>
  <si>
    <t>7330057028638</t>
  </si>
  <si>
    <t>7330057028645</t>
  </si>
  <si>
    <t>7330057028652</t>
  </si>
  <si>
    <t>7330057028669</t>
  </si>
  <si>
    <t>7330057028676</t>
  </si>
  <si>
    <t>7330057028683</t>
  </si>
  <si>
    <t>7330057028690</t>
  </si>
  <si>
    <t>7330057028706</t>
  </si>
  <si>
    <t>7330057028713</t>
  </si>
  <si>
    <t>7330057028720</t>
  </si>
  <si>
    <t>7330057028737</t>
  </si>
  <si>
    <t>7330057028744</t>
  </si>
  <si>
    <t>7330057028751</t>
  </si>
  <si>
    <t>7330057028768</t>
  </si>
  <si>
    <t>7330057028775</t>
  </si>
  <si>
    <t>7330057028782</t>
  </si>
  <si>
    <t>7330057028799</t>
  </si>
  <si>
    <t>7330057028805</t>
  </si>
  <si>
    <t>7330057028812</t>
  </si>
  <si>
    <t>7330057028829</t>
  </si>
  <si>
    <t>7330057028836</t>
  </si>
  <si>
    <t>7330057028843</t>
  </si>
  <si>
    <t>7330057028850</t>
  </si>
  <si>
    <t>7330057028867</t>
  </si>
  <si>
    <t>7330057028874</t>
  </si>
  <si>
    <t>7330057028881</t>
  </si>
  <si>
    <t>7330057028898</t>
  </si>
  <si>
    <t>7330057028904</t>
  </si>
  <si>
    <t>7330057028911</t>
  </si>
  <si>
    <t>7330057028928</t>
  </si>
  <si>
    <t>7330057028935</t>
  </si>
  <si>
    <t>7330057028942</t>
  </si>
  <si>
    <t>7330057028959</t>
  </si>
  <si>
    <t>7330057028966</t>
  </si>
  <si>
    <t>7330057028973</t>
  </si>
  <si>
    <t>7330057028980</t>
  </si>
  <si>
    <t>7330057028997</t>
  </si>
  <si>
    <t>7330057029000</t>
  </si>
  <si>
    <t>7330057029017</t>
  </si>
  <si>
    <t>7330057029024</t>
  </si>
  <si>
    <t>7330057029031</t>
  </si>
  <si>
    <t>7330057029048</t>
  </si>
  <si>
    <t>7330057029055</t>
  </si>
  <si>
    <t>7330057029062</t>
  </si>
  <si>
    <t>7330057029079</t>
  </si>
  <si>
    <t>7330057029086</t>
  </si>
  <si>
    <t>7330057029093</t>
  </si>
  <si>
    <t>7330057029109</t>
  </si>
  <si>
    <t>7330057029116</t>
  </si>
  <si>
    <t>7330057029123</t>
  </si>
  <si>
    <t>7330057029130</t>
  </si>
  <si>
    <t>7330057029147</t>
  </si>
  <si>
    <t>7330057029154</t>
  </si>
  <si>
    <t>7330057029161</t>
  </si>
  <si>
    <t>7330057029178</t>
  </si>
  <si>
    <t>7330057029185</t>
  </si>
  <si>
    <t>7330057029192</t>
  </si>
  <si>
    <t>7330057029208</t>
  </si>
  <si>
    <t>7330057029215</t>
  </si>
  <si>
    <t>7330057029222</t>
  </si>
  <si>
    <t>7330057029239</t>
  </si>
  <si>
    <t>7330057029246</t>
  </si>
  <si>
    <t>7330057029253</t>
  </si>
  <si>
    <t>7330057029260</t>
  </si>
  <si>
    <t>7330057029277</t>
  </si>
  <si>
    <t>7330057029284</t>
  </si>
  <si>
    <t>7330057029291</t>
  </si>
  <si>
    <t>7330057029307</t>
  </si>
  <si>
    <t>7330057029314</t>
  </si>
  <si>
    <t>7330057029321</t>
  </si>
  <si>
    <t>7330057029338</t>
  </si>
  <si>
    <t>7330057029345</t>
  </si>
  <si>
    <t>7330057029352</t>
  </si>
  <si>
    <t>7330057029369</t>
  </si>
  <si>
    <t>7330057029376</t>
  </si>
  <si>
    <t>7330057029383</t>
  </si>
  <si>
    <t>7330057029390</t>
  </si>
  <si>
    <t>7330057029406</t>
  </si>
  <si>
    <t>7330057029413</t>
  </si>
  <si>
    <t>7330057029420</t>
  </si>
  <si>
    <t>7330057029437</t>
  </si>
  <si>
    <t>7330057029444</t>
  </si>
  <si>
    <t>7330057029451</t>
  </si>
  <si>
    <t>7330057029468</t>
  </si>
  <si>
    <t>7330057029475</t>
  </si>
  <si>
    <t>7330057029482</t>
  </si>
  <si>
    <t>7330057029499</t>
  </si>
  <si>
    <t>7330057029505</t>
  </si>
  <si>
    <t>7330057029512</t>
  </si>
  <si>
    <t>7330057029529</t>
  </si>
  <si>
    <t>7330057029536</t>
  </si>
  <si>
    <t>7330057029543</t>
  </si>
  <si>
    <t>7330057029550</t>
  </si>
  <si>
    <t>7330057029567</t>
  </si>
  <si>
    <t>7330057029574</t>
  </si>
  <si>
    <t>7330057029581</t>
  </si>
  <si>
    <t>7330057029598</t>
  </si>
  <si>
    <t>7330057029604</t>
  </si>
  <si>
    <t>7330057029611</t>
  </si>
  <si>
    <t>7330057029628</t>
  </si>
  <si>
    <t>7330057029635</t>
  </si>
  <si>
    <t>7330057029642</t>
  </si>
  <si>
    <t>7330057029659</t>
  </si>
  <si>
    <t>7330057029666</t>
  </si>
  <si>
    <t>7330057029673</t>
  </si>
  <si>
    <t>7330057029680</t>
  </si>
  <si>
    <t>7330057029697</t>
  </si>
  <si>
    <t>7330057029703</t>
  </si>
  <si>
    <t>7330057029710</t>
  </si>
  <si>
    <t>7330057029727</t>
  </si>
  <si>
    <t>7330057029734</t>
  </si>
  <si>
    <t>7330057029741</t>
  </si>
  <si>
    <t>7330057029758</t>
  </si>
  <si>
    <t>7330057029765</t>
  </si>
  <si>
    <t>7330057029772</t>
  </si>
  <si>
    <t>7330057029789</t>
  </si>
  <si>
    <t>7330057029796</t>
  </si>
  <si>
    <t>7330057029802</t>
  </si>
  <si>
    <t>7330057029819</t>
  </si>
  <si>
    <t>7330057029826</t>
  </si>
  <si>
    <t>7330057029833</t>
  </si>
  <si>
    <t>7330057029840</t>
  </si>
  <si>
    <t>7330057029857</t>
  </si>
  <si>
    <t>7330057029864</t>
  </si>
  <si>
    <t>7330057029871</t>
  </si>
  <si>
    <t>7330057029888</t>
  </si>
  <si>
    <t>7330057029895</t>
  </si>
  <si>
    <t>7330057029901</t>
  </si>
  <si>
    <t>7330057029918</t>
  </si>
  <si>
    <t>7330057029925</t>
  </si>
  <si>
    <t>7330057029932</t>
  </si>
  <si>
    <t>7330057029949</t>
  </si>
  <si>
    <t>7330057029956</t>
  </si>
  <si>
    <t>7330057029963</t>
  </si>
  <si>
    <t>7330057030259</t>
  </si>
  <si>
    <t>7330057030310</t>
  </si>
  <si>
    <t>7330057030327</t>
  </si>
  <si>
    <t>7330057030389</t>
  </si>
  <si>
    <t>7330057030396</t>
  </si>
  <si>
    <t>7330057030457</t>
  </si>
  <si>
    <t>7330057030464</t>
  </si>
  <si>
    <t>7330057030525</t>
  </si>
  <si>
    <t>7330057030532</t>
  </si>
  <si>
    <t>7330057030549</t>
  </si>
  <si>
    <t>7330057030556</t>
  </si>
  <si>
    <t>7330057030563</t>
  </si>
  <si>
    <t>7330057030617</t>
  </si>
  <si>
    <t>7330057030624</t>
  </si>
  <si>
    <t>7330057030631</t>
  </si>
  <si>
    <t>7330057030648</t>
  </si>
  <si>
    <t>7330057030655</t>
  </si>
  <si>
    <t>7330057030662</t>
  </si>
  <si>
    <t>7330057030747</t>
  </si>
  <si>
    <t>7330057030754</t>
  </si>
  <si>
    <t>7330057030761</t>
  </si>
  <si>
    <t>7330057030778</t>
  </si>
  <si>
    <t>7330057030785</t>
  </si>
  <si>
    <t>7330057030792</t>
  </si>
  <si>
    <t>7330057030808</t>
  </si>
  <si>
    <t>A00239040-XXS</t>
  </si>
  <si>
    <t>A00239040-XS</t>
  </si>
  <si>
    <t>A00239040-S</t>
  </si>
  <si>
    <t>A00239040-M</t>
  </si>
  <si>
    <t>A00239040-L</t>
  </si>
  <si>
    <t>A00239040-XL</t>
  </si>
  <si>
    <t>A00239040-XXL</t>
  </si>
  <si>
    <t>A00239006-XXS</t>
  </si>
  <si>
    <t>A00239006-XS</t>
  </si>
  <si>
    <t>A00239006-S</t>
  </si>
  <si>
    <t>A00239006-M</t>
  </si>
  <si>
    <t>A00239006-L</t>
  </si>
  <si>
    <t>A00239006-XL</t>
  </si>
  <si>
    <t>A00239006-XXL</t>
  </si>
  <si>
    <t>A00240091-XXS</t>
  </si>
  <si>
    <t>A00240091-XS</t>
  </si>
  <si>
    <t>A00240091-S</t>
  </si>
  <si>
    <t>A00240091-M</t>
  </si>
  <si>
    <t>A00240091-L</t>
  </si>
  <si>
    <t>A00240091-XL</t>
  </si>
  <si>
    <t>A00240091-XXL</t>
  </si>
  <si>
    <t>A00240092-XXS</t>
  </si>
  <si>
    <t>A00240092-XS</t>
  </si>
  <si>
    <t>A00240092-S</t>
  </si>
  <si>
    <t>A00240092-M</t>
  </si>
  <si>
    <t>A00240092-L</t>
  </si>
  <si>
    <t>A00240092-XL</t>
  </si>
  <si>
    <t>A00240092-XXL</t>
  </si>
  <si>
    <t>A00241009-XXS</t>
  </si>
  <si>
    <t>A00241009-XS</t>
  </si>
  <si>
    <t>A00241009-S</t>
  </si>
  <si>
    <t>A00241009-M</t>
  </si>
  <si>
    <t>A00241009-L</t>
  </si>
  <si>
    <t>A00241009-XL</t>
  </si>
  <si>
    <t>A00241009-XXL</t>
  </si>
  <si>
    <t>7330057030884</t>
  </si>
  <si>
    <t>7330057030891</t>
  </si>
  <si>
    <t>7330057030907</t>
  </si>
  <si>
    <t>7330057030914</t>
  </si>
  <si>
    <t>7330057030921</t>
  </si>
  <si>
    <t>7330057030938</t>
  </si>
  <si>
    <t>7330057030945</t>
  </si>
  <si>
    <t>A00242029-XXS</t>
  </si>
  <si>
    <t>A00242029-XS</t>
  </si>
  <si>
    <t>A00242029-S</t>
  </si>
  <si>
    <t>A00242029-M</t>
  </si>
  <si>
    <t>A00242029-L</t>
  </si>
  <si>
    <t>A00242029-XL</t>
  </si>
  <si>
    <t>A00242029-XXL</t>
  </si>
  <si>
    <t>Boyfriends Hoodie Top</t>
  </si>
  <si>
    <t>A00244094-XXS</t>
  </si>
  <si>
    <t>A00244094-XS</t>
  </si>
  <si>
    <t>A00244094-S</t>
  </si>
  <si>
    <t>A00244094-M</t>
  </si>
  <si>
    <t>A00244094-L</t>
  </si>
  <si>
    <t>A00244094-XL</t>
  </si>
  <si>
    <t>A00244094-XXL</t>
  </si>
  <si>
    <t>A00245095-XXS</t>
  </si>
  <si>
    <t>A00245095-XS</t>
  </si>
  <si>
    <t>A00245095-S</t>
  </si>
  <si>
    <t>A00245095-M</t>
  </si>
  <si>
    <t>A00245095-L</t>
  </si>
  <si>
    <t>A00245095-XL</t>
  </si>
  <si>
    <t>A00245095-XXL</t>
  </si>
  <si>
    <t>A00246006-XXS</t>
  </si>
  <si>
    <t>A00246006-XS</t>
  </si>
  <si>
    <t>A00246006-S</t>
  </si>
  <si>
    <t>A00246006-M</t>
  </si>
  <si>
    <t>A00246006-L</t>
  </si>
  <si>
    <t>A00246006-XL</t>
  </si>
  <si>
    <t>A00246006-XXL</t>
  </si>
  <si>
    <t>A00246010-XXS</t>
  </si>
  <si>
    <t>A00246010-XS</t>
  </si>
  <si>
    <t>A00246010-S</t>
  </si>
  <si>
    <t>A00246010-M</t>
  </si>
  <si>
    <t>A00246010-L</t>
  </si>
  <si>
    <t>A00246010-XL</t>
  </si>
  <si>
    <t>A00246010-XXL</t>
  </si>
  <si>
    <t>A00246064-XXS</t>
  </si>
  <si>
    <t>A00246064-XS</t>
  </si>
  <si>
    <t>A00246064-S</t>
  </si>
  <si>
    <t>A00246064-M</t>
  </si>
  <si>
    <t>A00246064-L</t>
  </si>
  <si>
    <t>A00246064-XL</t>
  </si>
  <si>
    <t>A00246064-XXL</t>
  </si>
  <si>
    <t>A00246094-XXS</t>
  </si>
  <si>
    <t>A00246094-XS</t>
  </si>
  <si>
    <t>A00246094-S</t>
  </si>
  <si>
    <t>A00246094-M</t>
  </si>
  <si>
    <t>A00246094-L</t>
  </si>
  <si>
    <t>A00246094-XL</t>
  </si>
  <si>
    <t>A00246094-XXL</t>
  </si>
  <si>
    <t>A00247095-XXS</t>
  </si>
  <si>
    <t>A00247095-XS</t>
  </si>
  <si>
    <t>A00247095-S</t>
  </si>
  <si>
    <t>A00247095-M</t>
  </si>
  <si>
    <t>A00247095-L</t>
  </si>
  <si>
    <t>A00247095-XL</t>
  </si>
  <si>
    <t>A00247095-XXL</t>
  </si>
  <si>
    <t>A00247094-XXS</t>
  </si>
  <si>
    <t>A00247094-XS</t>
  </si>
  <si>
    <t>A00247094-S</t>
  </si>
  <si>
    <t>A00247094-M</t>
  </si>
  <si>
    <t>A00247094-L</t>
  </si>
  <si>
    <t>A00247094-XL</t>
  </si>
  <si>
    <t>A00247094-XXL</t>
  </si>
  <si>
    <t>A00247029-XXS</t>
  </si>
  <si>
    <t>A00247029-XS</t>
  </si>
  <si>
    <t>A00247029-S</t>
  </si>
  <si>
    <t>A00247029-M</t>
  </si>
  <si>
    <t>A00247029-L</t>
  </si>
  <si>
    <t>A00247029-XL</t>
  </si>
  <si>
    <t>A00247029-XXL</t>
  </si>
  <si>
    <t>A00247009-XXS</t>
  </si>
  <si>
    <t>A00247009-XS</t>
  </si>
  <si>
    <t>A00247009-S</t>
  </si>
  <si>
    <t>A00247009-M</t>
  </si>
  <si>
    <t>A00247009-L</t>
  </si>
  <si>
    <t>A00247009-XL</t>
  </si>
  <si>
    <t>A00247009-XXL</t>
  </si>
  <si>
    <t>A00247040-XXS</t>
  </si>
  <si>
    <t>A00247040-XS</t>
  </si>
  <si>
    <t>A00247040-S</t>
  </si>
  <si>
    <t>A00247040-M</t>
  </si>
  <si>
    <t>A00247040-L</t>
  </si>
  <si>
    <t>A00247040-XL</t>
  </si>
  <si>
    <t>A00247040-XXL</t>
  </si>
  <si>
    <t>A00247091-XXS</t>
  </si>
  <si>
    <t>A00247091-XS</t>
  </si>
  <si>
    <t>A00247091-S</t>
  </si>
  <si>
    <t>A00247091-M</t>
  </si>
  <si>
    <t>A00247091-L</t>
  </si>
  <si>
    <t>A00247091-XL</t>
  </si>
  <si>
    <t>A00247091-XXL</t>
  </si>
  <si>
    <t>A00247092-XXS</t>
  </si>
  <si>
    <t>A00247092-XS</t>
  </si>
  <si>
    <t>A00247092-S</t>
  </si>
  <si>
    <t>A00247092-M</t>
  </si>
  <si>
    <t>A00247092-L</t>
  </si>
  <si>
    <t>A00247092-XL</t>
  </si>
  <si>
    <t>A00247092-XXL</t>
  </si>
  <si>
    <t>A00248009-XXS</t>
  </si>
  <si>
    <t>A00248009-XS</t>
  </si>
  <si>
    <t>A00248009-S</t>
  </si>
  <si>
    <t>A00248009-M</t>
  </si>
  <si>
    <t>A00248009-L</t>
  </si>
  <si>
    <t>A00248009-XL</t>
  </si>
  <si>
    <t>A00248009-XXL</t>
  </si>
  <si>
    <t>A00249080-XXS</t>
  </si>
  <si>
    <t>A00249080-XS</t>
  </si>
  <si>
    <t>A00249080-S</t>
  </si>
  <si>
    <t>A00249080-M</t>
  </si>
  <si>
    <t>A00249080-L</t>
  </si>
  <si>
    <t>A00249080-XL</t>
  </si>
  <si>
    <t>A00249080-XXL</t>
  </si>
  <si>
    <t>Offwhite &amp; Leopard</t>
  </si>
  <si>
    <t>A00250001-XXS</t>
  </si>
  <si>
    <t>A00250001-XS</t>
  </si>
  <si>
    <t>A00250001-S</t>
  </si>
  <si>
    <t>A00250001-M</t>
  </si>
  <si>
    <t>A00250001-L</t>
  </si>
  <si>
    <t>A00250001-XL</t>
  </si>
  <si>
    <t>A00250001-XXL</t>
  </si>
  <si>
    <t>A00250092-XXS</t>
  </si>
  <si>
    <t>A00250092-XS</t>
  </si>
  <si>
    <t>A00250092-S</t>
  </si>
  <si>
    <t>A00250092-M</t>
  </si>
  <si>
    <t>A00250092-L</t>
  </si>
  <si>
    <t>A00250092-XL</t>
  </si>
  <si>
    <t>A00250092-XXL</t>
  </si>
  <si>
    <t>A00250094-XXS</t>
  </si>
  <si>
    <t>A00250094-XS</t>
  </si>
  <si>
    <t>A00250094-S</t>
  </si>
  <si>
    <t>A00250094-M</t>
  </si>
  <si>
    <t>A00250094-L</t>
  </si>
  <si>
    <t>A00250094-XL</t>
  </si>
  <si>
    <t>A00250094-XXL</t>
  </si>
  <si>
    <t>A00250096-XXS</t>
  </si>
  <si>
    <t>A00250096-XS</t>
  </si>
  <si>
    <t>A00250096-S</t>
  </si>
  <si>
    <t>A00250096-M</t>
  </si>
  <si>
    <t>A00250096-L</t>
  </si>
  <si>
    <t>A00250096-XL</t>
  </si>
  <si>
    <t>A00250096-XXL</t>
  </si>
  <si>
    <t>A00251094-XXS</t>
  </si>
  <si>
    <t>A00251094-XS</t>
  </si>
  <si>
    <t>A00251094-S</t>
  </si>
  <si>
    <t>A00251094-M</t>
  </si>
  <si>
    <t>A00251094-L</t>
  </si>
  <si>
    <t>A00251094-XL</t>
  </si>
  <si>
    <t>A00251094-XXL</t>
  </si>
  <si>
    <t>A00251095-XXS</t>
  </si>
  <si>
    <t>A00251095-XS</t>
  </si>
  <si>
    <t>A00251095-S</t>
  </si>
  <si>
    <t>A00251095-M</t>
  </si>
  <si>
    <t>A00251095-L</t>
  </si>
  <si>
    <t>A00251095-XL</t>
  </si>
  <si>
    <t>A00251095-XXL</t>
  </si>
  <si>
    <t>A00252064-XXS</t>
  </si>
  <si>
    <t>A00252064-XS</t>
  </si>
  <si>
    <t>A00252064-S</t>
  </si>
  <si>
    <t>A00252064-M</t>
  </si>
  <si>
    <t>A00252064-L</t>
  </si>
  <si>
    <t>A00252064-XL</t>
  </si>
  <si>
    <t>A00252064-XXL</t>
  </si>
  <si>
    <t>A00252009-XXS</t>
  </si>
  <si>
    <t>A00252009-XS</t>
  </si>
  <si>
    <t>A00252009-S</t>
  </si>
  <si>
    <t>A00252009-M</t>
  </si>
  <si>
    <t>A00252009-L</t>
  </si>
  <si>
    <t>A00252009-XL</t>
  </si>
  <si>
    <t>A00252009-XXL</t>
  </si>
  <si>
    <t>A00253015-XXS</t>
  </si>
  <si>
    <t>A00253015-XS</t>
  </si>
  <si>
    <t>A00253015-S</t>
  </si>
  <si>
    <t>A00253015-M</t>
  </si>
  <si>
    <t>A00253015-L</t>
  </si>
  <si>
    <t>A00253015-XL</t>
  </si>
  <si>
    <t>A00253015-XXL</t>
  </si>
  <si>
    <t>A00254040-36-38</t>
  </si>
  <si>
    <t>A00254040-39-41</t>
  </si>
  <si>
    <t>A00254091-36-38</t>
  </si>
  <si>
    <t>A00254091-39-41</t>
  </si>
  <si>
    <t>A00254092-36-38</t>
  </si>
  <si>
    <t>A00254092-39-41</t>
  </si>
  <si>
    <t>A00254009-36-38</t>
  </si>
  <si>
    <t>A00254009-39-41</t>
  </si>
  <si>
    <t>A00254029-36-38</t>
  </si>
  <si>
    <t>A00254029-39-41</t>
  </si>
  <si>
    <t>A00255094-36-38</t>
  </si>
  <si>
    <t>A00255094-39-41</t>
  </si>
  <si>
    <t>A00255095-36-38</t>
  </si>
  <si>
    <t>A00255095-39-41</t>
  </si>
  <si>
    <t>A00256091-ONESIZ</t>
  </si>
  <si>
    <t>A00256081-ONESIZ</t>
  </si>
  <si>
    <t>A00257091-ONESIZ</t>
  </si>
  <si>
    <t>A00258092-ONESIZ</t>
  </si>
  <si>
    <t>A00258010-ONESIZ</t>
  </si>
  <si>
    <t>A00258094-ONESIZ</t>
  </si>
  <si>
    <t>A00259094-ONESIZ</t>
  </si>
  <si>
    <t>A00259010-ONESIZ</t>
  </si>
  <si>
    <t>A00259092-ONESIZ</t>
  </si>
  <si>
    <t>A00259001-ONESIZ</t>
  </si>
  <si>
    <t>A00260029-ONESIZ</t>
  </si>
  <si>
    <t>A00260040-ONESIZ</t>
  </si>
  <si>
    <t>A00260064-ONESIZ</t>
  </si>
  <si>
    <t>A00261040-ONESIZ</t>
  </si>
  <si>
    <t>A00261029-ONESIZ</t>
  </si>
  <si>
    <t>A00261064-ONESIZ</t>
  </si>
  <si>
    <t>A00262041-ONESIZ</t>
  </si>
  <si>
    <t>A00262029-ONESIZ</t>
  </si>
  <si>
    <t>A00263001-ONESIZ</t>
  </si>
  <si>
    <t>A00263040-ONESIZ</t>
  </si>
  <si>
    <t>A00263015-ONESIZ</t>
  </si>
  <si>
    <t>A00264095-ONESIZ</t>
  </si>
  <si>
    <t>A00264094-ONESIZ</t>
  </si>
  <si>
    <t>A00265001-ONESIZ</t>
  </si>
  <si>
    <t>A00265062-ONESIZ</t>
  </si>
  <si>
    <t>A00266001-ONESIZ</t>
  </si>
  <si>
    <t>A00266064-ONESIZ</t>
  </si>
  <si>
    <t>A00267098-XXS</t>
  </si>
  <si>
    <t>A00267098-XS</t>
  </si>
  <si>
    <t>A00267098-S</t>
  </si>
  <si>
    <t>A00267098-M</t>
  </si>
  <si>
    <t>A00267098-L</t>
  </si>
  <si>
    <t>A00267098-XL</t>
  </si>
  <si>
    <t>A00267098-XXL</t>
  </si>
  <si>
    <t>A00269099-XXS</t>
  </si>
  <si>
    <t>A00269099-XS</t>
  </si>
  <si>
    <t>A00269099-S</t>
  </si>
  <si>
    <t>A00269099-M</t>
  </si>
  <si>
    <t>A00269099-L</t>
  </si>
  <si>
    <t>A00269099-XL</t>
  </si>
  <si>
    <t>A00269099-XXL</t>
  </si>
  <si>
    <t>A00268098-XXS</t>
  </si>
  <si>
    <t>A00268098-XS</t>
  </si>
  <si>
    <t>A00268098-S</t>
  </si>
  <si>
    <t>A00268098-M</t>
  </si>
  <si>
    <t>A00268098-L</t>
  </si>
  <si>
    <t>A00268098-XL</t>
  </si>
  <si>
    <t>A00268098-XXL</t>
  </si>
  <si>
    <t>A00268099-XXS</t>
  </si>
  <si>
    <t>A00268099-XS</t>
  </si>
  <si>
    <t>A00268099-S</t>
  </si>
  <si>
    <t>A00268099-M</t>
  </si>
  <si>
    <t>A00268099-L</t>
  </si>
  <si>
    <t>A00268099-XL</t>
  </si>
  <si>
    <t>A00268099-XXL</t>
  </si>
  <si>
    <t>A00270098-XXS</t>
  </si>
  <si>
    <t>A00270098-XS</t>
  </si>
  <si>
    <t>A00270098-S</t>
  </si>
  <si>
    <t>A00270098-M</t>
  </si>
  <si>
    <t>A00270098-L</t>
  </si>
  <si>
    <t>A00270098-XL</t>
  </si>
  <si>
    <t>A00270098-XXL</t>
  </si>
  <si>
    <t>A00270099-XXS</t>
  </si>
  <si>
    <t>A00270099-XS</t>
  </si>
  <si>
    <t>A00270099-S</t>
  </si>
  <si>
    <t>A00270099-M</t>
  </si>
  <si>
    <t>A00270099-L</t>
  </si>
  <si>
    <t>A00270099-XL</t>
  </si>
  <si>
    <t>A00270099-XXL</t>
  </si>
  <si>
    <t>A00271098-XXS</t>
  </si>
  <si>
    <t>A00271098-XS</t>
  </si>
  <si>
    <t>A00271098-S</t>
  </si>
  <si>
    <t>A00271098-M</t>
  </si>
  <si>
    <t>A00271098-L</t>
  </si>
  <si>
    <t>A00271098-XL</t>
  </si>
  <si>
    <t>A00271098-XXL</t>
  </si>
  <si>
    <t>A00271099-XXS</t>
  </si>
  <si>
    <t>A00271099-XS</t>
  </si>
  <si>
    <t>A00271099-S</t>
  </si>
  <si>
    <t>A00271099-M</t>
  </si>
  <si>
    <t>A00271099-L</t>
  </si>
  <si>
    <t>A00271099-XL</t>
  </si>
  <si>
    <t>A00271099-XXL</t>
  </si>
  <si>
    <t>A00272098-XXS</t>
  </si>
  <si>
    <t>A00272098-XS</t>
  </si>
  <si>
    <t>A00272098-S</t>
  </si>
  <si>
    <t>A00272098-M</t>
  </si>
  <si>
    <t>A00272098-L</t>
  </si>
  <si>
    <t>A00272098-XL</t>
  </si>
  <si>
    <t>A00272098-XXL</t>
  </si>
  <si>
    <t>A00272099-XXS</t>
  </si>
  <si>
    <t>A00272099-XS</t>
  </si>
  <si>
    <t>A00272099-S</t>
  </si>
  <si>
    <t>A00272099-M</t>
  </si>
  <si>
    <t>A00272099-L</t>
  </si>
  <si>
    <t>A00272099-XL</t>
  </si>
  <si>
    <t>A00272099-XXL</t>
  </si>
  <si>
    <t>7330057030952</t>
  </si>
  <si>
    <t>7330057030969</t>
  </si>
  <si>
    <t>7330057030976</t>
  </si>
  <si>
    <t>7330057030983</t>
  </si>
  <si>
    <t>7330057030990</t>
  </si>
  <si>
    <t>7330057031003</t>
  </si>
  <si>
    <t>7330057031010</t>
  </si>
  <si>
    <t>7330057031027</t>
  </si>
  <si>
    <t>7330057031034</t>
  </si>
  <si>
    <t>7330057031041</t>
  </si>
  <si>
    <t>7330057031058</t>
  </si>
  <si>
    <t>7330057031065</t>
  </si>
  <si>
    <t>7330057031072</t>
  </si>
  <si>
    <t>7330057031089</t>
  </si>
  <si>
    <t>A00273098-XXS</t>
  </si>
  <si>
    <t>A00273098-XS</t>
  </si>
  <si>
    <t>A00273098-S</t>
  </si>
  <si>
    <t>A00273098-M</t>
  </si>
  <si>
    <t>A00273098-L</t>
  </si>
  <si>
    <t>A00273098-XL</t>
  </si>
  <si>
    <t>A00273098-XXL</t>
  </si>
  <si>
    <t>A00273099-XXS</t>
  </si>
  <si>
    <t>A00273099-XS</t>
  </si>
  <si>
    <t>A00273099-S</t>
  </si>
  <si>
    <t>A00273099-M</t>
  </si>
  <si>
    <t>A00273099-L</t>
  </si>
  <si>
    <t>A00273099-XL</t>
  </si>
  <si>
    <t>A00273099-XXL</t>
  </si>
  <si>
    <t>A00275098-36-38</t>
  </si>
  <si>
    <t>A00275098-39-41</t>
  </si>
  <si>
    <t>A00275099-36-38</t>
  </si>
  <si>
    <t>A00275099-39-41</t>
  </si>
  <si>
    <t>A00276086-ONESIZ</t>
  </si>
  <si>
    <t>A00276087-ONESIZ</t>
  </si>
  <si>
    <t>A00276088-ONESIZ</t>
  </si>
  <si>
    <t>A00276089-ONESIZ</t>
  </si>
  <si>
    <t>A00276098-ONESIZ</t>
  </si>
  <si>
    <t>A00276099-ONESIZ</t>
  </si>
  <si>
    <t>7330057026443</t>
  </si>
  <si>
    <t>7330057026450</t>
  </si>
  <si>
    <t>7330057026467</t>
  </si>
  <si>
    <t>A00237086-ONESIZ</t>
  </si>
  <si>
    <t>A00237087-ONESIZ</t>
  </si>
  <si>
    <t>A00237088-ONESIZ</t>
  </si>
  <si>
    <t>A00237089-ONESIZ</t>
  </si>
  <si>
    <t>A00236086-XS</t>
  </si>
  <si>
    <t>A00236086-S</t>
  </si>
  <si>
    <t>A00236086-M</t>
  </si>
  <si>
    <t>A00236086-L</t>
  </si>
  <si>
    <t>A00236086-XL</t>
  </si>
  <si>
    <t>A00236087-XS</t>
  </si>
  <si>
    <t>A00236087-S</t>
  </si>
  <si>
    <t>A00236087-M</t>
  </si>
  <si>
    <t>A00236087-L</t>
  </si>
  <si>
    <t>A00236087-XL</t>
  </si>
  <si>
    <t>A00236088-XS</t>
  </si>
  <si>
    <t>A00236088-S</t>
  </si>
  <si>
    <t>A00236088-M</t>
  </si>
  <si>
    <t>A00236088-L</t>
  </si>
  <si>
    <t>A00236088-XL</t>
  </si>
  <si>
    <t>A00236089-XS</t>
  </si>
  <si>
    <t>A00236089-S</t>
  </si>
  <si>
    <t>A00236089-M</t>
  </si>
  <si>
    <t>A00236089-L</t>
  </si>
  <si>
    <t>A00236089-XL</t>
  </si>
  <si>
    <t>A00236086-XXS</t>
  </si>
  <si>
    <t>A00236086-XXL</t>
  </si>
  <si>
    <t>A00236087-XXS</t>
  </si>
  <si>
    <t>A00236087-XXL</t>
  </si>
  <si>
    <t>A00236088-XXS</t>
  </si>
  <si>
    <t>A00236088-XXL</t>
  </si>
  <si>
    <t>A00236089-XXS</t>
  </si>
  <si>
    <t>A00236089-XXL</t>
  </si>
  <si>
    <t>A00235086-XXS</t>
  </si>
  <si>
    <t>A00235086-XS</t>
  </si>
  <si>
    <t>A00235086-S</t>
  </si>
  <si>
    <t>A00235086-M</t>
  </si>
  <si>
    <t>A00235086-L</t>
  </si>
  <si>
    <t>A00235086-XL</t>
  </si>
  <si>
    <t>A00235086-XXL</t>
  </si>
  <si>
    <t>A00235087-XXS</t>
  </si>
  <si>
    <t>A00235087-XS</t>
  </si>
  <si>
    <t>A00235087-S</t>
  </si>
  <si>
    <t>A00235087-M</t>
  </si>
  <si>
    <t>A00235087-L</t>
  </si>
  <si>
    <t>A00235087-XL</t>
  </si>
  <si>
    <t>A00235087-XXL</t>
  </si>
  <si>
    <t>A00235088-XXS</t>
  </si>
  <si>
    <t>A00235088-XS</t>
  </si>
  <si>
    <t>A00235088-S</t>
  </si>
  <si>
    <t>A00235088-M</t>
  </si>
  <si>
    <t>A00235088-L</t>
  </si>
  <si>
    <t>A00235088-XL</t>
  </si>
  <si>
    <t>A00235088-XXL</t>
  </si>
  <si>
    <t>A00235089-XXS</t>
  </si>
  <si>
    <t>A00235089-XS</t>
  </si>
  <si>
    <t>A00235089-S</t>
  </si>
  <si>
    <t>A00235089-M</t>
  </si>
  <si>
    <t>A00235089-L</t>
  </si>
  <si>
    <t>A00235089-XL</t>
  </si>
  <si>
    <t>A00235089-XXL</t>
  </si>
  <si>
    <t>A00203097-XXS</t>
  </si>
  <si>
    <t>A00203097-XS</t>
  </si>
  <si>
    <t>A00203097-S</t>
  </si>
  <si>
    <t>A00203097-M</t>
  </si>
  <si>
    <t>A00203097-L</t>
  </si>
  <si>
    <t>A00203097-XL</t>
  </si>
  <si>
    <t>A00203097-XXL</t>
  </si>
  <si>
    <t>Wall Flowers</t>
  </si>
  <si>
    <t>A00241100-XXS</t>
  </si>
  <si>
    <t>A00241100-XS</t>
  </si>
  <si>
    <t>A00241100-S</t>
  </si>
  <si>
    <t>A00241100-M</t>
  </si>
  <si>
    <t>A00241100-L</t>
  </si>
  <si>
    <t>A00241100-XL</t>
  </si>
  <si>
    <t>A00241100-XXL</t>
  </si>
  <si>
    <t>A00247100-XXS</t>
  </si>
  <si>
    <t>A00247100-XS</t>
  </si>
  <si>
    <t>A00247100-S</t>
  </si>
  <si>
    <t>A00247100-M</t>
  </si>
  <si>
    <t>A00247100-L</t>
  </si>
  <si>
    <t>A00247100-XL</t>
  </si>
  <si>
    <t>A00247100-XXL</t>
  </si>
  <si>
    <t>A00243064-XXS</t>
  </si>
  <si>
    <t>A00243064-XS</t>
  </si>
  <si>
    <t>A00243064-S</t>
  </si>
  <si>
    <t>A00243064-M</t>
  </si>
  <si>
    <t>A00243064-L</t>
  </si>
  <si>
    <t>A00243064-XL</t>
  </si>
  <si>
    <t>A00243064-XXL</t>
  </si>
  <si>
    <t>A00257064-ONESIZ</t>
  </si>
  <si>
    <t>Ext</t>
  </si>
  <si>
    <t>DISCOUNT STRUCTURE  AND POLICY</t>
  </si>
  <si>
    <t>ORDER TOTAL</t>
  </si>
  <si>
    <t>VOLUME DISCOUNT</t>
  </si>
  <si>
    <t>*To qualify for  booking terms a minimum order of $ 1,000 must be made by order deadline</t>
  </si>
  <si>
    <t>$ 2, 001 - $ 5,000</t>
  </si>
  <si>
    <t>*All orders are subject to availability.</t>
  </si>
  <si>
    <t>$ 5,001 -10,000</t>
  </si>
  <si>
    <t xml:space="preserve">*Orders received after booking deadline will not be eligible for discounts. </t>
  </si>
  <si>
    <t>$ 10,000 +</t>
  </si>
  <si>
    <t>CREDIT TERMS &amp; LIMITS</t>
  </si>
  <si>
    <t>* To receive discounts order MUST be submitted by order deadline. All product is Subject To Prior Sale</t>
  </si>
  <si>
    <t>* Booking terms are COD from the date of shipment (On Approved Credit) If minimum booking volume is not met.</t>
  </si>
  <si>
    <t xml:space="preserve">* Booking terms are Net 60 Days if minimum booking is met. Late Payment of 2% monthly will be applied. </t>
  </si>
  <si>
    <t xml:space="preserve">* After the expiration date all backorders will be shipped on regular terms. </t>
  </si>
  <si>
    <t>* To qualify for Eivy Booking Terms your Nitro Snowboards Canada account must be current in good standing.</t>
  </si>
  <si>
    <t>* Discounts may be given as a credit at time of on-time payment, for dealers with previous payment history concerns.</t>
  </si>
  <si>
    <t>* Please fill out order form completely, including signature at bottom.</t>
  </si>
  <si>
    <t>* PDC's may be required on orders over $ 5,000.</t>
  </si>
  <si>
    <t>* If start ship and cancel dates are not filled in on the order form, product is to ship as ready.</t>
  </si>
  <si>
    <t xml:space="preserve">* 2% surcharge will be applied to orders purchased with credit card.  </t>
  </si>
  <si>
    <t>* Orders submitted after the order deadline will not qualify for discounts and terms.</t>
  </si>
  <si>
    <t xml:space="preserve">* Dealer must receive written approval to sell products outside of approved store location(s). </t>
  </si>
  <si>
    <t xml:space="preserve">* Sale of products through auctions, or online is prohibited via mail order, online sales and online auctions is strictly forbidden. </t>
  </si>
  <si>
    <t>** Account must be in good standing, with updated and accurate information. Account will be placed on hold in the event that a dealer account falls from good standing</t>
  </si>
  <si>
    <t xml:space="preserve">** Payment terms may not be adjusted unless approved through Nitro Snowboards Accounting Department. </t>
  </si>
  <si>
    <t>DELIVERY</t>
  </si>
  <si>
    <t>* Nitro Snowboards Canada reserves the right to choose shipping methods.</t>
  </si>
  <si>
    <t>* Packingslip will be attached to outside of box.  In larger orders with multiple boxes, the invoice will be attached to the first box.</t>
  </si>
  <si>
    <t>* Nitro Snowboards reserves the right to charge a 15% re-stocking fee in the case of dealer refusal.</t>
  </si>
  <si>
    <t>* Nitro Snowboards reserves the right to deliver up to 14 days prior to dealer's requested delivery date without notification or permission.</t>
  </si>
  <si>
    <t>* COD Shipments under $ 5, 000 will be shipped without Dealer Authorization.</t>
  </si>
  <si>
    <t>ORDER CHANGES (REORDERS &amp; CANCELLATIONS)</t>
  </si>
  <si>
    <t>* Order adjustments / cancellations must be submitted in writing</t>
  </si>
  <si>
    <t xml:space="preserve">* All orders placed after the order deadline will be considered reorders and do not qualify for preseason discounts. </t>
  </si>
  <si>
    <t>* Nitro Snowboards reserves the right to substitute reorder products that are not available.</t>
  </si>
  <si>
    <t>* Nitro Snowboards reserves the right to adjust discounts to reflect new order value.</t>
  </si>
  <si>
    <t>NEW ACCOUNTS</t>
  </si>
  <si>
    <t>* Dealers must complete a dealer authorization and credit application, and receive approval before placing an order.</t>
  </si>
  <si>
    <t xml:space="preserve"> ALL SALES ARE SUBJECT TO TERMS AND CONDITIONS OF NITRO SNOWBOARDS AUTHORIZED DEALER APPLICATION </t>
  </si>
  <si>
    <t>* Dealer pricing can fluctuate according to currency, factory pricing and or freight costs to Jan 1, 2023</t>
  </si>
  <si>
    <t>* Earliest Delivery date is September 20, 2022</t>
  </si>
  <si>
    <t>* Cancel date for Drop 2 product not shipped is February 1, 2023</t>
  </si>
  <si>
    <t>SHIP TO :</t>
  </si>
  <si>
    <t>PO#</t>
  </si>
  <si>
    <t>TOTAL :</t>
  </si>
  <si>
    <t>BILL TO :</t>
  </si>
  <si>
    <t>ACCESSORIES</t>
  </si>
  <si>
    <t>DEADLINE - February 1, 2022</t>
  </si>
  <si>
    <t>DROP ONE:</t>
  </si>
  <si>
    <t>BASELAYER</t>
  </si>
  <si>
    <t>FLEECE</t>
  </si>
  <si>
    <t>DROP ONE TOTAL:</t>
  </si>
  <si>
    <t>DROP TWO:</t>
  </si>
  <si>
    <t>BASELAYERS</t>
  </si>
  <si>
    <t>DROP TWO TOTAL:</t>
  </si>
  <si>
    <t>ORDER  TOTAL:</t>
  </si>
  <si>
    <t>Total:</t>
  </si>
  <si>
    <t>Wholesale</t>
  </si>
  <si>
    <t>Retail</t>
  </si>
  <si>
    <t>Baselayer</t>
  </si>
  <si>
    <t>CARRY OVER</t>
  </si>
  <si>
    <t>CARRY OVERS</t>
  </si>
  <si>
    <t>2022-2023 EIVY USA BOOKING PROGRAM</t>
  </si>
  <si>
    <t xml:space="preserve">* All orders are subject to credit approval by Foundry Distribution and may be rejected without cause or liability.  </t>
  </si>
  <si>
    <t>* Cancel date for Drop 1 product not shipped is January 1, 2023</t>
  </si>
  <si>
    <t>NOTES:</t>
  </si>
  <si>
    <t>CONTACT:</t>
  </si>
  <si>
    <t xml:space="preserve">Foundry Distribution - 3602 Via Terra Street, Salt Lake City, Utah 84115							
p. 801.994.6484   e. info@foundrydist.com									</t>
  </si>
  <si>
    <t>A00197001-XXS</t>
  </si>
  <si>
    <t>A00197001-XS</t>
  </si>
  <si>
    <t>A00197001-S</t>
  </si>
  <si>
    <t>A00197001-M</t>
  </si>
  <si>
    <t>A00197001-L</t>
  </si>
  <si>
    <t>A00197001-XL</t>
  </si>
  <si>
    <t>A00197001-XXL</t>
  </si>
  <si>
    <t>7330057031249</t>
  </si>
  <si>
    <t>7330057031256</t>
  </si>
  <si>
    <t>7330057031263</t>
  </si>
  <si>
    <t>7330057031270</t>
  </si>
  <si>
    <t>7330057031287</t>
  </si>
  <si>
    <t>7330057031294</t>
  </si>
  <si>
    <t>7330057031300</t>
  </si>
  <si>
    <t>A00191077-XXS</t>
  </si>
  <si>
    <t>A00191077-XS</t>
  </si>
  <si>
    <t>A00191077-S</t>
  </si>
  <si>
    <t>A00191077-M</t>
  </si>
  <si>
    <t>A00191077-L</t>
  </si>
  <si>
    <t>A00191077-XL</t>
  </si>
  <si>
    <t>A00191077-XXL</t>
  </si>
  <si>
    <t>* Pricing may be adjusted for currency decline. All Pricing is in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</si>
</sst>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.0"/>
  </numFmts>
  <fonts count="4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41651"/>
      <name val="Calibri"/>
      <family val="2"/>
      <scheme val="minor"/>
    </font>
    <font>
      <sz val="12"/>
      <color rgb="FF272D8D"/>
      <name val="Calibri"/>
      <family val="2"/>
      <scheme val="minor"/>
    </font>
    <font>
      <sz val="12"/>
      <color rgb="FF30522B"/>
      <name val="Calibri"/>
      <family val="2"/>
      <scheme val="minor"/>
    </font>
    <font>
      <sz val="12"/>
      <color rgb="FF4E1F57"/>
      <name val="Calibri"/>
      <family val="2"/>
      <scheme val="minor"/>
    </font>
    <font>
      <b/>
      <sz val="12"/>
      <color rgb="FF4E1F57"/>
      <name val="Calibri"/>
      <family val="2"/>
      <scheme val="minor"/>
    </font>
    <font>
      <sz val="12"/>
      <color rgb="FF4E1F57"/>
      <name val="Calibri (Brödtext)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</font>
    <font>
      <b/>
      <sz val="12"/>
      <color theme="0"/>
      <name val="Calibri (Brödtext)_x0000_"/>
    </font>
    <font>
      <sz val="12"/>
      <name val="Calibri"/>
      <family val="2"/>
      <scheme val="minor"/>
    </font>
    <font>
      <sz val="12"/>
      <name val="Calibri"/>
      <family val="2"/>
    </font>
    <font>
      <sz val="12"/>
      <name val="Calibri (Brödtext)_x0000_"/>
    </font>
    <font>
      <sz val="12"/>
      <name val="Calibri (Brödtext)"/>
    </font>
    <font>
      <sz val="10"/>
      <color indexed="8"/>
      <name val="Calibri"/>
      <family val="2"/>
    </font>
    <font>
      <sz val="6"/>
      <color indexed="8"/>
      <name val="Calibri"/>
      <family val="2"/>
    </font>
    <font>
      <sz val="10"/>
      <color indexed="8"/>
      <name val="Helv"/>
    </font>
    <font>
      <b/>
      <sz val="14"/>
      <color indexed="8"/>
      <name val="Calibri Bold"/>
    </font>
    <font>
      <b/>
      <sz val="10"/>
      <color indexed="8"/>
      <name val="Calibri"/>
      <family val="2"/>
    </font>
    <font>
      <b/>
      <sz val="6"/>
      <color indexed="9"/>
      <name val="Calibri"/>
      <family val="2"/>
    </font>
    <font>
      <b/>
      <i/>
      <sz val="8"/>
      <color theme="0"/>
      <name val="Calibri Bold"/>
    </font>
    <font>
      <b/>
      <sz val="6"/>
      <color indexed="8"/>
      <name val="Calibri"/>
      <family val="2"/>
    </font>
    <font>
      <sz val="8"/>
      <color indexed="8"/>
      <name val="Calibri"/>
      <family val="2"/>
    </font>
    <font>
      <sz val="5"/>
      <color rgb="FF000000"/>
      <name val="Calibri"/>
      <family val="2"/>
    </font>
    <font>
      <b/>
      <sz val="10"/>
      <color indexed="8"/>
      <name val="Helv"/>
    </font>
    <font>
      <b/>
      <sz val="14"/>
      <color theme="0"/>
      <name val="Helv"/>
    </font>
    <font>
      <sz val="10"/>
      <color theme="1"/>
      <name val="Helv"/>
    </font>
    <font>
      <b/>
      <sz val="10"/>
      <color theme="1"/>
      <name val="Helv"/>
    </font>
    <font>
      <b/>
      <sz val="12"/>
      <color indexed="8"/>
      <name val="Helv"/>
    </font>
    <font>
      <b/>
      <sz val="12"/>
      <color theme="1"/>
      <name val="Helv"/>
    </font>
    <font>
      <b/>
      <sz val="10"/>
      <color theme="0"/>
      <name val="Helv"/>
    </font>
    <font>
      <sz val="12"/>
      <color indexed="8"/>
      <name val="Helv"/>
    </font>
    <font>
      <b/>
      <sz val="12"/>
      <color theme="0"/>
      <name val="Helv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1"/>
        <bgColor indexed="64"/>
      </patternFill>
    </fill>
    <fill>
      <patternFill patternType="solid">
        <fgColor indexed="9"/>
      </patternFill>
    </fill>
    <fill>
      <patternFill patternType="solid">
        <fgColor theme="0"/>
        <bgColor indexed="64"/>
      </patternFill>
    </fill>
    <fill>
      <patternFill patternType="solid">
        <fgColor indexed="8"/>
      </patternFill>
    </fill>
  </fills>
  <borders count="31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271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4" fillId="0" borderId="0" applyNumberFormat="0" applyFill="0" applyBorder="0" applyProtection="0">
      <alignment vertical="top" wrapText="1"/>
    </xf>
  </cellStyleXfs>
  <cellXfs count="266">
    <xf numFmtId="0" fontId="0" fillId="0" borderId="0" xfId="0"/>
    <xf numFmtId="0" fontId="12" fillId="0" borderId="0" xfId="0" applyFont="1" applyFill="1"/>
    <xf numFmtId="0" fontId="10" fillId="0" borderId="0" xfId="0" applyFont="1" applyFill="1"/>
    <xf numFmtId="0" fontId="9" fillId="0" borderId="0" xfId="0" applyFont="1" applyFill="1"/>
    <xf numFmtId="0" fontId="11" fillId="0" borderId="0" xfId="0" applyFont="1" applyFill="1"/>
    <xf numFmtId="0" fontId="0" fillId="0" borderId="0" xfId="0" applyFill="1"/>
    <xf numFmtId="0" fontId="13" fillId="0" borderId="0" xfId="0" applyFont="1" applyFill="1"/>
    <xf numFmtId="0" fontId="16" fillId="3" borderId="0" xfId="0" applyFont="1" applyFill="1" applyAlignment="1"/>
    <xf numFmtId="0" fontId="16" fillId="3" borderId="0" xfId="0" applyNumberFormat="1" applyFont="1" applyFill="1" applyAlignment="1"/>
    <xf numFmtId="0" fontId="1" fillId="0" borderId="0" xfId="0" applyFont="1" applyFill="1" applyBorder="1"/>
    <xf numFmtId="0" fontId="1" fillId="0" borderId="0" xfId="0" applyFont="1" applyFill="1" applyBorder="1" applyAlignment="1">
      <alignment horizontal="center"/>
    </xf>
    <xf numFmtId="0" fontId="2" fillId="0" borderId="0" xfId="0" applyFont="1" applyFill="1"/>
    <xf numFmtId="0" fontId="1" fillId="0" borderId="0" xfId="0" applyNumberFormat="1" applyFont="1" applyFill="1"/>
    <xf numFmtId="0" fontId="1" fillId="0" borderId="0" xfId="0" applyFont="1" applyFill="1"/>
    <xf numFmtId="0" fontId="1" fillId="0" borderId="0" xfId="0" applyFont="1" applyFill="1" applyAlignment="1">
      <alignment horizontal="center"/>
    </xf>
    <xf numFmtId="0" fontId="0" fillId="0" borderId="0" xfId="0" applyFont="1" applyFill="1" applyAlignment="1">
      <alignment horizontal="center"/>
    </xf>
    <xf numFmtId="0" fontId="15" fillId="0" borderId="0" xfId="0" applyFont="1" applyFill="1"/>
    <xf numFmtId="0" fontId="15" fillId="0" borderId="0" xfId="0" applyFont="1" applyFill="1" applyAlignment="1">
      <alignment horizontal="center"/>
    </xf>
    <xf numFmtId="0" fontId="15" fillId="0" borderId="0" xfId="0" applyFont="1" applyFill="1" applyAlignment="1">
      <alignment horizontal="right"/>
    </xf>
    <xf numFmtId="0" fontId="18" fillId="0" borderId="1" xfId="0" applyFont="1" applyFill="1" applyBorder="1" applyAlignment="1">
      <alignment horizontal="center"/>
    </xf>
    <xf numFmtId="0" fontId="17" fillId="3" borderId="0" xfId="0" applyFont="1" applyFill="1" applyBorder="1" applyAlignment="1">
      <alignment horizontal="center"/>
    </xf>
    <xf numFmtId="0" fontId="17" fillId="3" borderId="3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16" fillId="3" borderId="0" xfId="0" applyNumberFormat="1" applyFont="1" applyFill="1" applyBorder="1" applyAlignment="1"/>
    <xf numFmtId="0" fontId="16" fillId="3" borderId="0" xfId="0" applyFont="1" applyFill="1" applyBorder="1" applyAlignment="1"/>
    <xf numFmtId="0" fontId="18" fillId="0" borderId="1" xfId="0" applyFont="1" applyFill="1" applyBorder="1" applyAlignment="1"/>
    <xf numFmtId="0" fontId="0" fillId="3" borderId="0" xfId="0" applyFill="1"/>
    <xf numFmtId="0" fontId="1" fillId="0" borderId="1" xfId="0" applyFont="1" applyFill="1" applyBorder="1" applyAlignment="1">
      <alignment horizontal="center"/>
    </xf>
    <xf numFmtId="0" fontId="22" fillId="0" borderId="0" xfId="0" applyFont="1" applyAlignment="1">
      <alignment vertical="center" wrapText="1"/>
    </xf>
    <xf numFmtId="9" fontId="23" fillId="4" borderId="0" xfId="0" applyNumberFormat="1" applyFont="1" applyFill="1" applyAlignment="1">
      <alignment horizontal="center" vertical="center"/>
    </xf>
    <xf numFmtId="1" fontId="23" fillId="4" borderId="0" xfId="0" applyNumberFormat="1" applyFont="1" applyFill="1" applyAlignment="1">
      <alignment horizontal="right" vertical="center"/>
    </xf>
    <xf numFmtId="1" fontId="23" fillId="4" borderId="0" xfId="0" applyNumberFormat="1" applyFont="1" applyFill="1" applyAlignment="1">
      <alignment horizontal="left" vertical="center"/>
    </xf>
    <xf numFmtId="1" fontId="23" fillId="0" borderId="0" xfId="2270" applyNumberFormat="1" applyFont="1" applyFill="1" applyBorder="1" applyAlignment="1">
      <alignment vertical="center"/>
    </xf>
    <xf numFmtId="0" fontId="26" fillId="0" borderId="0" xfId="0" applyFont="1" applyAlignment="1">
      <alignment vertical="center" wrapText="1"/>
    </xf>
    <xf numFmtId="49" fontId="27" fillId="3" borderId="10" xfId="2270" applyNumberFormat="1" applyFont="1" applyFill="1" applyBorder="1" applyAlignment="1">
      <alignment vertical="center"/>
    </xf>
    <xf numFmtId="49" fontId="28" fillId="3" borderId="11" xfId="0" applyNumberFormat="1" applyFont="1" applyFill="1" applyBorder="1" applyAlignment="1">
      <alignment vertical="center"/>
    </xf>
    <xf numFmtId="0" fontId="29" fillId="0" borderId="0" xfId="0" applyFont="1" applyAlignment="1">
      <alignment vertical="center" wrapText="1"/>
    </xf>
    <xf numFmtId="49" fontId="29" fillId="5" borderId="4" xfId="2270" applyNumberFormat="1" applyFont="1" applyFill="1" applyBorder="1" applyAlignment="1">
      <alignment horizontal="left" vertical="center"/>
    </xf>
    <xf numFmtId="49" fontId="29" fillId="0" borderId="10" xfId="2270" applyNumberFormat="1" applyFont="1" applyFill="1" applyBorder="1" applyAlignment="1">
      <alignment horizontal="left" vertical="center"/>
    </xf>
    <xf numFmtId="9" fontId="29" fillId="0" borderId="12" xfId="2270" applyNumberFormat="1" applyFont="1" applyFill="1" applyBorder="1" applyAlignment="1">
      <alignment horizontal="center" vertical="center"/>
    </xf>
    <xf numFmtId="49" fontId="29" fillId="5" borderId="13" xfId="2270" applyNumberFormat="1" applyFont="1" applyFill="1" applyBorder="1" applyAlignment="1">
      <alignment vertical="center"/>
    </xf>
    <xf numFmtId="49" fontId="29" fillId="5" borderId="14" xfId="2270" applyNumberFormat="1" applyFont="1" applyFill="1" applyBorder="1" applyAlignment="1">
      <alignment vertical="center"/>
    </xf>
    <xf numFmtId="49" fontId="29" fillId="4" borderId="0" xfId="0" applyNumberFormat="1" applyFont="1" applyFill="1" applyAlignment="1">
      <alignment vertical="center"/>
    </xf>
    <xf numFmtId="1" fontId="22" fillId="4" borderId="0" xfId="0" applyNumberFormat="1" applyFont="1" applyFill="1" applyAlignment="1">
      <alignment vertical="center"/>
    </xf>
    <xf numFmtId="1" fontId="22" fillId="4" borderId="0" xfId="0" applyNumberFormat="1" applyFont="1" applyFill="1" applyAlignment="1">
      <alignment horizontal="left" vertical="center"/>
    </xf>
    <xf numFmtId="49" fontId="27" fillId="6" borderId="10" xfId="0" applyNumberFormat="1" applyFont="1" applyFill="1" applyBorder="1" applyAlignment="1">
      <alignment horizontal="left" vertical="center"/>
    </xf>
    <xf numFmtId="49" fontId="27" fillId="6" borderId="12" xfId="0" applyNumberFormat="1" applyFont="1" applyFill="1" applyBorder="1" applyAlignment="1">
      <alignment horizontal="left" vertical="center"/>
    </xf>
    <xf numFmtId="49" fontId="23" fillId="5" borderId="13" xfId="2270" applyNumberFormat="1" applyFont="1" applyFill="1" applyBorder="1" applyAlignment="1">
      <alignment horizontal="left" vertical="center"/>
    </xf>
    <xf numFmtId="1" fontId="23" fillId="4" borderId="15" xfId="0" applyNumberFormat="1" applyFont="1" applyFill="1" applyBorder="1" applyAlignment="1">
      <alignment horizontal="left" vertical="center"/>
    </xf>
    <xf numFmtId="49" fontId="23" fillId="5" borderId="13" xfId="2270" applyNumberFormat="1" applyFont="1" applyFill="1" applyBorder="1" applyAlignment="1">
      <alignment vertical="center"/>
    </xf>
    <xf numFmtId="49" fontId="23" fillId="5" borderId="7" xfId="2270" applyNumberFormat="1" applyFont="1" applyFill="1" applyBorder="1" applyAlignment="1">
      <alignment horizontal="left" vertical="center"/>
    </xf>
    <xf numFmtId="1" fontId="23" fillId="4" borderId="8" xfId="0" applyNumberFormat="1" applyFont="1" applyFill="1" applyBorder="1" applyAlignment="1">
      <alignment horizontal="left" vertical="center"/>
    </xf>
    <xf numFmtId="1" fontId="23" fillId="4" borderId="9" xfId="0" applyNumberFormat="1" applyFont="1" applyFill="1" applyBorder="1" applyAlignment="1">
      <alignment horizontal="left" vertical="center"/>
    </xf>
    <xf numFmtId="49" fontId="23" fillId="4" borderId="0" xfId="0" applyNumberFormat="1" applyFont="1" applyFill="1" applyAlignment="1">
      <alignment vertical="center"/>
    </xf>
    <xf numFmtId="1" fontId="27" fillId="3" borderId="16" xfId="2270" applyNumberFormat="1" applyFont="1" applyFill="1" applyBorder="1" applyAlignment="1">
      <alignment horizontal="left" vertical="center"/>
    </xf>
    <xf numFmtId="1" fontId="27" fillId="3" borderId="17" xfId="2270" applyNumberFormat="1" applyFont="1" applyFill="1" applyBorder="1" applyAlignment="1">
      <alignment vertical="center"/>
    </xf>
    <xf numFmtId="49" fontId="23" fillId="5" borderId="4" xfId="2270" applyNumberFormat="1" applyFont="1" applyFill="1" applyBorder="1" applyAlignment="1">
      <alignment vertical="center"/>
    </xf>
    <xf numFmtId="1" fontId="30" fillId="5" borderId="5" xfId="2270" applyNumberFormat="1" applyFont="1" applyFill="1" applyBorder="1" applyAlignment="1">
      <alignment vertical="center"/>
    </xf>
    <xf numFmtId="1" fontId="30" fillId="5" borderId="6" xfId="2270" applyNumberFormat="1" applyFont="1" applyFill="1" applyBorder="1" applyAlignment="1">
      <alignment vertical="center"/>
    </xf>
    <xf numFmtId="1" fontId="30" fillId="5" borderId="0" xfId="2270" applyNumberFormat="1" applyFont="1" applyFill="1" applyBorder="1" applyAlignment="1">
      <alignment vertical="center"/>
    </xf>
    <xf numFmtId="1" fontId="30" fillId="5" borderId="15" xfId="2270" applyNumberFormat="1" applyFont="1" applyFill="1" applyBorder="1" applyAlignment="1">
      <alignment vertical="center"/>
    </xf>
    <xf numFmtId="1" fontId="23" fillId="5" borderId="0" xfId="2270" applyNumberFormat="1" applyFont="1" applyFill="1" applyBorder="1" applyAlignment="1">
      <alignment horizontal="left" vertical="center"/>
    </xf>
    <xf numFmtId="1" fontId="23" fillId="5" borderId="15" xfId="2270" applyNumberFormat="1" applyFont="1" applyFill="1" applyBorder="1" applyAlignment="1">
      <alignment horizontal="left" vertical="center"/>
    </xf>
    <xf numFmtId="1" fontId="23" fillId="5" borderId="0" xfId="2270" applyNumberFormat="1" applyFont="1" applyFill="1" applyBorder="1" applyAlignment="1">
      <alignment vertical="center"/>
    </xf>
    <xf numFmtId="1" fontId="23" fillId="5" borderId="15" xfId="2270" applyNumberFormat="1" applyFont="1" applyFill="1" applyBorder="1" applyAlignment="1">
      <alignment vertical="center"/>
    </xf>
    <xf numFmtId="49" fontId="23" fillId="5" borderId="7" xfId="2270" applyNumberFormat="1" applyFont="1" applyFill="1" applyBorder="1" applyAlignment="1">
      <alignment vertical="center"/>
    </xf>
    <xf numFmtId="1" fontId="23" fillId="5" borderId="8" xfId="2270" applyNumberFormat="1" applyFont="1" applyFill="1" applyBorder="1" applyAlignment="1">
      <alignment vertical="center"/>
    </xf>
    <xf numFmtId="1" fontId="23" fillId="5" borderId="9" xfId="2270" applyNumberFormat="1" applyFont="1" applyFill="1" applyBorder="1" applyAlignment="1">
      <alignment vertical="center"/>
    </xf>
    <xf numFmtId="1" fontId="23" fillId="5" borderId="5" xfId="2270" applyNumberFormat="1" applyFont="1" applyFill="1" applyBorder="1" applyAlignment="1">
      <alignment vertical="center"/>
    </xf>
    <xf numFmtId="1" fontId="23" fillId="5" borderId="6" xfId="2270" applyNumberFormat="1" applyFont="1" applyFill="1" applyBorder="1" applyAlignment="1">
      <alignment vertical="center"/>
    </xf>
    <xf numFmtId="49" fontId="23" fillId="5" borderId="10" xfId="2270" applyNumberFormat="1" applyFont="1" applyFill="1" applyBorder="1" applyAlignment="1">
      <alignment vertical="center"/>
    </xf>
    <xf numFmtId="1" fontId="23" fillId="5" borderId="16" xfId="2270" applyNumberFormat="1" applyFont="1" applyFill="1" applyBorder="1" applyAlignment="1">
      <alignment vertical="center"/>
    </xf>
    <xf numFmtId="1" fontId="23" fillId="5" borderId="17" xfId="2270" applyNumberFormat="1" applyFont="1" applyFill="1" applyBorder="1" applyAlignment="1">
      <alignment vertical="center"/>
    </xf>
    <xf numFmtId="1" fontId="31" fillId="0" borderId="0" xfId="2270" applyNumberFormat="1" applyFont="1" applyFill="1" applyBorder="1" applyAlignment="1">
      <alignment horizontal="left" vertical="center"/>
    </xf>
    <xf numFmtId="1" fontId="23" fillId="0" borderId="0" xfId="2270" applyNumberFormat="1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49" fontId="21" fillId="0" borderId="1" xfId="0" applyNumberFormat="1" applyFont="1" applyFill="1" applyBorder="1" applyAlignment="1"/>
    <xf numFmtId="0" fontId="19" fillId="0" borderId="1" xfId="0" applyFont="1" applyFill="1" applyBorder="1" applyAlignment="1"/>
    <xf numFmtId="49" fontId="18" fillId="0" borderId="1" xfId="0" applyNumberFormat="1" applyFont="1" applyFill="1" applyBorder="1" applyAlignment="1"/>
    <xf numFmtId="0" fontId="18" fillId="0" borderId="1" xfId="0" applyFont="1" applyBorder="1"/>
    <xf numFmtId="2" fontId="18" fillId="0" borderId="1" xfId="0" applyNumberFormat="1" applyFont="1" applyBorder="1" applyAlignment="1">
      <alignment horizontal="left"/>
    </xf>
    <xf numFmtId="1" fontId="18" fillId="0" borderId="1" xfId="0" applyNumberFormat="1" applyFont="1" applyBorder="1" applyAlignment="1">
      <alignment horizontal="left"/>
    </xf>
    <xf numFmtId="0" fontId="3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49" fontId="35" fillId="5" borderId="0" xfId="0" applyNumberFormat="1" applyFont="1" applyFill="1" applyAlignment="1">
      <alignment vertical="center"/>
    </xf>
    <xf numFmtId="0" fontId="0" fillId="0" borderId="0" xfId="0" applyAlignment="1">
      <alignment vertical="center" wrapText="1"/>
    </xf>
    <xf numFmtId="0" fontId="36" fillId="0" borderId="20" xfId="0" applyFont="1" applyBorder="1" applyAlignment="1">
      <alignment horizontal="right" vertical="center" wrapText="1"/>
    </xf>
    <xf numFmtId="0" fontId="36" fillId="0" borderId="0" xfId="0" applyFont="1" applyAlignment="1">
      <alignment horizontal="right" vertical="center" wrapText="1"/>
    </xf>
    <xf numFmtId="0" fontId="36" fillId="0" borderId="0" xfId="0" applyFont="1" applyBorder="1" applyAlignment="1">
      <alignment horizontal="right" vertical="center" wrapText="1"/>
    </xf>
    <xf numFmtId="1" fontId="0" fillId="0" borderId="2" xfId="0" applyNumberFormat="1" applyBorder="1" applyAlignment="1">
      <alignment horizontal="left" vertical="center"/>
    </xf>
    <xf numFmtId="1" fontId="34" fillId="5" borderId="2" xfId="0" applyNumberFormat="1" applyFont="1" applyFill="1" applyBorder="1" applyAlignment="1">
      <alignment horizontal="left" vertical="center" wrapText="1"/>
    </xf>
    <xf numFmtId="0" fontId="34" fillId="5" borderId="2" xfId="0" applyFont="1" applyFill="1" applyBorder="1" applyAlignment="1">
      <alignment horizontal="right" vertical="center" wrapText="1"/>
    </xf>
    <xf numFmtId="0" fontId="34" fillId="5" borderId="2" xfId="0" applyFont="1" applyFill="1" applyBorder="1" applyAlignment="1">
      <alignment horizontal="center" vertical="center"/>
    </xf>
    <xf numFmtId="164" fontId="34" fillId="5" borderId="2" xfId="0" applyNumberFormat="1" applyFont="1" applyFill="1" applyBorder="1" applyAlignment="1">
      <alignment horizontal="center" vertical="center"/>
    </xf>
    <xf numFmtId="0" fontId="35" fillId="5" borderId="2" xfId="0" applyFont="1" applyFill="1" applyBorder="1" applyAlignment="1">
      <alignment horizontal="center" vertical="center"/>
    </xf>
    <xf numFmtId="1" fontId="32" fillId="0" borderId="26" xfId="0" applyNumberFormat="1" applyFont="1" applyBorder="1" applyAlignment="1">
      <alignment horizontal="center" vertical="center" wrapText="1"/>
    </xf>
    <xf numFmtId="164" fontId="32" fillId="0" borderId="26" xfId="0" applyNumberFormat="1" applyFont="1" applyBorder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34" fillId="5" borderId="2" xfId="0" applyFont="1" applyFill="1" applyBorder="1" applyAlignment="1">
      <alignment horizontal="left" vertical="center" wrapText="1"/>
    </xf>
    <xf numFmtId="0" fontId="1" fillId="3" borderId="0" xfId="0" applyFont="1" applyFill="1" applyBorder="1"/>
    <xf numFmtId="0" fontId="1" fillId="3" borderId="0" xfId="0" applyFont="1" applyFill="1" applyBorder="1" applyAlignment="1">
      <alignment horizontal="center"/>
    </xf>
    <xf numFmtId="0" fontId="0" fillId="3" borderId="0" xfId="0" applyFont="1" applyFill="1" applyBorder="1" applyAlignment="1">
      <alignment horizontal="center"/>
    </xf>
    <xf numFmtId="0" fontId="18" fillId="0" borderId="26" xfId="0" applyFont="1" applyFill="1" applyBorder="1" applyAlignment="1">
      <alignment horizontal="center"/>
    </xf>
    <xf numFmtId="0" fontId="18" fillId="0" borderId="26" xfId="0" applyFont="1" applyFill="1" applyBorder="1"/>
    <xf numFmtId="0" fontId="19" fillId="0" borderId="26" xfId="0" applyNumberFormat="1" applyFont="1" applyFill="1" applyBorder="1" applyAlignment="1"/>
    <xf numFmtId="0" fontId="18" fillId="0" borderId="26" xfId="0" applyNumberFormat="1" applyFont="1" applyFill="1" applyBorder="1"/>
    <xf numFmtId="0" fontId="18" fillId="0" borderId="26" xfId="0" applyNumberFormat="1" applyFont="1" applyFill="1" applyBorder="1" applyAlignment="1"/>
    <xf numFmtId="1" fontId="18" fillId="0" borderId="26" xfId="0" applyNumberFormat="1" applyFont="1" applyFill="1" applyBorder="1" applyAlignment="1">
      <alignment horizontal="left"/>
    </xf>
    <xf numFmtId="0" fontId="35" fillId="5" borderId="26" xfId="0" applyFont="1" applyFill="1" applyBorder="1" applyAlignment="1">
      <alignment horizontal="center" vertical="center"/>
    </xf>
    <xf numFmtId="1" fontId="18" fillId="0" borderId="26" xfId="0" applyNumberFormat="1" applyFont="1" applyBorder="1" applyAlignment="1">
      <alignment horizontal="left"/>
    </xf>
    <xf numFmtId="49" fontId="18" fillId="0" borderId="26" xfId="0" applyNumberFormat="1" applyFont="1" applyFill="1" applyBorder="1"/>
    <xf numFmtId="0" fontId="18" fillId="0" borderId="26" xfId="0" applyFont="1" applyFill="1" applyBorder="1" applyAlignment="1"/>
    <xf numFmtId="0" fontId="21" fillId="0" borderId="26" xfId="0" applyNumberFormat="1" applyFont="1" applyFill="1" applyBorder="1" applyAlignment="1"/>
    <xf numFmtId="0" fontId="19" fillId="0" borderId="26" xfId="0" applyFont="1" applyFill="1" applyBorder="1" applyAlignment="1"/>
    <xf numFmtId="0" fontId="18" fillId="0" borderId="26" xfId="0" applyFont="1" applyBorder="1"/>
    <xf numFmtId="0" fontId="20" fillId="0" borderId="26" xfId="0" applyFont="1" applyFill="1" applyBorder="1" applyAlignment="1">
      <alignment horizontal="center"/>
    </xf>
    <xf numFmtId="49" fontId="21" fillId="0" borderId="26" xfId="0" applyNumberFormat="1" applyFont="1" applyFill="1" applyBorder="1"/>
    <xf numFmtId="0" fontId="21" fillId="0" borderId="26" xfId="0" applyFont="1" applyFill="1" applyBorder="1"/>
    <xf numFmtId="0" fontId="21" fillId="0" borderId="26" xfId="0" applyFont="1" applyFill="1" applyBorder="1" applyAlignment="1"/>
    <xf numFmtId="0" fontId="19" fillId="0" borderId="26" xfId="1929" applyFont="1" applyFill="1" applyBorder="1" applyAlignment="1"/>
    <xf numFmtId="49" fontId="18" fillId="0" borderId="26" xfId="0" applyNumberFormat="1" applyFont="1" applyFill="1" applyBorder="1" applyAlignment="1"/>
    <xf numFmtId="0" fontId="0" fillId="5" borderId="0" xfId="0" applyFill="1" applyAlignment="1">
      <alignment vertical="center" wrapText="1"/>
    </xf>
    <xf numFmtId="0" fontId="0" fillId="5" borderId="0" xfId="0" applyFill="1" applyAlignment="1">
      <alignment horizontal="left" vertical="center" wrapText="1"/>
    </xf>
    <xf numFmtId="1" fontId="0" fillId="0" borderId="18" xfId="0" applyNumberFormat="1" applyBorder="1" applyAlignment="1">
      <alignment horizontal="left" vertical="center"/>
    </xf>
    <xf numFmtId="49" fontId="23" fillId="5" borderId="13" xfId="0" applyNumberFormat="1" applyFont="1" applyFill="1" applyBorder="1" applyAlignment="1">
      <alignment horizontal="left" vertical="center"/>
    </xf>
    <xf numFmtId="2" fontId="18" fillId="0" borderId="0" xfId="0" applyNumberFormat="1" applyFont="1" applyAlignment="1">
      <alignment horizontal="center"/>
    </xf>
    <xf numFmtId="0" fontId="19" fillId="5" borderId="1" xfId="0" applyFont="1" applyFill="1" applyBorder="1" applyAlignment="1"/>
    <xf numFmtId="0" fontId="20" fillId="5" borderId="1" xfId="0" applyFont="1" applyFill="1" applyBorder="1" applyAlignment="1">
      <alignment horizontal="center"/>
    </xf>
    <xf numFmtId="0" fontId="18" fillId="5" borderId="1" xfId="0" applyFont="1" applyFill="1" applyBorder="1" applyAlignment="1">
      <alignment horizontal="center"/>
    </xf>
    <xf numFmtId="2" fontId="18" fillId="5" borderId="1" xfId="0" applyNumberFormat="1" applyFont="1" applyFill="1" applyBorder="1" applyAlignment="1">
      <alignment horizontal="center"/>
    </xf>
    <xf numFmtId="0" fontId="35" fillId="5" borderId="29" xfId="0" applyFont="1" applyFill="1" applyBorder="1" applyAlignment="1">
      <alignment horizontal="center" vertical="center"/>
    </xf>
    <xf numFmtId="2" fontId="18" fillId="0" borderId="1" xfId="0" applyNumberFormat="1" applyFont="1" applyBorder="1" applyAlignment="1">
      <alignment horizontal="center"/>
    </xf>
    <xf numFmtId="1" fontId="0" fillId="0" borderId="21" xfId="0" applyNumberFormat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" fontId="0" fillId="0" borderId="23" xfId="0" applyNumberFormat="1" applyBorder="1" applyAlignment="1">
      <alignment horizontal="center" vertical="center"/>
    </xf>
    <xf numFmtId="1" fontId="0" fillId="0" borderId="24" xfId="0" applyNumberFormat="1" applyBorder="1" applyAlignment="1">
      <alignment horizontal="center" vertical="center"/>
    </xf>
    <xf numFmtId="0" fontId="32" fillId="0" borderId="0" xfId="0" applyFont="1" applyAlignment="1">
      <alignment horizontal="center" vertical="center" wrapText="1"/>
    </xf>
    <xf numFmtId="165" fontId="17" fillId="3" borderId="0" xfId="0" applyNumberFormat="1" applyFont="1" applyFill="1" applyBorder="1" applyAlignment="1">
      <alignment horizontal="center"/>
    </xf>
    <xf numFmtId="165" fontId="18" fillId="5" borderId="1" xfId="0" applyNumberFormat="1" applyFont="1" applyFill="1" applyBorder="1" applyAlignment="1">
      <alignment horizontal="center"/>
    </xf>
    <xf numFmtId="165" fontId="34" fillId="5" borderId="29" xfId="0" applyNumberFormat="1" applyFont="1" applyFill="1" applyBorder="1" applyAlignment="1">
      <alignment horizontal="center" vertical="center"/>
    </xf>
    <xf numFmtId="165" fontId="34" fillId="5" borderId="2" xfId="0" applyNumberFormat="1" applyFont="1" applyFill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/>
    </xf>
    <xf numFmtId="165" fontId="18" fillId="0" borderId="1" xfId="0" applyNumberFormat="1" applyFont="1" applyFill="1" applyBorder="1" applyAlignment="1">
      <alignment horizontal="center"/>
    </xf>
    <xf numFmtId="165" fontId="1" fillId="3" borderId="0" xfId="0" applyNumberFormat="1" applyFont="1" applyFill="1" applyBorder="1" applyAlignment="1">
      <alignment horizontal="center"/>
    </xf>
    <xf numFmtId="165" fontId="1" fillId="0" borderId="0" xfId="0" applyNumberFormat="1" applyFont="1" applyFill="1" applyBorder="1" applyAlignment="1">
      <alignment horizontal="center"/>
    </xf>
    <xf numFmtId="165" fontId="1" fillId="0" borderId="0" xfId="0" applyNumberFormat="1" applyFont="1" applyFill="1" applyAlignment="1">
      <alignment horizontal="center"/>
    </xf>
    <xf numFmtId="0" fontId="18" fillId="5" borderId="1" xfId="0" applyFont="1" applyFill="1" applyBorder="1" applyAlignment="1"/>
    <xf numFmtId="49" fontId="21" fillId="5" borderId="1" xfId="0" applyNumberFormat="1" applyFont="1" applyFill="1" applyBorder="1" applyAlignment="1"/>
    <xf numFmtId="0" fontId="12" fillId="5" borderId="0" xfId="0" applyFont="1" applyFill="1"/>
    <xf numFmtId="0" fontId="13" fillId="5" borderId="0" xfId="0" applyFont="1" applyFill="1"/>
    <xf numFmtId="0" fontId="21" fillId="5" borderId="1" xfId="0" applyFont="1" applyFill="1" applyBorder="1" applyAlignment="1"/>
    <xf numFmtId="49" fontId="18" fillId="5" borderId="1" xfId="0" applyNumberFormat="1" applyFont="1" applyFill="1" applyBorder="1" applyAlignment="1"/>
    <xf numFmtId="0" fontId="18" fillId="5" borderId="1" xfId="0" applyFont="1" applyFill="1" applyBorder="1"/>
    <xf numFmtId="0" fontId="19" fillId="5" borderId="1" xfId="1929" applyFont="1" applyFill="1" applyBorder="1" applyAlignment="1"/>
    <xf numFmtId="2" fontId="18" fillId="5" borderId="1" xfId="0" applyNumberFormat="1" applyFont="1" applyFill="1" applyBorder="1" applyAlignment="1">
      <alignment horizontal="left"/>
    </xf>
    <xf numFmtId="1" fontId="18" fillId="5" borderId="1" xfId="0" applyNumberFormat="1" applyFont="1" applyFill="1" applyBorder="1" applyAlignment="1">
      <alignment horizontal="left"/>
    </xf>
    <xf numFmtId="0" fontId="14" fillId="5" borderId="0" xfId="0" applyFont="1" applyFill="1"/>
    <xf numFmtId="0" fontId="0" fillId="5" borderId="0" xfId="0" applyFill="1"/>
    <xf numFmtId="165" fontId="18" fillId="0" borderId="26" xfId="0" applyNumberFormat="1" applyFont="1" applyFill="1" applyBorder="1" applyAlignment="1">
      <alignment horizontal="center"/>
    </xf>
    <xf numFmtId="165" fontId="34" fillId="5" borderId="19" xfId="0" applyNumberFormat="1" applyFont="1" applyFill="1" applyBorder="1" applyAlignment="1">
      <alignment horizontal="center" vertical="center"/>
    </xf>
    <xf numFmtId="165" fontId="15" fillId="0" borderId="0" xfId="0" applyNumberFormat="1" applyFont="1" applyFill="1" applyAlignment="1">
      <alignment horizontal="center"/>
    </xf>
    <xf numFmtId="164" fontId="0" fillId="0" borderId="10" xfId="0" applyNumberFormat="1" applyBorder="1" applyAlignment="1">
      <alignment horizontal="center" vertical="center"/>
    </xf>
    <xf numFmtId="164" fontId="0" fillId="0" borderId="17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4" fontId="38" fillId="3" borderId="25" xfId="0" applyNumberFormat="1" applyFont="1" applyFill="1" applyBorder="1" applyAlignment="1">
      <alignment horizontal="center" vertical="center" wrapText="1"/>
    </xf>
    <xf numFmtId="164" fontId="32" fillId="0" borderId="0" xfId="0" applyNumberFormat="1" applyFont="1" applyAlignment="1">
      <alignment horizontal="left" vertical="center" wrapText="1"/>
    </xf>
    <xf numFmtId="164" fontId="38" fillId="5" borderId="0" xfId="0" applyNumberFormat="1" applyFont="1" applyFill="1" applyBorder="1" applyAlignment="1">
      <alignment horizontal="center" vertical="center" wrapText="1"/>
    </xf>
    <xf numFmtId="164" fontId="32" fillId="5" borderId="0" xfId="0" applyNumberFormat="1" applyFont="1" applyFill="1" applyBorder="1" applyAlignment="1">
      <alignment vertical="center" wrapText="1"/>
    </xf>
    <xf numFmtId="164" fontId="35" fillId="5" borderId="0" xfId="0" applyNumberFormat="1" applyFont="1" applyFill="1" applyBorder="1" applyAlignment="1">
      <alignment horizontal="center" vertical="center"/>
    </xf>
    <xf numFmtId="164" fontId="32" fillId="5" borderId="0" xfId="0" applyNumberFormat="1" applyFont="1" applyFill="1" applyBorder="1" applyAlignment="1">
      <alignment horizontal="left" vertical="center" wrapText="1"/>
    </xf>
    <xf numFmtId="164" fontId="38" fillId="3" borderId="26" xfId="0" applyNumberFormat="1" applyFont="1" applyFill="1" applyBorder="1" applyAlignment="1">
      <alignment horizontal="center" vertical="center" wrapText="1"/>
    </xf>
    <xf numFmtId="164" fontId="38" fillId="5" borderId="0" xfId="0" applyNumberFormat="1" applyFont="1" applyFill="1" applyBorder="1" applyAlignment="1">
      <alignment vertical="center" wrapText="1"/>
    </xf>
    <xf numFmtId="164" fontId="0" fillId="0" borderId="0" xfId="0" applyNumberFormat="1" applyAlignment="1">
      <alignment vertical="center" wrapText="1"/>
    </xf>
    <xf numFmtId="164" fontId="0" fillId="0" borderId="0" xfId="0" applyNumberFormat="1" applyBorder="1" applyAlignment="1">
      <alignment horizontal="center" vertical="center"/>
    </xf>
    <xf numFmtId="0" fontId="32" fillId="3" borderId="21" xfId="0" applyFont="1" applyFill="1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164" fontId="0" fillId="0" borderId="0" xfId="0" applyNumberFormat="1" applyBorder="1" applyAlignment="1">
      <alignment horizontal="left" vertical="center" wrapText="1"/>
    </xf>
    <xf numFmtId="164" fontId="34" fillId="5" borderId="0" xfId="0" applyNumberFormat="1" applyFont="1" applyFill="1" applyBorder="1" applyAlignment="1">
      <alignment horizontal="center" vertical="center"/>
    </xf>
    <xf numFmtId="0" fontId="34" fillId="5" borderId="20" xfId="0" applyFont="1" applyFill="1" applyBorder="1" applyAlignment="1">
      <alignment horizontal="center" vertical="center"/>
    </xf>
    <xf numFmtId="1" fontId="0" fillId="0" borderId="27" xfId="0" applyNumberFormat="1" applyBorder="1" applyAlignment="1">
      <alignment horizontal="center" vertical="center"/>
    </xf>
    <xf numFmtId="49" fontId="0" fillId="0" borderId="0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1" fontId="0" fillId="0" borderId="0" xfId="0" applyNumberFormat="1" applyBorder="1" applyAlignment="1">
      <alignment horizontal="right" vertical="center"/>
    </xf>
    <xf numFmtId="49" fontId="35" fillId="5" borderId="20" xfId="0" applyNumberFormat="1" applyFont="1" applyFill="1" applyBorder="1" applyAlignment="1">
      <alignment vertical="center"/>
    </xf>
    <xf numFmtId="1" fontId="0" fillId="0" borderId="27" xfId="0" applyNumberFormat="1" applyBorder="1" applyAlignment="1">
      <alignment horizontal="right" vertical="center"/>
    </xf>
    <xf numFmtId="164" fontId="0" fillId="0" borderId="0" xfId="0" applyNumberFormat="1" applyBorder="1" applyAlignment="1">
      <alignment vertical="center"/>
    </xf>
    <xf numFmtId="1" fontId="0" fillId="0" borderId="20" xfId="0" applyNumberFormat="1" applyBorder="1" applyAlignment="1">
      <alignment vertical="center"/>
    </xf>
    <xf numFmtId="1" fontId="0" fillId="0" borderId="20" xfId="0" applyNumberFormat="1" applyBorder="1" applyAlignment="1">
      <alignment horizontal="center" vertical="center"/>
    </xf>
    <xf numFmtId="164" fontId="0" fillId="0" borderId="29" xfId="0" applyNumberFormat="1" applyBorder="1" applyAlignment="1">
      <alignment horizontal="center" vertical="center"/>
    </xf>
    <xf numFmtId="164" fontId="0" fillId="0" borderId="29" xfId="0" applyNumberFormat="1" applyBorder="1" applyAlignment="1">
      <alignment horizontal="left" vertical="center" wrapText="1"/>
    </xf>
    <xf numFmtId="0" fontId="0" fillId="0" borderId="0" xfId="0" applyBorder="1" applyAlignment="1">
      <alignment horizontal="right" vertical="center" wrapText="1"/>
    </xf>
    <xf numFmtId="1" fontId="0" fillId="0" borderId="29" xfId="0" applyNumberFormat="1" applyBorder="1" applyAlignment="1">
      <alignment horizontal="right" vertical="center"/>
    </xf>
    <xf numFmtId="0" fontId="37" fillId="5" borderId="20" xfId="0" applyFont="1" applyFill="1" applyBorder="1" applyAlignment="1">
      <alignment horizontal="right" vertical="center" wrapText="1"/>
    </xf>
    <xf numFmtId="0" fontId="39" fillId="0" borderId="0" xfId="0" applyFont="1" applyBorder="1" applyAlignment="1">
      <alignment horizontal="right" vertical="center" wrapText="1"/>
    </xf>
    <xf numFmtId="1" fontId="0" fillId="0" borderId="30" xfId="0" applyNumberFormat="1" applyBorder="1" applyAlignment="1">
      <alignment horizontal="right" vertical="center"/>
    </xf>
    <xf numFmtId="164" fontId="0" fillId="0" borderId="30" xfId="0" applyNumberFormat="1" applyBorder="1" applyAlignment="1">
      <alignment horizontal="center" vertical="center"/>
    </xf>
    <xf numFmtId="164" fontId="0" fillId="0" borderId="30" xfId="0" applyNumberFormat="1" applyBorder="1" applyAlignment="1">
      <alignment horizontal="left" vertical="center" wrapText="1"/>
    </xf>
    <xf numFmtId="0" fontId="32" fillId="0" borderId="27" xfId="0" applyFont="1" applyBorder="1" applyAlignment="1">
      <alignment vertical="center" wrapText="1"/>
    </xf>
    <xf numFmtId="164" fontId="32" fillId="3" borderId="0" xfId="0" applyNumberFormat="1" applyFont="1" applyFill="1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32" fillId="0" borderId="27" xfId="0" applyFont="1" applyBorder="1" applyAlignment="1">
      <alignment horizontal="left" vertical="center" wrapText="1"/>
    </xf>
    <xf numFmtId="164" fontId="32" fillId="0" borderId="0" xfId="0" applyNumberFormat="1" applyFont="1" applyBorder="1" applyAlignment="1">
      <alignment horizontal="left" vertical="center" wrapText="1"/>
    </xf>
    <xf numFmtId="0" fontId="0" fillId="5" borderId="20" xfId="0" applyFill="1" applyBorder="1" applyAlignment="1">
      <alignment vertical="center" wrapText="1"/>
    </xf>
    <xf numFmtId="0" fontId="0" fillId="0" borderId="27" xfId="0" applyBorder="1" applyAlignment="1">
      <alignment vertical="center" wrapText="1"/>
    </xf>
    <xf numFmtId="164" fontId="0" fillId="0" borderId="0" xfId="0" applyNumberFormat="1" applyBorder="1" applyAlignment="1">
      <alignment vertical="center" wrapText="1"/>
    </xf>
    <xf numFmtId="0" fontId="32" fillId="0" borderId="23" xfId="0" applyFont="1" applyBorder="1" applyAlignment="1">
      <alignment vertical="center" wrapText="1"/>
    </xf>
    <xf numFmtId="0" fontId="36" fillId="0" borderId="29" xfId="0" applyFont="1" applyBorder="1" applyAlignment="1">
      <alignment horizontal="right" vertical="center" wrapText="1"/>
    </xf>
    <xf numFmtId="164" fontId="32" fillId="0" borderId="29" xfId="0" applyNumberFormat="1" applyFont="1" applyBorder="1" applyAlignment="1">
      <alignment horizontal="center" vertical="center" wrapText="1"/>
    </xf>
    <xf numFmtId="0" fontId="0" fillId="0" borderId="24" xfId="0" applyBorder="1" applyAlignment="1">
      <alignment vertical="center" wrapText="1"/>
    </xf>
    <xf numFmtId="0" fontId="15" fillId="3" borderId="21" xfId="0" applyFont="1" applyFill="1" applyBorder="1" applyAlignment="1">
      <alignment vertical="center" wrapText="1"/>
    </xf>
    <xf numFmtId="0" fontId="40" fillId="3" borderId="30" xfId="0" applyFont="1" applyFill="1" applyBorder="1" applyAlignment="1">
      <alignment horizontal="right" vertical="center" wrapText="1"/>
    </xf>
    <xf numFmtId="164" fontId="15" fillId="3" borderId="30" xfId="0" applyNumberFormat="1" applyFont="1" applyFill="1" applyBorder="1" applyAlignment="1">
      <alignment vertical="center" wrapText="1"/>
    </xf>
    <xf numFmtId="0" fontId="15" fillId="3" borderId="22" xfId="0" applyFont="1" applyFill="1" applyBorder="1" applyAlignment="1">
      <alignment vertical="center" wrapText="1"/>
    </xf>
    <xf numFmtId="0" fontId="0" fillId="0" borderId="23" xfId="0" applyBorder="1" applyAlignment="1">
      <alignment vertical="center" wrapText="1"/>
    </xf>
    <xf numFmtId="0" fontId="0" fillId="0" borderId="29" xfId="0" applyBorder="1" applyAlignment="1">
      <alignment horizontal="right" vertical="center" wrapText="1"/>
    </xf>
    <xf numFmtId="164" fontId="0" fillId="0" borderId="29" xfId="0" applyNumberFormat="1" applyBorder="1" applyAlignment="1">
      <alignment vertical="center" wrapText="1"/>
    </xf>
    <xf numFmtId="0" fontId="32" fillId="0" borderId="0" xfId="0" applyFont="1" applyAlignment="1">
      <alignment horizontal="right" vertical="center" wrapText="1"/>
    </xf>
    <xf numFmtId="0" fontId="0" fillId="3" borderId="21" xfId="0" applyFill="1" applyBorder="1" applyAlignment="1">
      <alignment vertical="center" wrapText="1"/>
    </xf>
    <xf numFmtId="0" fontId="0" fillId="3" borderId="30" xfId="0" applyFill="1" applyBorder="1" applyAlignment="1">
      <alignment vertical="center" wrapText="1"/>
    </xf>
    <xf numFmtId="0" fontId="0" fillId="3" borderId="22" xfId="0" applyFill="1" applyBorder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40" fillId="3" borderId="2" xfId="0" applyFont="1" applyFill="1" applyBorder="1" applyAlignment="1">
      <alignment horizontal="right" vertical="center" wrapText="1"/>
    </xf>
    <xf numFmtId="0" fontId="0" fillId="3" borderId="29" xfId="0" applyFill="1" applyBorder="1" applyAlignment="1">
      <alignment vertical="center" wrapText="1"/>
    </xf>
    <xf numFmtId="0" fontId="0" fillId="3" borderId="24" xfId="0" applyFill="1" applyBorder="1" applyAlignment="1">
      <alignment vertical="center" wrapText="1"/>
    </xf>
    <xf numFmtId="0" fontId="0" fillId="0" borderId="1" xfId="0" applyBorder="1"/>
    <xf numFmtId="49" fontId="21" fillId="0" borderId="1" xfId="0" applyNumberFormat="1" applyFont="1" applyBorder="1"/>
    <xf numFmtId="0" fontId="19" fillId="0" borderId="1" xfId="0" applyFont="1" applyBorder="1"/>
    <xf numFmtId="0" fontId="19" fillId="0" borderId="1" xfId="1929" applyFont="1" applyFill="1" applyBorder="1" applyAlignment="1"/>
    <xf numFmtId="49" fontId="18" fillId="5" borderId="1" xfId="0" applyNumberFormat="1" applyFont="1" applyFill="1" applyBorder="1"/>
    <xf numFmtId="0" fontId="18" fillId="5" borderId="26" xfId="0" applyFont="1" applyFill="1" applyBorder="1"/>
    <xf numFmtId="0" fontId="32" fillId="0" borderId="0" xfId="0" applyFont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164" fontId="32" fillId="0" borderId="18" xfId="0" applyNumberFormat="1" applyFont="1" applyBorder="1" applyAlignment="1">
      <alignment horizontal="center" vertical="center" wrapText="1"/>
    </xf>
    <xf numFmtId="164" fontId="32" fillId="0" borderId="19" xfId="0" applyNumberFormat="1" applyFont="1" applyBorder="1" applyAlignment="1">
      <alignment horizontal="center" vertical="center" wrapText="1"/>
    </xf>
    <xf numFmtId="164" fontId="32" fillId="5" borderId="0" xfId="0" applyNumberFormat="1" applyFont="1" applyFill="1" applyBorder="1" applyAlignment="1">
      <alignment horizontal="right" vertical="center" wrapText="1"/>
    </xf>
    <xf numFmtId="164" fontId="32" fillId="5" borderId="20" xfId="0" applyNumberFormat="1" applyFont="1" applyFill="1" applyBorder="1" applyAlignment="1">
      <alignment horizontal="right" vertical="center" wrapText="1"/>
    </xf>
    <xf numFmtId="164" fontId="38" fillId="3" borderId="25" xfId="0" applyNumberFormat="1" applyFont="1" applyFill="1" applyBorder="1" applyAlignment="1">
      <alignment horizontal="center" vertical="center" wrapText="1"/>
    </xf>
    <xf numFmtId="164" fontId="38" fillId="3" borderId="28" xfId="0" applyNumberFormat="1" applyFont="1" applyFill="1" applyBorder="1" applyAlignment="1">
      <alignment horizontal="center" vertical="center" wrapText="1"/>
    </xf>
    <xf numFmtId="164" fontId="32" fillId="5" borderId="0" xfId="0" applyNumberFormat="1" applyFont="1" applyFill="1" applyBorder="1" applyAlignment="1">
      <alignment horizontal="center" vertical="center" wrapText="1"/>
    </xf>
    <xf numFmtId="164" fontId="32" fillId="5" borderId="27" xfId="0" applyNumberFormat="1" applyFont="1" applyFill="1" applyBorder="1" applyAlignment="1">
      <alignment horizontal="right" vertical="center" wrapText="1"/>
    </xf>
    <xf numFmtId="164" fontId="32" fillId="0" borderId="29" xfId="0" applyNumberFormat="1" applyFont="1" applyBorder="1" applyAlignment="1">
      <alignment horizontal="center" vertical="center" wrapText="1"/>
    </xf>
    <xf numFmtId="0" fontId="33" fillId="3" borderId="18" xfId="0" applyFont="1" applyFill="1" applyBorder="1" applyAlignment="1">
      <alignment horizontal="center" vertical="center"/>
    </xf>
    <xf numFmtId="0" fontId="33" fillId="3" borderId="2" xfId="0" applyFont="1" applyFill="1" applyBorder="1" applyAlignment="1">
      <alignment horizontal="center" vertical="center"/>
    </xf>
    <xf numFmtId="0" fontId="33" fillId="3" borderId="19" xfId="0" applyFont="1" applyFill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0" fillId="0" borderId="17" xfId="0" applyNumberFormat="1" applyBorder="1" applyAlignment="1">
      <alignment horizontal="center" vertical="center"/>
    </xf>
    <xf numFmtId="164" fontId="0" fillId="0" borderId="20" xfId="0" applyNumberFormat="1" applyBorder="1" applyAlignment="1">
      <alignment horizontal="right" vertical="center" wrapText="1"/>
    </xf>
    <xf numFmtId="164" fontId="0" fillId="0" borderId="21" xfId="0" applyNumberFormat="1" applyBorder="1" applyAlignment="1">
      <alignment horizontal="center" vertical="center"/>
    </xf>
    <xf numFmtId="164" fontId="0" fillId="0" borderId="22" xfId="0" applyNumberFormat="1" applyBorder="1" applyAlignment="1">
      <alignment horizontal="center" vertical="center"/>
    </xf>
    <xf numFmtId="164" fontId="0" fillId="0" borderId="23" xfId="0" applyNumberFormat="1" applyBorder="1" applyAlignment="1">
      <alignment horizontal="center" vertical="center"/>
    </xf>
    <xf numFmtId="164" fontId="0" fillId="0" borderId="24" xfId="0" applyNumberFormat="1" applyBorder="1" applyAlignment="1">
      <alignment horizontal="center" vertical="center"/>
    </xf>
    <xf numFmtId="164" fontId="32" fillId="0" borderId="4" xfId="0" applyNumberFormat="1" applyFont="1" applyBorder="1" applyAlignment="1">
      <alignment horizontal="center" vertical="center"/>
    </xf>
    <xf numFmtId="164" fontId="32" fillId="0" borderId="6" xfId="0" applyNumberFormat="1" applyFont="1" applyBorder="1" applyAlignment="1">
      <alignment horizontal="center" vertical="center"/>
    </xf>
    <xf numFmtId="164" fontId="32" fillId="0" borderId="13" xfId="0" applyNumberFormat="1" applyFont="1" applyBorder="1" applyAlignment="1">
      <alignment horizontal="center" vertical="center"/>
    </xf>
    <xf numFmtId="164" fontId="32" fillId="0" borderId="15" xfId="0" applyNumberFormat="1" applyFont="1" applyBorder="1" applyAlignment="1">
      <alignment horizontal="center" vertical="center"/>
    </xf>
    <xf numFmtId="164" fontId="32" fillId="0" borderId="7" xfId="0" applyNumberFormat="1" applyFont="1" applyBorder="1" applyAlignment="1">
      <alignment horizontal="center" vertical="center"/>
    </xf>
    <xf numFmtId="164" fontId="32" fillId="0" borderId="9" xfId="0" applyNumberFormat="1" applyFont="1" applyBorder="1" applyAlignment="1">
      <alignment horizontal="center" vertical="center"/>
    </xf>
    <xf numFmtId="9" fontId="25" fillId="0" borderId="4" xfId="2270" applyNumberFormat="1" applyFont="1" applyFill="1" applyBorder="1" applyAlignment="1">
      <alignment horizontal="center" vertical="center"/>
    </xf>
    <xf numFmtId="9" fontId="25" fillId="0" borderId="5" xfId="2270" applyNumberFormat="1" applyFont="1" applyFill="1" applyBorder="1" applyAlignment="1">
      <alignment horizontal="center" vertical="center"/>
    </xf>
    <xf numFmtId="9" fontId="25" fillId="0" borderId="6" xfId="2270" applyNumberFormat="1" applyFont="1" applyFill="1" applyBorder="1" applyAlignment="1">
      <alignment horizontal="center" vertical="center"/>
    </xf>
    <xf numFmtId="9" fontId="25" fillId="0" borderId="7" xfId="2270" applyNumberFormat="1" applyFont="1" applyFill="1" applyBorder="1" applyAlignment="1">
      <alignment horizontal="center" vertical="center"/>
    </xf>
    <xf numFmtId="9" fontId="25" fillId="0" borderId="8" xfId="2270" applyNumberFormat="1" applyFont="1" applyFill="1" applyBorder="1" applyAlignment="1">
      <alignment horizontal="center" vertical="center"/>
    </xf>
    <xf numFmtId="9" fontId="25" fillId="0" borderId="9" xfId="2270" applyNumberFormat="1" applyFont="1" applyFill="1" applyBorder="1" applyAlignment="1">
      <alignment horizontal="center" vertical="center"/>
    </xf>
  </cellXfs>
  <cellStyles count="227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Followed Hyperlink" xfId="662" builtinId="9" hidden="1"/>
    <cellStyle name="Followed Hyperlink" xfId="664" builtinId="9" hidden="1"/>
    <cellStyle name="Followed Hyperlink" xfId="666" builtinId="9" hidden="1"/>
    <cellStyle name="Followed Hyperlink" xfId="668" builtinId="9" hidden="1"/>
    <cellStyle name="Followed Hyperlink" xfId="670" builtinId="9" hidden="1"/>
    <cellStyle name="Followed Hyperlink" xfId="672" builtinId="9" hidden="1"/>
    <cellStyle name="Followed Hyperlink" xfId="674" builtinId="9" hidden="1"/>
    <cellStyle name="Followed Hyperlink" xfId="676" builtinId="9" hidden="1"/>
    <cellStyle name="Followed Hyperlink" xfId="678" builtinId="9" hidden="1"/>
    <cellStyle name="Followed Hyperlink" xfId="680" builtinId="9" hidden="1"/>
    <cellStyle name="Followed Hyperlink" xfId="682" builtinId="9" hidden="1"/>
    <cellStyle name="Followed Hyperlink" xfId="684" builtinId="9" hidden="1"/>
    <cellStyle name="Followed Hyperlink" xfId="686" builtinId="9" hidden="1"/>
    <cellStyle name="Followed Hyperlink" xfId="688" builtinId="9" hidden="1"/>
    <cellStyle name="Followed Hyperlink" xfId="690" builtinId="9" hidden="1"/>
    <cellStyle name="Followed Hyperlink" xfId="692" builtinId="9" hidden="1"/>
    <cellStyle name="Followed Hyperlink" xfId="694" builtinId="9" hidden="1"/>
    <cellStyle name="Followed Hyperlink" xfId="696" builtinId="9" hidden="1"/>
    <cellStyle name="Followed Hyperlink" xfId="698" builtinId="9" hidden="1"/>
    <cellStyle name="Followed Hyperlink" xfId="700" builtinId="9" hidden="1"/>
    <cellStyle name="Followed Hyperlink" xfId="702" builtinId="9" hidden="1"/>
    <cellStyle name="Followed Hyperlink" xfId="704" builtinId="9" hidden="1"/>
    <cellStyle name="Followed Hyperlink" xfId="706" builtinId="9" hidden="1"/>
    <cellStyle name="Followed Hyperlink" xfId="708" builtinId="9" hidden="1"/>
    <cellStyle name="Followed Hyperlink" xfId="710" builtinId="9" hidden="1"/>
    <cellStyle name="Followed Hyperlink" xfId="712" builtinId="9" hidden="1"/>
    <cellStyle name="Followed Hyperlink" xfId="714" builtinId="9" hidden="1"/>
    <cellStyle name="Followed Hyperlink" xfId="716" builtinId="9" hidden="1"/>
    <cellStyle name="Followed Hyperlink" xfId="718" builtinId="9" hidden="1"/>
    <cellStyle name="Followed Hyperlink" xfId="720" builtinId="9" hidden="1"/>
    <cellStyle name="Followed Hyperlink" xfId="722" builtinId="9" hidden="1"/>
    <cellStyle name="Followed Hyperlink" xfId="724" builtinId="9" hidden="1"/>
    <cellStyle name="Followed Hyperlink" xfId="726" builtinId="9" hidden="1"/>
    <cellStyle name="Followed Hyperlink" xfId="728" builtinId="9" hidden="1"/>
    <cellStyle name="Followed Hyperlink" xfId="730" builtinId="9" hidden="1"/>
    <cellStyle name="Followed Hyperlink" xfId="732" builtinId="9" hidden="1"/>
    <cellStyle name="Followed Hyperlink" xfId="734" builtinId="9" hidden="1"/>
    <cellStyle name="Followed Hyperlink" xfId="736" builtinId="9" hidden="1"/>
    <cellStyle name="Followed Hyperlink" xfId="738" builtinId="9" hidden="1"/>
    <cellStyle name="Followed Hyperlink" xfId="740" builtinId="9" hidden="1"/>
    <cellStyle name="Followed Hyperlink" xfId="742" builtinId="9" hidden="1"/>
    <cellStyle name="Followed Hyperlink" xfId="744" builtinId="9" hidden="1"/>
    <cellStyle name="Followed Hyperlink" xfId="746" builtinId="9" hidden="1"/>
    <cellStyle name="Followed Hyperlink" xfId="748" builtinId="9" hidden="1"/>
    <cellStyle name="Followed Hyperlink" xfId="750" builtinId="9" hidden="1"/>
    <cellStyle name="Followed Hyperlink" xfId="752" builtinId="9" hidden="1"/>
    <cellStyle name="Followed Hyperlink" xfId="754" builtinId="9" hidden="1"/>
    <cellStyle name="Followed Hyperlink" xfId="756" builtinId="9" hidden="1"/>
    <cellStyle name="Followed Hyperlink" xfId="758" builtinId="9" hidden="1"/>
    <cellStyle name="Followed Hyperlink" xfId="760" builtinId="9" hidden="1"/>
    <cellStyle name="Followed Hyperlink" xfId="762" builtinId="9" hidden="1"/>
    <cellStyle name="Followed Hyperlink" xfId="764" builtinId="9" hidden="1"/>
    <cellStyle name="Followed Hyperlink" xfId="766" builtinId="9" hidden="1"/>
    <cellStyle name="Followed Hyperlink" xfId="768" builtinId="9" hidden="1"/>
    <cellStyle name="Followed Hyperlink" xfId="770" builtinId="9" hidden="1"/>
    <cellStyle name="Followed Hyperlink" xfId="772" builtinId="9" hidden="1"/>
    <cellStyle name="Followed Hyperlink" xfId="774" builtinId="9" hidden="1"/>
    <cellStyle name="Followed Hyperlink" xfId="776" builtinId="9" hidden="1"/>
    <cellStyle name="Followed Hyperlink" xfId="778" builtinId="9" hidden="1"/>
    <cellStyle name="Followed Hyperlink" xfId="780" builtinId="9" hidden="1"/>
    <cellStyle name="Followed Hyperlink" xfId="782" builtinId="9" hidden="1"/>
    <cellStyle name="Followed Hyperlink" xfId="784" builtinId="9" hidden="1"/>
    <cellStyle name="Followed Hyperlink" xfId="786" builtinId="9" hidden="1"/>
    <cellStyle name="Followed Hyperlink" xfId="788" builtinId="9" hidden="1"/>
    <cellStyle name="Followed Hyperlink" xfId="790" builtinId="9" hidden="1"/>
    <cellStyle name="Followed Hyperlink" xfId="792" builtinId="9" hidden="1"/>
    <cellStyle name="Followed Hyperlink" xfId="794" builtinId="9" hidden="1"/>
    <cellStyle name="Followed Hyperlink" xfId="796" builtinId="9" hidden="1"/>
    <cellStyle name="Followed Hyperlink" xfId="798" builtinId="9" hidden="1"/>
    <cellStyle name="Followed Hyperlink" xfId="800" builtinId="9" hidden="1"/>
    <cellStyle name="Followed Hyperlink" xfId="802" builtinId="9" hidden="1"/>
    <cellStyle name="Followed Hyperlink" xfId="804" builtinId="9" hidden="1"/>
    <cellStyle name="Followed Hyperlink" xfId="806" builtinId="9" hidden="1"/>
    <cellStyle name="Followed Hyperlink" xfId="808" builtinId="9" hidden="1"/>
    <cellStyle name="Followed Hyperlink" xfId="810" builtinId="9" hidden="1"/>
    <cellStyle name="Followed Hyperlink" xfId="812" builtinId="9" hidden="1"/>
    <cellStyle name="Followed Hyperlink" xfId="814" builtinId="9" hidden="1"/>
    <cellStyle name="Followed Hyperlink" xfId="816" builtinId="9" hidden="1"/>
    <cellStyle name="Followed Hyperlink" xfId="818" builtinId="9" hidden="1"/>
    <cellStyle name="Followed Hyperlink" xfId="820" builtinId="9" hidden="1"/>
    <cellStyle name="Followed Hyperlink" xfId="822" builtinId="9" hidden="1"/>
    <cellStyle name="Followed Hyperlink" xfId="824" builtinId="9" hidden="1"/>
    <cellStyle name="Followed Hyperlink" xfId="826" builtinId="9" hidden="1"/>
    <cellStyle name="Followed Hyperlink" xfId="828" builtinId="9" hidden="1"/>
    <cellStyle name="Followed Hyperlink" xfId="830" builtinId="9" hidden="1"/>
    <cellStyle name="Followed Hyperlink" xfId="832" builtinId="9" hidden="1"/>
    <cellStyle name="Followed Hyperlink" xfId="834" builtinId="9" hidden="1"/>
    <cellStyle name="Followed Hyperlink" xfId="836" builtinId="9" hidden="1"/>
    <cellStyle name="Followed Hyperlink" xfId="838" builtinId="9" hidden="1"/>
    <cellStyle name="Followed Hyperlink" xfId="840" builtinId="9" hidden="1"/>
    <cellStyle name="Followed Hyperlink" xfId="842" builtinId="9" hidden="1"/>
    <cellStyle name="Followed Hyperlink" xfId="844" builtinId="9" hidden="1"/>
    <cellStyle name="Followed Hyperlink" xfId="846" builtinId="9" hidden="1"/>
    <cellStyle name="Followed Hyperlink" xfId="848" builtinId="9" hidden="1"/>
    <cellStyle name="Followed Hyperlink" xfId="850" builtinId="9" hidden="1"/>
    <cellStyle name="Followed Hyperlink" xfId="852" builtinId="9" hidden="1"/>
    <cellStyle name="Followed Hyperlink" xfId="854" builtinId="9" hidden="1"/>
    <cellStyle name="Followed Hyperlink" xfId="856" builtinId="9" hidden="1"/>
    <cellStyle name="Followed Hyperlink" xfId="858" builtinId="9" hidden="1"/>
    <cellStyle name="Followed Hyperlink" xfId="860" builtinId="9" hidden="1"/>
    <cellStyle name="Followed Hyperlink" xfId="862" builtinId="9" hidden="1"/>
    <cellStyle name="Followed Hyperlink" xfId="864" builtinId="9" hidden="1"/>
    <cellStyle name="Followed Hyperlink" xfId="866" builtinId="9" hidden="1"/>
    <cellStyle name="Followed Hyperlink" xfId="868" builtinId="9" hidden="1"/>
    <cellStyle name="Followed Hyperlink" xfId="870" builtinId="9" hidden="1"/>
    <cellStyle name="Followed Hyperlink" xfId="872" builtinId="9" hidden="1"/>
    <cellStyle name="Followed Hyperlink" xfId="874" builtinId="9" hidden="1"/>
    <cellStyle name="Followed Hyperlink" xfId="876" builtinId="9" hidden="1"/>
    <cellStyle name="Followed Hyperlink" xfId="878" builtinId="9" hidden="1"/>
    <cellStyle name="Followed Hyperlink" xfId="880" builtinId="9" hidden="1"/>
    <cellStyle name="Followed Hyperlink" xfId="882" builtinId="9" hidden="1"/>
    <cellStyle name="Followed Hyperlink" xfId="884" builtinId="9" hidden="1"/>
    <cellStyle name="Followed Hyperlink" xfId="886" builtinId="9" hidden="1"/>
    <cellStyle name="Followed Hyperlink" xfId="888" builtinId="9" hidden="1"/>
    <cellStyle name="Followed Hyperlink" xfId="890" builtinId="9" hidden="1"/>
    <cellStyle name="Followed Hyperlink" xfId="892" builtinId="9" hidden="1"/>
    <cellStyle name="Followed Hyperlink" xfId="894" builtinId="9" hidden="1"/>
    <cellStyle name="Followed Hyperlink" xfId="896" builtinId="9" hidden="1"/>
    <cellStyle name="Followed Hyperlink" xfId="898" builtinId="9" hidden="1"/>
    <cellStyle name="Followed Hyperlink" xfId="900" builtinId="9" hidden="1"/>
    <cellStyle name="Followed Hyperlink" xfId="902" builtinId="9" hidden="1"/>
    <cellStyle name="Followed Hyperlink" xfId="904" builtinId="9" hidden="1"/>
    <cellStyle name="Followed Hyperlink" xfId="906" builtinId="9" hidden="1"/>
    <cellStyle name="Followed Hyperlink" xfId="908" builtinId="9" hidden="1"/>
    <cellStyle name="Followed Hyperlink" xfId="910" builtinId="9" hidden="1"/>
    <cellStyle name="Followed Hyperlink" xfId="912" builtinId="9" hidden="1"/>
    <cellStyle name="Followed Hyperlink" xfId="914" builtinId="9" hidden="1"/>
    <cellStyle name="Followed Hyperlink" xfId="916" builtinId="9" hidden="1"/>
    <cellStyle name="Followed Hyperlink" xfId="918" builtinId="9" hidden="1"/>
    <cellStyle name="Followed Hyperlink" xfId="920" builtinId="9" hidden="1"/>
    <cellStyle name="Followed Hyperlink" xfId="922" builtinId="9" hidden="1"/>
    <cellStyle name="Followed Hyperlink" xfId="924" builtinId="9" hidden="1"/>
    <cellStyle name="Followed Hyperlink" xfId="926" builtinId="9" hidden="1"/>
    <cellStyle name="Followed Hyperlink" xfId="928" builtinId="9" hidden="1"/>
    <cellStyle name="Followed Hyperlink" xfId="930" builtinId="9" hidden="1"/>
    <cellStyle name="Followed Hyperlink" xfId="932" builtinId="9" hidden="1"/>
    <cellStyle name="Followed Hyperlink" xfId="934" builtinId="9" hidden="1"/>
    <cellStyle name="Followed Hyperlink" xfId="936" builtinId="9" hidden="1"/>
    <cellStyle name="Followed Hyperlink" xfId="938" builtinId="9" hidden="1"/>
    <cellStyle name="Followed Hyperlink" xfId="940" builtinId="9" hidden="1"/>
    <cellStyle name="Followed Hyperlink" xfId="942" builtinId="9" hidden="1"/>
    <cellStyle name="Followed Hyperlink" xfId="944" builtinId="9" hidden="1"/>
    <cellStyle name="Followed Hyperlink" xfId="946" builtinId="9" hidden="1"/>
    <cellStyle name="Followed Hyperlink" xfId="948" builtinId="9" hidden="1"/>
    <cellStyle name="Followed Hyperlink" xfId="950" builtinId="9" hidden="1"/>
    <cellStyle name="Followed Hyperlink" xfId="952" builtinId="9" hidden="1"/>
    <cellStyle name="Followed Hyperlink" xfId="954" builtinId="9" hidden="1"/>
    <cellStyle name="Followed Hyperlink" xfId="956" builtinId="9" hidden="1"/>
    <cellStyle name="Followed Hyperlink" xfId="958" builtinId="9" hidden="1"/>
    <cellStyle name="Followed Hyperlink" xfId="960" builtinId="9" hidden="1"/>
    <cellStyle name="Followed Hyperlink" xfId="962" builtinId="9" hidden="1"/>
    <cellStyle name="Followed Hyperlink" xfId="964" builtinId="9" hidden="1"/>
    <cellStyle name="Followed Hyperlink" xfId="966" builtinId="9" hidden="1"/>
    <cellStyle name="Followed Hyperlink" xfId="968" builtinId="9" hidden="1"/>
    <cellStyle name="Followed Hyperlink" xfId="970" builtinId="9" hidden="1"/>
    <cellStyle name="Followed Hyperlink" xfId="972" builtinId="9" hidden="1"/>
    <cellStyle name="Followed Hyperlink" xfId="974" builtinId="9" hidden="1"/>
    <cellStyle name="Followed Hyperlink" xfId="976" builtinId="9" hidden="1"/>
    <cellStyle name="Followed Hyperlink" xfId="978" builtinId="9" hidden="1"/>
    <cellStyle name="Followed Hyperlink" xfId="980" builtinId="9" hidden="1"/>
    <cellStyle name="Followed Hyperlink" xfId="982" builtinId="9" hidden="1"/>
    <cellStyle name="Followed Hyperlink" xfId="984" builtinId="9" hidden="1"/>
    <cellStyle name="Followed Hyperlink" xfId="986" builtinId="9" hidden="1"/>
    <cellStyle name="Followed Hyperlink" xfId="988" builtinId="9" hidden="1"/>
    <cellStyle name="Followed Hyperlink" xfId="990" builtinId="9" hidden="1"/>
    <cellStyle name="Followed Hyperlink" xfId="992" builtinId="9" hidden="1"/>
    <cellStyle name="Followed Hyperlink" xfId="994" builtinId="9" hidden="1"/>
    <cellStyle name="Followed Hyperlink" xfId="996" builtinId="9" hidden="1"/>
    <cellStyle name="Followed Hyperlink" xfId="998" builtinId="9" hidden="1"/>
    <cellStyle name="Followed Hyperlink" xfId="1000" builtinId="9" hidden="1"/>
    <cellStyle name="Followed Hyperlink" xfId="1002" builtinId="9" hidden="1"/>
    <cellStyle name="Followed Hyperlink" xfId="1004" builtinId="9" hidden="1"/>
    <cellStyle name="Followed Hyperlink" xfId="1006" builtinId="9" hidden="1"/>
    <cellStyle name="Followed Hyperlink" xfId="1008" builtinId="9" hidden="1"/>
    <cellStyle name="Followed Hyperlink" xfId="1010" builtinId="9" hidden="1"/>
    <cellStyle name="Followed Hyperlink" xfId="1012" builtinId="9" hidden="1"/>
    <cellStyle name="Followed Hyperlink" xfId="1014" builtinId="9" hidden="1"/>
    <cellStyle name="Followed Hyperlink" xfId="1016" builtinId="9" hidden="1"/>
    <cellStyle name="Followed Hyperlink" xfId="1018" builtinId="9" hidden="1"/>
    <cellStyle name="Followed Hyperlink" xfId="1020" builtinId="9" hidden="1"/>
    <cellStyle name="Followed Hyperlink" xfId="1022" builtinId="9" hidden="1"/>
    <cellStyle name="Followed Hyperlink" xfId="1024" builtinId="9" hidden="1"/>
    <cellStyle name="Followed Hyperlink" xfId="1026" builtinId="9" hidden="1"/>
    <cellStyle name="Followed Hyperlink" xfId="1028" builtinId="9" hidden="1"/>
    <cellStyle name="Followed Hyperlink" xfId="1030" builtinId="9" hidden="1"/>
    <cellStyle name="Followed Hyperlink" xfId="1032" builtinId="9" hidden="1"/>
    <cellStyle name="Followed Hyperlink" xfId="1034" builtinId="9" hidden="1"/>
    <cellStyle name="Followed Hyperlink" xfId="1036" builtinId="9" hidden="1"/>
    <cellStyle name="Followed Hyperlink" xfId="1038" builtinId="9" hidden="1"/>
    <cellStyle name="Followed Hyperlink" xfId="1040" builtinId="9" hidden="1"/>
    <cellStyle name="Followed Hyperlink" xfId="1042" builtinId="9" hidden="1"/>
    <cellStyle name="Followed Hyperlink" xfId="1044" builtinId="9" hidden="1"/>
    <cellStyle name="Followed Hyperlink" xfId="1046" builtinId="9" hidden="1"/>
    <cellStyle name="Followed Hyperlink" xfId="1048" builtinId="9" hidden="1"/>
    <cellStyle name="Followed Hyperlink" xfId="1050" builtinId="9" hidden="1"/>
    <cellStyle name="Followed Hyperlink" xfId="1052" builtinId="9" hidden="1"/>
    <cellStyle name="Followed Hyperlink" xfId="1054" builtinId="9" hidden="1"/>
    <cellStyle name="Followed Hyperlink" xfId="1056" builtinId="9" hidden="1"/>
    <cellStyle name="Followed Hyperlink" xfId="1058" builtinId="9" hidden="1"/>
    <cellStyle name="Followed Hyperlink" xfId="1060" builtinId="9" hidden="1"/>
    <cellStyle name="Followed Hyperlink" xfId="1062" builtinId="9" hidden="1"/>
    <cellStyle name="Followed Hyperlink" xfId="1064" builtinId="9" hidden="1"/>
    <cellStyle name="Followed Hyperlink" xfId="1066" builtinId="9" hidden="1"/>
    <cellStyle name="Followed Hyperlink" xfId="1068" builtinId="9" hidden="1"/>
    <cellStyle name="Followed Hyperlink" xfId="1070" builtinId="9" hidden="1"/>
    <cellStyle name="Followed Hyperlink" xfId="1072" builtinId="9" hidden="1"/>
    <cellStyle name="Followed Hyperlink" xfId="1074" builtinId="9" hidden="1"/>
    <cellStyle name="Followed Hyperlink" xfId="1076" builtinId="9" hidden="1"/>
    <cellStyle name="Followed Hyperlink" xfId="1078" builtinId="9" hidden="1"/>
    <cellStyle name="Followed Hyperlink" xfId="1080" builtinId="9" hidden="1"/>
    <cellStyle name="Followed Hyperlink" xfId="1082" builtinId="9" hidden="1"/>
    <cellStyle name="Followed Hyperlink" xfId="1084" builtinId="9" hidden="1"/>
    <cellStyle name="Followed Hyperlink" xfId="1086" builtinId="9" hidden="1"/>
    <cellStyle name="Followed Hyperlink" xfId="1088" builtinId="9" hidden="1"/>
    <cellStyle name="Followed Hyperlink" xfId="1090" builtinId="9" hidden="1"/>
    <cellStyle name="Followed Hyperlink" xfId="1092" builtinId="9" hidden="1"/>
    <cellStyle name="Followed Hyperlink" xfId="1094" builtinId="9" hidden="1"/>
    <cellStyle name="Followed Hyperlink" xfId="1096" builtinId="9" hidden="1"/>
    <cellStyle name="Followed Hyperlink" xfId="1098" builtinId="9" hidden="1"/>
    <cellStyle name="Followed Hyperlink" xfId="1100" builtinId="9" hidden="1"/>
    <cellStyle name="Followed Hyperlink" xfId="1102" builtinId="9" hidden="1"/>
    <cellStyle name="Followed Hyperlink" xfId="1104" builtinId="9" hidden="1"/>
    <cellStyle name="Followed Hyperlink" xfId="1106" builtinId="9" hidden="1"/>
    <cellStyle name="Followed Hyperlink" xfId="1108" builtinId="9" hidden="1"/>
    <cellStyle name="Followed Hyperlink" xfId="1110" builtinId="9" hidden="1"/>
    <cellStyle name="Followed Hyperlink" xfId="1112" builtinId="9" hidden="1"/>
    <cellStyle name="Followed Hyperlink" xfId="1114" builtinId="9" hidden="1"/>
    <cellStyle name="Followed Hyperlink" xfId="1116" builtinId="9" hidden="1"/>
    <cellStyle name="Followed Hyperlink" xfId="1118" builtinId="9" hidden="1"/>
    <cellStyle name="Followed Hyperlink" xfId="1120" builtinId="9" hidden="1"/>
    <cellStyle name="Followed Hyperlink" xfId="1122" builtinId="9" hidden="1"/>
    <cellStyle name="Followed Hyperlink" xfId="1124" builtinId="9" hidden="1"/>
    <cellStyle name="Followed Hyperlink" xfId="1126" builtinId="9" hidden="1"/>
    <cellStyle name="Followed Hyperlink" xfId="1128" builtinId="9" hidden="1"/>
    <cellStyle name="Followed Hyperlink" xfId="1130" builtinId="9" hidden="1"/>
    <cellStyle name="Followed Hyperlink" xfId="1132" builtinId="9" hidden="1"/>
    <cellStyle name="Followed Hyperlink" xfId="1134" builtinId="9" hidden="1"/>
    <cellStyle name="Followed Hyperlink" xfId="1136" builtinId="9" hidden="1"/>
    <cellStyle name="Followed Hyperlink" xfId="1138" builtinId="9" hidden="1"/>
    <cellStyle name="Followed Hyperlink" xfId="1140" builtinId="9" hidden="1"/>
    <cellStyle name="Followed Hyperlink" xfId="1142" builtinId="9" hidden="1"/>
    <cellStyle name="Followed Hyperlink" xfId="1144" builtinId="9" hidden="1"/>
    <cellStyle name="Followed Hyperlink" xfId="1146" builtinId="9" hidden="1"/>
    <cellStyle name="Followed Hyperlink" xfId="1148" builtinId="9" hidden="1"/>
    <cellStyle name="Followed Hyperlink" xfId="1150" builtinId="9" hidden="1"/>
    <cellStyle name="Followed Hyperlink" xfId="1152" builtinId="9" hidden="1"/>
    <cellStyle name="Followed Hyperlink" xfId="1154" builtinId="9" hidden="1"/>
    <cellStyle name="Followed Hyperlink" xfId="1156" builtinId="9" hidden="1"/>
    <cellStyle name="Followed Hyperlink" xfId="1158" builtinId="9" hidden="1"/>
    <cellStyle name="Followed Hyperlink" xfId="1160" builtinId="9" hidden="1"/>
    <cellStyle name="Followed Hyperlink" xfId="1162" builtinId="9" hidden="1"/>
    <cellStyle name="Followed Hyperlink" xfId="1164" builtinId="9" hidden="1"/>
    <cellStyle name="Followed Hyperlink" xfId="1166" builtinId="9" hidden="1"/>
    <cellStyle name="Followed Hyperlink" xfId="1168" builtinId="9" hidden="1"/>
    <cellStyle name="Followed Hyperlink" xfId="1170" builtinId="9" hidden="1"/>
    <cellStyle name="Followed Hyperlink" xfId="1172" builtinId="9" hidden="1"/>
    <cellStyle name="Followed Hyperlink" xfId="1174" builtinId="9" hidden="1"/>
    <cellStyle name="Followed Hyperlink" xfId="1176" builtinId="9" hidden="1"/>
    <cellStyle name="Followed Hyperlink" xfId="1178" builtinId="9" hidden="1"/>
    <cellStyle name="Followed Hyperlink" xfId="1180" builtinId="9" hidden="1"/>
    <cellStyle name="Followed Hyperlink" xfId="1182" builtinId="9" hidden="1"/>
    <cellStyle name="Followed Hyperlink" xfId="1184" builtinId="9" hidden="1"/>
    <cellStyle name="Followed Hyperlink" xfId="1186" builtinId="9" hidden="1"/>
    <cellStyle name="Followed Hyperlink" xfId="1188" builtinId="9" hidden="1"/>
    <cellStyle name="Followed Hyperlink" xfId="1190" builtinId="9" hidden="1"/>
    <cellStyle name="Followed Hyperlink" xfId="1192" builtinId="9" hidden="1"/>
    <cellStyle name="Followed Hyperlink" xfId="1194" builtinId="9" hidden="1"/>
    <cellStyle name="Followed Hyperlink" xfId="1196" builtinId="9" hidden="1"/>
    <cellStyle name="Followed Hyperlink" xfId="1198" builtinId="9" hidden="1"/>
    <cellStyle name="Followed Hyperlink" xfId="1200" builtinId="9" hidden="1"/>
    <cellStyle name="Followed Hyperlink" xfId="1202" builtinId="9" hidden="1"/>
    <cellStyle name="Followed Hyperlink" xfId="1204" builtinId="9" hidden="1"/>
    <cellStyle name="Followed Hyperlink" xfId="1206" builtinId="9" hidden="1"/>
    <cellStyle name="Followed Hyperlink" xfId="1208" builtinId="9" hidden="1"/>
    <cellStyle name="Followed Hyperlink" xfId="1210" builtinId="9" hidden="1"/>
    <cellStyle name="Followed Hyperlink" xfId="1212" builtinId="9" hidden="1"/>
    <cellStyle name="Followed Hyperlink" xfId="1214" builtinId="9" hidden="1"/>
    <cellStyle name="Followed Hyperlink" xfId="1216" builtinId="9" hidden="1"/>
    <cellStyle name="Followed Hyperlink" xfId="1218" builtinId="9" hidden="1"/>
    <cellStyle name="Followed Hyperlink" xfId="1220" builtinId="9" hidden="1"/>
    <cellStyle name="Followed Hyperlink" xfId="1222" builtinId="9" hidden="1"/>
    <cellStyle name="Followed Hyperlink" xfId="1224" builtinId="9" hidden="1"/>
    <cellStyle name="Followed Hyperlink" xfId="1226" builtinId="9" hidden="1"/>
    <cellStyle name="Followed Hyperlink" xfId="1228" builtinId="9" hidden="1"/>
    <cellStyle name="Followed Hyperlink" xfId="1230" builtinId="9" hidden="1"/>
    <cellStyle name="Followed Hyperlink" xfId="1232" builtinId="9" hidden="1"/>
    <cellStyle name="Followed Hyperlink" xfId="1234" builtinId="9" hidden="1"/>
    <cellStyle name="Followed Hyperlink" xfId="1236" builtinId="9" hidden="1"/>
    <cellStyle name="Followed Hyperlink" xfId="1238" builtinId="9" hidden="1"/>
    <cellStyle name="Followed Hyperlink" xfId="1240" builtinId="9" hidden="1"/>
    <cellStyle name="Followed Hyperlink" xfId="1242" builtinId="9" hidden="1"/>
    <cellStyle name="Followed Hyperlink" xfId="1244" builtinId="9" hidden="1"/>
    <cellStyle name="Followed Hyperlink" xfId="1246" builtinId="9" hidden="1"/>
    <cellStyle name="Followed Hyperlink" xfId="1248" builtinId="9" hidden="1"/>
    <cellStyle name="Followed Hyperlink" xfId="1250" builtinId="9" hidden="1"/>
    <cellStyle name="Followed Hyperlink" xfId="1252" builtinId="9" hidden="1"/>
    <cellStyle name="Followed Hyperlink" xfId="1254" builtinId="9" hidden="1"/>
    <cellStyle name="Followed Hyperlink" xfId="1256" builtinId="9" hidden="1"/>
    <cellStyle name="Followed Hyperlink" xfId="1258" builtinId="9" hidden="1"/>
    <cellStyle name="Followed Hyperlink" xfId="1260" builtinId="9" hidden="1"/>
    <cellStyle name="Followed Hyperlink" xfId="1262" builtinId="9" hidden="1"/>
    <cellStyle name="Followed Hyperlink" xfId="1264" builtinId="9" hidden="1"/>
    <cellStyle name="Followed Hyperlink" xfId="1266" builtinId="9" hidden="1"/>
    <cellStyle name="Followed Hyperlink" xfId="1268" builtinId="9" hidden="1"/>
    <cellStyle name="Followed Hyperlink" xfId="1270" builtinId="9" hidden="1"/>
    <cellStyle name="Followed Hyperlink" xfId="1272" builtinId="9" hidden="1"/>
    <cellStyle name="Followed Hyperlink" xfId="1274" builtinId="9" hidden="1"/>
    <cellStyle name="Followed Hyperlink" xfId="1276" builtinId="9" hidden="1"/>
    <cellStyle name="Followed Hyperlink" xfId="1278" builtinId="9" hidden="1"/>
    <cellStyle name="Followed Hyperlink" xfId="1280" builtinId="9" hidden="1"/>
    <cellStyle name="Followed Hyperlink" xfId="1282" builtinId="9" hidden="1"/>
    <cellStyle name="Followed Hyperlink" xfId="1284" builtinId="9" hidden="1"/>
    <cellStyle name="Followed Hyperlink" xfId="1286" builtinId="9" hidden="1"/>
    <cellStyle name="Followed Hyperlink" xfId="1288" builtinId="9" hidden="1"/>
    <cellStyle name="Followed Hyperlink" xfId="1290" builtinId="9" hidden="1"/>
    <cellStyle name="Followed Hyperlink" xfId="1292" builtinId="9" hidden="1"/>
    <cellStyle name="Followed Hyperlink" xfId="1294" builtinId="9" hidden="1"/>
    <cellStyle name="Followed Hyperlink" xfId="1296" builtinId="9" hidden="1"/>
    <cellStyle name="Followed Hyperlink" xfId="1298" builtinId="9" hidden="1"/>
    <cellStyle name="Followed Hyperlink" xfId="1300" builtinId="9" hidden="1"/>
    <cellStyle name="Followed Hyperlink" xfId="1302" builtinId="9" hidden="1"/>
    <cellStyle name="Followed Hyperlink" xfId="1304" builtinId="9" hidden="1"/>
    <cellStyle name="Followed Hyperlink" xfId="1306" builtinId="9" hidden="1"/>
    <cellStyle name="Followed Hyperlink" xfId="1308" builtinId="9" hidden="1"/>
    <cellStyle name="Followed Hyperlink" xfId="1310" builtinId="9" hidden="1"/>
    <cellStyle name="Followed Hyperlink" xfId="1312" builtinId="9" hidden="1"/>
    <cellStyle name="Followed Hyperlink" xfId="1314" builtinId="9" hidden="1"/>
    <cellStyle name="Followed Hyperlink" xfId="1316" builtinId="9" hidden="1"/>
    <cellStyle name="Followed Hyperlink" xfId="1318" builtinId="9" hidden="1"/>
    <cellStyle name="Followed Hyperlink" xfId="1320" builtinId="9" hidden="1"/>
    <cellStyle name="Followed Hyperlink" xfId="1322" builtinId="9" hidden="1"/>
    <cellStyle name="Followed Hyperlink" xfId="1324" builtinId="9" hidden="1"/>
    <cellStyle name="Followed Hyperlink" xfId="1326" builtinId="9" hidden="1"/>
    <cellStyle name="Followed Hyperlink" xfId="1328" builtinId="9" hidden="1"/>
    <cellStyle name="Followed Hyperlink" xfId="1330" builtinId="9" hidden="1"/>
    <cellStyle name="Followed Hyperlink" xfId="1332" builtinId="9" hidden="1"/>
    <cellStyle name="Followed Hyperlink" xfId="1334" builtinId="9" hidden="1"/>
    <cellStyle name="Followed Hyperlink" xfId="1336" builtinId="9" hidden="1"/>
    <cellStyle name="Followed Hyperlink" xfId="1338" builtinId="9" hidden="1"/>
    <cellStyle name="Followed Hyperlink" xfId="1340" builtinId="9" hidden="1"/>
    <cellStyle name="Followed Hyperlink" xfId="1342" builtinId="9" hidden="1"/>
    <cellStyle name="Followed Hyperlink" xfId="1344" builtinId="9" hidden="1"/>
    <cellStyle name="Followed Hyperlink" xfId="1346" builtinId="9" hidden="1"/>
    <cellStyle name="Followed Hyperlink" xfId="1348" builtinId="9" hidden="1"/>
    <cellStyle name="Followed Hyperlink" xfId="1350" builtinId="9" hidden="1"/>
    <cellStyle name="Followed Hyperlink" xfId="1352" builtinId="9" hidden="1"/>
    <cellStyle name="Followed Hyperlink" xfId="1354" builtinId="9" hidden="1"/>
    <cellStyle name="Followed Hyperlink" xfId="1356" builtinId="9" hidden="1"/>
    <cellStyle name="Followed Hyperlink" xfId="1358" builtinId="9" hidden="1"/>
    <cellStyle name="Followed Hyperlink" xfId="1360" builtinId="9" hidden="1"/>
    <cellStyle name="Followed Hyperlink" xfId="1362" builtinId="9" hidden="1"/>
    <cellStyle name="Followed Hyperlink" xfId="1364" builtinId="9" hidden="1"/>
    <cellStyle name="Followed Hyperlink" xfId="1366" builtinId="9" hidden="1"/>
    <cellStyle name="Followed Hyperlink" xfId="1368" builtinId="9" hidden="1"/>
    <cellStyle name="Followed Hyperlink" xfId="1370" builtinId="9" hidden="1"/>
    <cellStyle name="Followed Hyperlink" xfId="1372" builtinId="9" hidden="1"/>
    <cellStyle name="Followed Hyperlink" xfId="1374" builtinId="9" hidden="1"/>
    <cellStyle name="Followed Hyperlink" xfId="1376" builtinId="9" hidden="1"/>
    <cellStyle name="Followed Hyperlink" xfId="1378" builtinId="9" hidden="1"/>
    <cellStyle name="Followed Hyperlink" xfId="1380" builtinId="9" hidden="1"/>
    <cellStyle name="Followed Hyperlink" xfId="1382" builtinId="9" hidden="1"/>
    <cellStyle name="Followed Hyperlink" xfId="1384" builtinId="9" hidden="1"/>
    <cellStyle name="Followed Hyperlink" xfId="1386" builtinId="9" hidden="1"/>
    <cellStyle name="Followed Hyperlink" xfId="1388" builtinId="9" hidden="1"/>
    <cellStyle name="Followed Hyperlink" xfId="1390" builtinId="9" hidden="1"/>
    <cellStyle name="Followed Hyperlink" xfId="1392" builtinId="9" hidden="1"/>
    <cellStyle name="Followed Hyperlink" xfId="1394" builtinId="9" hidden="1"/>
    <cellStyle name="Followed Hyperlink" xfId="1396" builtinId="9" hidden="1"/>
    <cellStyle name="Followed Hyperlink" xfId="1398" builtinId="9" hidden="1"/>
    <cellStyle name="Followed Hyperlink" xfId="1400" builtinId="9" hidden="1"/>
    <cellStyle name="Followed Hyperlink" xfId="1402" builtinId="9" hidden="1"/>
    <cellStyle name="Followed Hyperlink" xfId="1404" builtinId="9" hidden="1"/>
    <cellStyle name="Followed Hyperlink" xfId="1406" builtinId="9" hidden="1"/>
    <cellStyle name="Followed Hyperlink" xfId="1408" builtinId="9" hidden="1"/>
    <cellStyle name="Followed Hyperlink" xfId="1410" builtinId="9" hidden="1"/>
    <cellStyle name="Followed Hyperlink" xfId="1412" builtinId="9" hidden="1"/>
    <cellStyle name="Followed Hyperlink" xfId="1414" builtinId="9" hidden="1"/>
    <cellStyle name="Followed Hyperlink" xfId="1416" builtinId="9" hidden="1"/>
    <cellStyle name="Followed Hyperlink" xfId="1418" builtinId="9" hidden="1"/>
    <cellStyle name="Followed Hyperlink" xfId="1420" builtinId="9" hidden="1"/>
    <cellStyle name="Followed Hyperlink" xfId="1422" builtinId="9" hidden="1"/>
    <cellStyle name="Followed Hyperlink" xfId="1424" builtinId="9" hidden="1"/>
    <cellStyle name="Followed Hyperlink" xfId="1426" builtinId="9" hidden="1"/>
    <cellStyle name="Followed Hyperlink" xfId="1428" builtinId="9" hidden="1"/>
    <cellStyle name="Followed Hyperlink" xfId="1430" builtinId="9" hidden="1"/>
    <cellStyle name="Followed Hyperlink" xfId="1432" builtinId="9" hidden="1"/>
    <cellStyle name="Followed Hyperlink" xfId="1434" builtinId="9" hidden="1"/>
    <cellStyle name="Followed Hyperlink" xfId="1436" builtinId="9" hidden="1"/>
    <cellStyle name="Followed Hyperlink" xfId="1438" builtinId="9" hidden="1"/>
    <cellStyle name="Followed Hyperlink" xfId="1440" builtinId="9" hidden="1"/>
    <cellStyle name="Followed Hyperlink" xfId="1442" builtinId="9" hidden="1"/>
    <cellStyle name="Followed Hyperlink" xfId="1444" builtinId="9" hidden="1"/>
    <cellStyle name="Followed Hyperlink" xfId="1446" builtinId="9" hidden="1"/>
    <cellStyle name="Followed Hyperlink" xfId="1448" builtinId="9" hidden="1"/>
    <cellStyle name="Followed Hyperlink" xfId="1450" builtinId="9" hidden="1"/>
    <cellStyle name="Followed Hyperlink" xfId="1452" builtinId="9" hidden="1"/>
    <cellStyle name="Followed Hyperlink" xfId="1454" builtinId="9" hidden="1"/>
    <cellStyle name="Followed Hyperlink" xfId="1456" builtinId="9" hidden="1"/>
    <cellStyle name="Followed Hyperlink" xfId="1458" builtinId="9" hidden="1"/>
    <cellStyle name="Followed Hyperlink" xfId="1460" builtinId="9" hidden="1"/>
    <cellStyle name="Followed Hyperlink" xfId="1462" builtinId="9" hidden="1"/>
    <cellStyle name="Followed Hyperlink" xfId="1464" builtinId="9" hidden="1"/>
    <cellStyle name="Followed Hyperlink" xfId="1466" builtinId="9" hidden="1"/>
    <cellStyle name="Followed Hyperlink" xfId="1468" builtinId="9" hidden="1"/>
    <cellStyle name="Followed Hyperlink" xfId="1470" builtinId="9" hidden="1"/>
    <cellStyle name="Followed Hyperlink" xfId="1472" builtinId="9" hidden="1"/>
    <cellStyle name="Followed Hyperlink" xfId="1474" builtinId="9" hidden="1"/>
    <cellStyle name="Followed Hyperlink" xfId="1476" builtinId="9" hidden="1"/>
    <cellStyle name="Followed Hyperlink" xfId="1478" builtinId="9" hidden="1"/>
    <cellStyle name="Followed Hyperlink" xfId="1480" builtinId="9" hidden="1"/>
    <cellStyle name="Followed Hyperlink" xfId="1482" builtinId="9" hidden="1"/>
    <cellStyle name="Followed Hyperlink" xfId="1484" builtinId="9" hidden="1"/>
    <cellStyle name="Followed Hyperlink" xfId="1486" builtinId="9" hidden="1"/>
    <cellStyle name="Followed Hyperlink" xfId="1488" builtinId="9" hidden="1"/>
    <cellStyle name="Followed Hyperlink" xfId="1490" builtinId="9" hidden="1"/>
    <cellStyle name="Followed Hyperlink" xfId="1492" builtinId="9" hidden="1"/>
    <cellStyle name="Followed Hyperlink" xfId="1494" builtinId="9" hidden="1"/>
    <cellStyle name="Followed Hyperlink" xfId="1496" builtinId="9" hidden="1"/>
    <cellStyle name="Followed Hyperlink" xfId="1498" builtinId="9" hidden="1"/>
    <cellStyle name="Followed Hyperlink" xfId="1500" builtinId="9" hidden="1"/>
    <cellStyle name="Followed Hyperlink" xfId="1502" builtinId="9" hidden="1"/>
    <cellStyle name="Followed Hyperlink" xfId="1504" builtinId="9" hidden="1"/>
    <cellStyle name="Followed Hyperlink" xfId="1506" builtinId="9" hidden="1"/>
    <cellStyle name="Followed Hyperlink" xfId="1508" builtinId="9" hidden="1"/>
    <cellStyle name="Followed Hyperlink" xfId="1510" builtinId="9" hidden="1"/>
    <cellStyle name="Followed Hyperlink" xfId="1512" builtinId="9" hidden="1"/>
    <cellStyle name="Followed Hyperlink" xfId="1514" builtinId="9" hidden="1"/>
    <cellStyle name="Followed Hyperlink" xfId="1516" builtinId="9" hidden="1"/>
    <cellStyle name="Followed Hyperlink" xfId="1518" builtinId="9" hidden="1"/>
    <cellStyle name="Followed Hyperlink" xfId="1520" builtinId="9" hidden="1"/>
    <cellStyle name="Followed Hyperlink" xfId="1522" builtinId="9" hidden="1"/>
    <cellStyle name="Followed Hyperlink" xfId="1524" builtinId="9" hidden="1"/>
    <cellStyle name="Followed Hyperlink" xfId="1526" builtinId="9" hidden="1"/>
    <cellStyle name="Followed Hyperlink" xfId="1528" builtinId="9" hidden="1"/>
    <cellStyle name="Followed Hyperlink" xfId="1530" builtinId="9" hidden="1"/>
    <cellStyle name="Followed Hyperlink" xfId="1532" builtinId="9" hidden="1"/>
    <cellStyle name="Followed Hyperlink" xfId="1534" builtinId="9" hidden="1"/>
    <cellStyle name="Followed Hyperlink" xfId="1536" builtinId="9" hidden="1"/>
    <cellStyle name="Followed Hyperlink" xfId="1538" builtinId="9" hidden="1"/>
    <cellStyle name="Followed Hyperlink" xfId="1540" builtinId="9" hidden="1"/>
    <cellStyle name="Followed Hyperlink" xfId="1542" builtinId="9" hidden="1"/>
    <cellStyle name="Followed Hyperlink" xfId="1544" builtinId="9" hidden="1"/>
    <cellStyle name="Followed Hyperlink" xfId="1546" builtinId="9" hidden="1"/>
    <cellStyle name="Followed Hyperlink" xfId="1548" builtinId="9" hidden="1"/>
    <cellStyle name="Followed Hyperlink" xfId="1550" builtinId="9" hidden="1"/>
    <cellStyle name="Followed Hyperlink" xfId="1552" builtinId="9" hidden="1"/>
    <cellStyle name="Followed Hyperlink" xfId="1554" builtinId="9" hidden="1"/>
    <cellStyle name="Followed Hyperlink" xfId="1556" builtinId="9" hidden="1"/>
    <cellStyle name="Followed Hyperlink" xfId="1558" builtinId="9" hidden="1"/>
    <cellStyle name="Followed Hyperlink" xfId="1560" builtinId="9" hidden="1"/>
    <cellStyle name="Followed Hyperlink" xfId="1562" builtinId="9" hidden="1"/>
    <cellStyle name="Followed Hyperlink" xfId="1564" builtinId="9" hidden="1"/>
    <cellStyle name="Followed Hyperlink" xfId="1566" builtinId="9" hidden="1"/>
    <cellStyle name="Followed Hyperlink" xfId="1568" builtinId="9" hidden="1"/>
    <cellStyle name="Followed Hyperlink" xfId="1570" builtinId="9" hidden="1"/>
    <cellStyle name="Followed Hyperlink" xfId="1572" builtinId="9" hidden="1"/>
    <cellStyle name="Followed Hyperlink" xfId="1574" builtinId="9" hidden="1"/>
    <cellStyle name="Followed Hyperlink" xfId="1576" builtinId="9" hidden="1"/>
    <cellStyle name="Followed Hyperlink" xfId="1578" builtinId="9" hidden="1"/>
    <cellStyle name="Followed Hyperlink" xfId="1580" builtinId="9" hidden="1"/>
    <cellStyle name="Followed Hyperlink" xfId="1582" builtinId="9" hidden="1"/>
    <cellStyle name="Followed Hyperlink" xfId="1584" builtinId="9" hidden="1"/>
    <cellStyle name="Followed Hyperlink" xfId="1586" builtinId="9" hidden="1"/>
    <cellStyle name="Followed Hyperlink" xfId="1588" builtinId="9" hidden="1"/>
    <cellStyle name="Followed Hyperlink" xfId="1590" builtinId="9" hidden="1"/>
    <cellStyle name="Followed Hyperlink" xfId="1592" builtinId="9" hidden="1"/>
    <cellStyle name="Followed Hyperlink" xfId="1594" builtinId="9" hidden="1"/>
    <cellStyle name="Followed Hyperlink" xfId="1596" builtinId="9" hidden="1"/>
    <cellStyle name="Followed Hyperlink" xfId="1598" builtinId="9" hidden="1"/>
    <cellStyle name="Followed Hyperlink" xfId="1600" builtinId="9" hidden="1"/>
    <cellStyle name="Followed Hyperlink" xfId="1602" builtinId="9" hidden="1"/>
    <cellStyle name="Followed Hyperlink" xfId="1604" builtinId="9" hidden="1"/>
    <cellStyle name="Followed Hyperlink" xfId="1606" builtinId="9" hidden="1"/>
    <cellStyle name="Followed Hyperlink" xfId="1608" builtinId="9" hidden="1"/>
    <cellStyle name="Followed Hyperlink" xfId="1610" builtinId="9" hidden="1"/>
    <cellStyle name="Followed Hyperlink" xfId="1612" builtinId="9" hidden="1"/>
    <cellStyle name="Followed Hyperlink" xfId="1614" builtinId="9" hidden="1"/>
    <cellStyle name="Followed Hyperlink" xfId="1616" builtinId="9" hidden="1"/>
    <cellStyle name="Followed Hyperlink" xfId="1618" builtinId="9" hidden="1"/>
    <cellStyle name="Followed Hyperlink" xfId="1620" builtinId="9" hidden="1"/>
    <cellStyle name="Followed Hyperlink" xfId="1622" builtinId="9" hidden="1"/>
    <cellStyle name="Followed Hyperlink" xfId="1624" builtinId="9" hidden="1"/>
    <cellStyle name="Followed Hyperlink" xfId="1626" builtinId="9" hidden="1"/>
    <cellStyle name="Followed Hyperlink" xfId="1628" builtinId="9" hidden="1"/>
    <cellStyle name="Followed Hyperlink" xfId="1630" builtinId="9" hidden="1"/>
    <cellStyle name="Followed Hyperlink" xfId="1632" builtinId="9" hidden="1"/>
    <cellStyle name="Followed Hyperlink" xfId="1634" builtinId="9" hidden="1"/>
    <cellStyle name="Followed Hyperlink" xfId="1636" builtinId="9" hidden="1"/>
    <cellStyle name="Followed Hyperlink" xfId="1638" builtinId="9" hidden="1"/>
    <cellStyle name="Followed Hyperlink" xfId="1640" builtinId="9" hidden="1"/>
    <cellStyle name="Followed Hyperlink" xfId="1642" builtinId="9" hidden="1"/>
    <cellStyle name="Followed Hyperlink" xfId="1644" builtinId="9" hidden="1"/>
    <cellStyle name="Followed Hyperlink" xfId="1646" builtinId="9" hidden="1"/>
    <cellStyle name="Followed Hyperlink" xfId="1648" builtinId="9" hidden="1"/>
    <cellStyle name="Followed Hyperlink" xfId="1650" builtinId="9" hidden="1"/>
    <cellStyle name="Followed Hyperlink" xfId="1652" builtinId="9" hidden="1"/>
    <cellStyle name="Followed Hyperlink" xfId="1654" builtinId="9" hidden="1"/>
    <cellStyle name="Followed Hyperlink" xfId="1656" builtinId="9" hidden="1"/>
    <cellStyle name="Followed Hyperlink" xfId="1658" builtinId="9" hidden="1"/>
    <cellStyle name="Followed Hyperlink" xfId="1660" builtinId="9" hidden="1"/>
    <cellStyle name="Followed Hyperlink" xfId="1662" builtinId="9" hidden="1"/>
    <cellStyle name="Followed Hyperlink" xfId="1664" builtinId="9" hidden="1"/>
    <cellStyle name="Followed Hyperlink" xfId="1666" builtinId="9" hidden="1"/>
    <cellStyle name="Followed Hyperlink" xfId="1668" builtinId="9" hidden="1"/>
    <cellStyle name="Followed Hyperlink" xfId="1670" builtinId="9" hidden="1"/>
    <cellStyle name="Followed Hyperlink" xfId="1672" builtinId="9" hidden="1"/>
    <cellStyle name="Followed Hyperlink" xfId="1674" builtinId="9" hidden="1"/>
    <cellStyle name="Followed Hyperlink" xfId="1676" builtinId="9" hidden="1"/>
    <cellStyle name="Followed Hyperlink" xfId="1678" builtinId="9" hidden="1"/>
    <cellStyle name="Followed Hyperlink" xfId="1680" builtinId="9" hidden="1"/>
    <cellStyle name="Followed Hyperlink" xfId="1682" builtinId="9" hidden="1"/>
    <cellStyle name="Followed Hyperlink" xfId="1684" builtinId="9" hidden="1"/>
    <cellStyle name="Followed Hyperlink" xfId="1686" builtinId="9" hidden="1"/>
    <cellStyle name="Followed Hyperlink" xfId="1688" builtinId="9" hidden="1"/>
    <cellStyle name="Followed Hyperlink" xfId="1690" builtinId="9" hidden="1"/>
    <cellStyle name="Followed Hyperlink" xfId="1692" builtinId="9" hidden="1"/>
    <cellStyle name="Followed Hyperlink" xfId="1694" builtinId="9" hidden="1"/>
    <cellStyle name="Followed Hyperlink" xfId="1696" builtinId="9" hidden="1"/>
    <cellStyle name="Followed Hyperlink" xfId="1698" builtinId="9" hidden="1"/>
    <cellStyle name="Followed Hyperlink" xfId="1700" builtinId="9" hidden="1"/>
    <cellStyle name="Followed Hyperlink" xfId="1702" builtinId="9" hidden="1"/>
    <cellStyle name="Followed Hyperlink" xfId="1704" builtinId="9" hidden="1"/>
    <cellStyle name="Followed Hyperlink" xfId="1706" builtinId="9" hidden="1"/>
    <cellStyle name="Followed Hyperlink" xfId="1708" builtinId="9" hidden="1"/>
    <cellStyle name="Followed Hyperlink" xfId="1710" builtinId="9" hidden="1"/>
    <cellStyle name="Followed Hyperlink" xfId="1712" builtinId="9" hidden="1"/>
    <cellStyle name="Followed Hyperlink" xfId="1714" builtinId="9" hidden="1"/>
    <cellStyle name="Followed Hyperlink" xfId="1716" builtinId="9" hidden="1"/>
    <cellStyle name="Followed Hyperlink" xfId="1718" builtinId="9" hidden="1"/>
    <cellStyle name="Followed Hyperlink" xfId="1720" builtinId="9" hidden="1"/>
    <cellStyle name="Followed Hyperlink" xfId="1722" builtinId="9" hidden="1"/>
    <cellStyle name="Followed Hyperlink" xfId="1724" builtinId="9" hidden="1"/>
    <cellStyle name="Followed Hyperlink" xfId="1726" builtinId="9" hidden="1"/>
    <cellStyle name="Followed Hyperlink" xfId="1728" builtinId="9" hidden="1"/>
    <cellStyle name="Followed Hyperlink" xfId="1730" builtinId="9" hidden="1"/>
    <cellStyle name="Followed Hyperlink" xfId="1732" builtinId="9" hidden="1"/>
    <cellStyle name="Followed Hyperlink" xfId="1734" builtinId="9" hidden="1"/>
    <cellStyle name="Followed Hyperlink" xfId="1736" builtinId="9" hidden="1"/>
    <cellStyle name="Followed Hyperlink" xfId="1738" builtinId="9" hidden="1"/>
    <cellStyle name="Followed Hyperlink" xfId="1740" builtinId="9" hidden="1"/>
    <cellStyle name="Followed Hyperlink" xfId="1742" builtinId="9" hidden="1"/>
    <cellStyle name="Followed Hyperlink" xfId="1744" builtinId="9" hidden="1"/>
    <cellStyle name="Followed Hyperlink" xfId="1746" builtinId="9" hidden="1"/>
    <cellStyle name="Followed Hyperlink" xfId="1748" builtinId="9" hidden="1"/>
    <cellStyle name="Followed Hyperlink" xfId="1750" builtinId="9" hidden="1"/>
    <cellStyle name="Followed Hyperlink" xfId="1752" builtinId="9" hidden="1"/>
    <cellStyle name="Followed Hyperlink" xfId="1754" builtinId="9" hidden="1"/>
    <cellStyle name="Followed Hyperlink" xfId="1756" builtinId="9" hidden="1"/>
    <cellStyle name="Followed Hyperlink" xfId="1758" builtinId="9" hidden="1"/>
    <cellStyle name="Followed Hyperlink" xfId="1760" builtinId="9" hidden="1"/>
    <cellStyle name="Followed Hyperlink" xfId="1762" builtinId="9" hidden="1"/>
    <cellStyle name="Followed Hyperlink" xfId="1764" builtinId="9" hidden="1"/>
    <cellStyle name="Followed Hyperlink" xfId="1766" builtinId="9" hidden="1"/>
    <cellStyle name="Followed Hyperlink" xfId="1768" builtinId="9" hidden="1"/>
    <cellStyle name="Followed Hyperlink" xfId="1770" builtinId="9" hidden="1"/>
    <cellStyle name="Followed Hyperlink" xfId="1772" builtinId="9" hidden="1"/>
    <cellStyle name="Followed Hyperlink" xfId="1774" builtinId="9" hidden="1"/>
    <cellStyle name="Followed Hyperlink" xfId="1776" builtinId="9" hidden="1"/>
    <cellStyle name="Followed Hyperlink" xfId="1778" builtinId="9" hidden="1"/>
    <cellStyle name="Followed Hyperlink" xfId="1780" builtinId="9" hidden="1"/>
    <cellStyle name="Followed Hyperlink" xfId="1782" builtinId="9" hidden="1"/>
    <cellStyle name="Followed Hyperlink" xfId="1784" builtinId="9" hidden="1"/>
    <cellStyle name="Followed Hyperlink" xfId="1786" builtinId="9" hidden="1"/>
    <cellStyle name="Followed Hyperlink" xfId="1788" builtinId="9" hidden="1"/>
    <cellStyle name="Followed Hyperlink" xfId="1790" builtinId="9" hidden="1"/>
    <cellStyle name="Followed Hyperlink" xfId="1792" builtinId="9" hidden="1"/>
    <cellStyle name="Followed Hyperlink" xfId="1794" builtinId="9" hidden="1"/>
    <cellStyle name="Followed Hyperlink" xfId="1796" builtinId="9" hidden="1"/>
    <cellStyle name="Followed Hyperlink" xfId="1798" builtinId="9" hidden="1"/>
    <cellStyle name="Followed Hyperlink" xfId="1800" builtinId="9" hidden="1"/>
    <cellStyle name="Followed Hyperlink" xfId="1802" builtinId="9" hidden="1"/>
    <cellStyle name="Followed Hyperlink" xfId="1804" builtinId="9" hidden="1"/>
    <cellStyle name="Followed Hyperlink" xfId="1806" builtinId="9" hidden="1"/>
    <cellStyle name="Followed Hyperlink" xfId="1808" builtinId="9" hidden="1"/>
    <cellStyle name="Followed Hyperlink" xfId="1810" builtinId="9" hidden="1"/>
    <cellStyle name="Followed Hyperlink" xfId="1812" builtinId="9" hidden="1"/>
    <cellStyle name="Followed Hyperlink" xfId="1814" builtinId="9" hidden="1"/>
    <cellStyle name="Followed Hyperlink" xfId="1816" builtinId="9" hidden="1"/>
    <cellStyle name="Followed Hyperlink" xfId="1818" builtinId="9" hidden="1"/>
    <cellStyle name="Followed Hyperlink" xfId="1820" builtinId="9" hidden="1"/>
    <cellStyle name="Followed Hyperlink" xfId="1822" builtinId="9" hidden="1"/>
    <cellStyle name="Followed Hyperlink" xfId="1824" builtinId="9" hidden="1"/>
    <cellStyle name="Followed Hyperlink" xfId="1826" builtinId="9" hidden="1"/>
    <cellStyle name="Followed Hyperlink" xfId="1828" builtinId="9" hidden="1"/>
    <cellStyle name="Followed Hyperlink" xfId="1830" builtinId="9" hidden="1"/>
    <cellStyle name="Followed Hyperlink" xfId="1832" builtinId="9" hidden="1"/>
    <cellStyle name="Followed Hyperlink" xfId="1834" builtinId="9" hidden="1"/>
    <cellStyle name="Followed Hyperlink" xfId="1836" builtinId="9" hidden="1"/>
    <cellStyle name="Followed Hyperlink" xfId="1838" builtinId="9" hidden="1"/>
    <cellStyle name="Followed Hyperlink" xfId="1840" builtinId="9" hidden="1"/>
    <cellStyle name="Followed Hyperlink" xfId="1842" builtinId="9" hidden="1"/>
    <cellStyle name="Followed Hyperlink" xfId="1844" builtinId="9" hidden="1"/>
    <cellStyle name="Followed Hyperlink" xfId="1846" builtinId="9" hidden="1"/>
    <cellStyle name="Followed Hyperlink" xfId="1848" builtinId="9" hidden="1"/>
    <cellStyle name="Followed Hyperlink" xfId="1850" builtinId="9" hidden="1"/>
    <cellStyle name="Followed Hyperlink" xfId="1852" builtinId="9" hidden="1"/>
    <cellStyle name="Followed Hyperlink" xfId="1854" builtinId="9" hidden="1"/>
    <cellStyle name="Followed Hyperlink" xfId="1856" builtinId="9" hidden="1"/>
    <cellStyle name="Followed Hyperlink" xfId="1858" builtinId="9" hidden="1"/>
    <cellStyle name="Followed Hyperlink" xfId="1860" builtinId="9" hidden="1"/>
    <cellStyle name="Followed Hyperlink" xfId="1862" builtinId="9" hidden="1"/>
    <cellStyle name="Followed Hyperlink" xfId="1864" builtinId="9" hidden="1"/>
    <cellStyle name="Followed Hyperlink" xfId="1866" builtinId="9" hidden="1"/>
    <cellStyle name="Followed Hyperlink" xfId="1868" builtinId="9" hidden="1"/>
    <cellStyle name="Followed Hyperlink" xfId="1870" builtinId="9" hidden="1"/>
    <cellStyle name="Followed Hyperlink" xfId="1872" builtinId="9" hidden="1"/>
    <cellStyle name="Followed Hyperlink" xfId="1874" builtinId="9" hidden="1"/>
    <cellStyle name="Followed Hyperlink" xfId="1876" builtinId="9" hidden="1"/>
    <cellStyle name="Followed Hyperlink" xfId="1878" builtinId="9" hidden="1"/>
    <cellStyle name="Followed Hyperlink" xfId="1880" builtinId="9" hidden="1"/>
    <cellStyle name="Followed Hyperlink" xfId="1882" builtinId="9" hidden="1"/>
    <cellStyle name="Followed Hyperlink" xfId="1884" builtinId="9" hidden="1"/>
    <cellStyle name="Followed Hyperlink" xfId="1886" builtinId="9" hidden="1"/>
    <cellStyle name="Followed Hyperlink" xfId="1888" builtinId="9" hidden="1"/>
    <cellStyle name="Followed Hyperlink" xfId="1890" builtinId="9" hidden="1"/>
    <cellStyle name="Followed Hyperlink" xfId="1892" builtinId="9" hidden="1"/>
    <cellStyle name="Followed Hyperlink" xfId="1894" builtinId="9" hidden="1"/>
    <cellStyle name="Followed Hyperlink" xfId="1896" builtinId="9" hidden="1"/>
    <cellStyle name="Followed Hyperlink" xfId="1898" builtinId="9" hidden="1"/>
    <cellStyle name="Followed Hyperlink" xfId="1900" builtinId="9" hidden="1"/>
    <cellStyle name="Followed Hyperlink" xfId="1902" builtinId="9" hidden="1"/>
    <cellStyle name="Followed Hyperlink" xfId="1904" builtinId="9" hidden="1"/>
    <cellStyle name="Followed Hyperlink" xfId="1906" builtinId="9" hidden="1"/>
    <cellStyle name="Followed Hyperlink" xfId="1908" builtinId="9" hidden="1"/>
    <cellStyle name="Followed Hyperlink" xfId="1910" builtinId="9" hidden="1"/>
    <cellStyle name="Followed Hyperlink" xfId="1912" builtinId="9" hidden="1"/>
    <cellStyle name="Followed Hyperlink" xfId="1914" builtinId="9" hidden="1"/>
    <cellStyle name="Followed Hyperlink" xfId="1916" builtinId="9" hidden="1"/>
    <cellStyle name="Followed Hyperlink" xfId="1918" builtinId="9" hidden="1"/>
    <cellStyle name="Followed Hyperlink" xfId="1920" builtinId="9" hidden="1"/>
    <cellStyle name="Followed Hyperlink" xfId="1922" builtinId="9" hidden="1"/>
    <cellStyle name="Followed Hyperlink" xfId="1924" builtinId="9" hidden="1"/>
    <cellStyle name="Followed Hyperlink" xfId="1926" builtinId="9" hidden="1"/>
    <cellStyle name="Followed Hyperlink" xfId="1928" builtinId="9" hidden="1"/>
    <cellStyle name="Followed Hyperlink" xfId="1931" builtinId="9" hidden="1"/>
    <cellStyle name="Followed Hyperlink" xfId="1933" builtinId="9" hidden="1"/>
    <cellStyle name="Followed Hyperlink" xfId="1935" builtinId="9" hidden="1"/>
    <cellStyle name="Followed Hyperlink" xfId="1937" builtinId="9" hidden="1"/>
    <cellStyle name="Followed Hyperlink" xfId="1939" builtinId="9" hidden="1"/>
    <cellStyle name="Followed Hyperlink" xfId="1941" builtinId="9" hidden="1"/>
    <cellStyle name="Followed Hyperlink" xfId="1943" builtinId="9" hidden="1"/>
    <cellStyle name="Followed Hyperlink" xfId="1945" builtinId="9" hidden="1"/>
    <cellStyle name="Followed Hyperlink" xfId="1947" builtinId="9" hidden="1"/>
    <cellStyle name="Followed Hyperlink" xfId="1949" builtinId="9" hidden="1"/>
    <cellStyle name="Followed Hyperlink" xfId="1951" builtinId="9" hidden="1"/>
    <cellStyle name="Followed Hyperlink" xfId="1953" builtinId="9" hidden="1"/>
    <cellStyle name="Followed Hyperlink" xfId="1955" builtinId="9" hidden="1"/>
    <cellStyle name="Followed Hyperlink" xfId="1957" builtinId="9" hidden="1"/>
    <cellStyle name="Followed Hyperlink" xfId="1959" builtinId="9" hidden="1"/>
    <cellStyle name="Followed Hyperlink" xfId="1961" builtinId="9" hidden="1"/>
    <cellStyle name="Followed Hyperlink" xfId="1963" builtinId="9" hidden="1"/>
    <cellStyle name="Followed Hyperlink" xfId="1965" builtinId="9" hidden="1"/>
    <cellStyle name="Followed Hyperlink" xfId="1967" builtinId="9" hidden="1"/>
    <cellStyle name="Followed Hyperlink" xfId="1969" builtinId="9" hidden="1"/>
    <cellStyle name="Followed Hyperlink" xfId="1971" builtinId="9" hidden="1"/>
    <cellStyle name="Followed Hyperlink" xfId="1973" builtinId="9" hidden="1"/>
    <cellStyle name="Followed Hyperlink" xfId="1975" builtinId="9" hidden="1"/>
    <cellStyle name="Followed Hyperlink" xfId="1977" builtinId="9" hidden="1"/>
    <cellStyle name="Followed Hyperlink" xfId="1979" builtinId="9" hidden="1"/>
    <cellStyle name="Followed Hyperlink" xfId="1981" builtinId="9" hidden="1"/>
    <cellStyle name="Followed Hyperlink" xfId="1983" builtinId="9" hidden="1"/>
    <cellStyle name="Followed Hyperlink" xfId="1985" builtinId="9" hidden="1"/>
    <cellStyle name="Followed Hyperlink" xfId="1987" builtinId="9" hidden="1"/>
    <cellStyle name="Followed Hyperlink" xfId="1989" builtinId="9" hidden="1"/>
    <cellStyle name="Followed Hyperlink" xfId="1991" builtinId="9" hidden="1"/>
    <cellStyle name="Followed Hyperlink" xfId="1993" builtinId="9" hidden="1"/>
    <cellStyle name="Followed Hyperlink" xfId="1995" builtinId="9" hidden="1"/>
    <cellStyle name="Followed Hyperlink" xfId="1997" builtinId="9" hidden="1"/>
    <cellStyle name="Followed Hyperlink" xfId="1999" builtinId="9" hidden="1"/>
    <cellStyle name="Followed Hyperlink" xfId="2001" builtinId="9" hidden="1"/>
    <cellStyle name="Followed Hyperlink" xfId="2003" builtinId="9" hidden="1"/>
    <cellStyle name="Followed Hyperlink" xfId="2005" builtinId="9" hidden="1"/>
    <cellStyle name="Followed Hyperlink" xfId="2007" builtinId="9" hidden="1"/>
    <cellStyle name="Followed Hyperlink" xfId="2009" builtinId="9" hidden="1"/>
    <cellStyle name="Followed Hyperlink" xfId="2011" builtinId="9" hidden="1"/>
    <cellStyle name="Followed Hyperlink" xfId="2013" builtinId="9" hidden="1"/>
    <cellStyle name="Followed Hyperlink" xfId="2015" builtinId="9" hidden="1"/>
    <cellStyle name="Followed Hyperlink" xfId="2017" builtinId="9" hidden="1"/>
    <cellStyle name="Followed Hyperlink" xfId="2019" builtinId="9" hidden="1"/>
    <cellStyle name="Followed Hyperlink" xfId="2021" builtinId="9" hidden="1"/>
    <cellStyle name="Followed Hyperlink" xfId="2023" builtinId="9" hidden="1"/>
    <cellStyle name="Followed Hyperlink" xfId="2025" builtinId="9" hidden="1"/>
    <cellStyle name="Followed Hyperlink" xfId="2027" builtinId="9" hidden="1"/>
    <cellStyle name="Followed Hyperlink" xfId="2029" builtinId="9" hidden="1"/>
    <cellStyle name="Followed Hyperlink" xfId="2031" builtinId="9" hidden="1"/>
    <cellStyle name="Followed Hyperlink" xfId="2033" builtinId="9" hidden="1"/>
    <cellStyle name="Followed Hyperlink" xfId="2035" builtinId="9" hidden="1"/>
    <cellStyle name="Followed Hyperlink" xfId="2037" builtinId="9" hidden="1"/>
    <cellStyle name="Followed Hyperlink" xfId="2039" builtinId="9" hidden="1"/>
    <cellStyle name="Followed Hyperlink" xfId="2041" builtinId="9" hidden="1"/>
    <cellStyle name="Followed Hyperlink" xfId="2043" builtinId="9" hidden="1"/>
    <cellStyle name="Followed Hyperlink" xfId="2045" builtinId="9" hidden="1"/>
    <cellStyle name="Followed Hyperlink" xfId="2047" builtinId="9" hidden="1"/>
    <cellStyle name="Followed Hyperlink" xfId="2049" builtinId="9" hidden="1"/>
    <cellStyle name="Followed Hyperlink" xfId="2051" builtinId="9" hidden="1"/>
    <cellStyle name="Followed Hyperlink" xfId="2053" builtinId="9" hidden="1"/>
    <cellStyle name="Followed Hyperlink" xfId="2055" builtinId="9" hidden="1"/>
    <cellStyle name="Followed Hyperlink" xfId="2057" builtinId="9" hidden="1"/>
    <cellStyle name="Followed Hyperlink" xfId="2059" builtinId="9" hidden="1"/>
    <cellStyle name="Followed Hyperlink" xfId="2061" builtinId="9" hidden="1"/>
    <cellStyle name="Followed Hyperlink" xfId="2063" builtinId="9" hidden="1"/>
    <cellStyle name="Followed Hyperlink" xfId="2065" builtinId="9" hidden="1"/>
    <cellStyle name="Followed Hyperlink" xfId="2067" builtinId="9" hidden="1"/>
    <cellStyle name="Followed Hyperlink" xfId="2069" builtinId="9" hidden="1"/>
    <cellStyle name="Followed Hyperlink" xfId="2071" builtinId="9" hidden="1"/>
    <cellStyle name="Followed Hyperlink" xfId="2073" builtinId="9" hidden="1"/>
    <cellStyle name="Followed Hyperlink" xfId="2075" builtinId="9" hidden="1"/>
    <cellStyle name="Followed Hyperlink" xfId="2077" builtinId="9" hidden="1"/>
    <cellStyle name="Followed Hyperlink" xfId="2079" builtinId="9" hidden="1"/>
    <cellStyle name="Followed Hyperlink" xfId="2081" builtinId="9" hidden="1"/>
    <cellStyle name="Followed Hyperlink" xfId="2083" builtinId="9" hidden="1"/>
    <cellStyle name="Followed Hyperlink" xfId="2085" builtinId="9" hidden="1"/>
    <cellStyle name="Followed Hyperlink" xfId="2087" builtinId="9" hidden="1"/>
    <cellStyle name="Followed Hyperlink" xfId="2089" builtinId="9" hidden="1"/>
    <cellStyle name="Followed Hyperlink" xfId="2091" builtinId="9" hidden="1"/>
    <cellStyle name="Followed Hyperlink" xfId="2093" builtinId="9" hidden="1"/>
    <cellStyle name="Followed Hyperlink" xfId="2095" builtinId="9" hidden="1"/>
    <cellStyle name="Followed Hyperlink" xfId="2097" builtinId="9" hidden="1"/>
    <cellStyle name="Followed Hyperlink" xfId="2099" builtinId="9" hidden="1"/>
    <cellStyle name="Followed Hyperlink" xfId="2101" builtinId="9" hidden="1"/>
    <cellStyle name="Followed Hyperlink" xfId="2103" builtinId="9" hidden="1"/>
    <cellStyle name="Followed Hyperlink" xfId="2105" builtinId="9" hidden="1"/>
    <cellStyle name="Followed Hyperlink" xfId="2107" builtinId="9" hidden="1"/>
    <cellStyle name="Followed Hyperlink" xfId="2109" builtinId="9" hidden="1"/>
    <cellStyle name="Followed Hyperlink" xfId="2111" builtinId="9" hidden="1"/>
    <cellStyle name="Followed Hyperlink" xfId="2113" builtinId="9" hidden="1"/>
    <cellStyle name="Followed Hyperlink" xfId="2115" builtinId="9" hidden="1"/>
    <cellStyle name="Followed Hyperlink" xfId="2117" builtinId="9" hidden="1"/>
    <cellStyle name="Followed Hyperlink" xfId="2119" builtinId="9" hidden="1"/>
    <cellStyle name="Followed Hyperlink" xfId="2121" builtinId="9" hidden="1"/>
    <cellStyle name="Followed Hyperlink" xfId="2123" builtinId="9" hidden="1"/>
    <cellStyle name="Followed Hyperlink" xfId="2125" builtinId="9" hidden="1"/>
    <cellStyle name="Followed Hyperlink" xfId="2127" builtinId="9" hidden="1"/>
    <cellStyle name="Followed Hyperlink" xfId="2129" builtinId="9" hidden="1"/>
    <cellStyle name="Followed Hyperlink" xfId="2131" builtinId="9" hidden="1"/>
    <cellStyle name="Followed Hyperlink" xfId="2133" builtinId="9" hidden="1"/>
    <cellStyle name="Followed Hyperlink" xfId="2135" builtinId="9" hidden="1"/>
    <cellStyle name="Followed Hyperlink" xfId="2137" builtinId="9" hidden="1"/>
    <cellStyle name="Followed Hyperlink" xfId="2139" builtinId="9" hidden="1"/>
    <cellStyle name="Followed Hyperlink" xfId="2141" builtinId="9" hidden="1"/>
    <cellStyle name="Followed Hyperlink" xfId="2143" builtinId="9" hidden="1"/>
    <cellStyle name="Followed Hyperlink" xfId="2145" builtinId="9" hidden="1"/>
    <cellStyle name="Followed Hyperlink" xfId="2147" builtinId="9" hidden="1"/>
    <cellStyle name="Followed Hyperlink" xfId="2149" builtinId="9" hidden="1"/>
    <cellStyle name="Followed Hyperlink" xfId="2151" builtinId="9" hidden="1"/>
    <cellStyle name="Followed Hyperlink" xfId="2153" builtinId="9" hidden="1"/>
    <cellStyle name="Followed Hyperlink" xfId="2155" builtinId="9" hidden="1"/>
    <cellStyle name="Followed Hyperlink" xfId="2157" builtinId="9" hidden="1"/>
    <cellStyle name="Followed Hyperlink" xfId="2159" builtinId="9" hidden="1"/>
    <cellStyle name="Followed Hyperlink" xfId="2161" builtinId="9" hidden="1"/>
    <cellStyle name="Followed Hyperlink" xfId="2163" builtinId="9" hidden="1"/>
    <cellStyle name="Followed Hyperlink" xfId="2165" builtinId="9" hidden="1"/>
    <cellStyle name="Followed Hyperlink" xfId="2167" builtinId="9" hidden="1"/>
    <cellStyle name="Followed Hyperlink" xfId="2169" builtinId="9" hidden="1"/>
    <cellStyle name="Followed Hyperlink" xfId="2171" builtinId="9" hidden="1"/>
    <cellStyle name="Followed Hyperlink" xfId="2173" builtinId="9" hidden="1"/>
    <cellStyle name="Followed Hyperlink" xfId="2175" builtinId="9" hidden="1"/>
    <cellStyle name="Followed Hyperlink" xfId="2177" builtinId="9" hidden="1"/>
    <cellStyle name="Followed Hyperlink" xfId="2179" builtinId="9" hidden="1"/>
    <cellStyle name="Followed Hyperlink" xfId="2181" builtinId="9" hidden="1"/>
    <cellStyle name="Followed Hyperlink" xfId="2183" builtinId="9" hidden="1"/>
    <cellStyle name="Followed Hyperlink" xfId="2185" builtinId="9" hidden="1"/>
    <cellStyle name="Followed Hyperlink" xfId="2187" builtinId="9" hidden="1"/>
    <cellStyle name="Followed Hyperlink" xfId="2189" builtinId="9" hidden="1"/>
    <cellStyle name="Followed Hyperlink" xfId="2191" builtinId="9" hidden="1"/>
    <cellStyle name="Followed Hyperlink" xfId="2193" builtinId="9" hidden="1"/>
    <cellStyle name="Followed Hyperlink" xfId="2195" builtinId="9" hidden="1"/>
    <cellStyle name="Followed Hyperlink" xfId="2197" builtinId="9" hidden="1"/>
    <cellStyle name="Followed Hyperlink" xfId="2199" builtinId="9" hidden="1"/>
    <cellStyle name="Followed Hyperlink" xfId="2201" builtinId="9" hidden="1"/>
    <cellStyle name="Followed Hyperlink" xfId="2203" builtinId="9" hidden="1"/>
    <cellStyle name="Followed Hyperlink" xfId="2205" builtinId="9" hidden="1"/>
    <cellStyle name="Followed Hyperlink" xfId="2207" builtinId="9" hidden="1"/>
    <cellStyle name="Followed Hyperlink" xfId="2209" builtinId="9" hidden="1"/>
    <cellStyle name="Followed Hyperlink" xfId="2211" builtinId="9" hidden="1"/>
    <cellStyle name="Followed Hyperlink" xfId="2213" builtinId="9" hidden="1"/>
    <cellStyle name="Followed Hyperlink" xfId="2215" builtinId="9" hidden="1"/>
    <cellStyle name="Followed Hyperlink" xfId="2217" builtinId="9" hidden="1"/>
    <cellStyle name="Followed Hyperlink" xfId="2219" builtinId="9" hidden="1"/>
    <cellStyle name="Followed Hyperlink" xfId="2221" builtinId="9" hidden="1"/>
    <cellStyle name="Followed Hyperlink" xfId="2223" builtinId="9" hidden="1"/>
    <cellStyle name="Followed Hyperlink" xfId="2225" builtinId="9" hidden="1"/>
    <cellStyle name="Followed Hyperlink" xfId="2227" builtinId="9" hidden="1"/>
    <cellStyle name="Followed Hyperlink" xfId="2229" builtinId="9" hidden="1"/>
    <cellStyle name="Followed Hyperlink" xfId="2231" builtinId="9" hidden="1"/>
    <cellStyle name="Followed Hyperlink" xfId="2233" builtinId="9" hidden="1"/>
    <cellStyle name="Followed Hyperlink" xfId="2235" builtinId="9" hidden="1"/>
    <cellStyle name="Followed Hyperlink" xfId="2237" builtinId="9" hidden="1"/>
    <cellStyle name="Followed Hyperlink" xfId="2239" builtinId="9" hidden="1"/>
    <cellStyle name="Followed Hyperlink" xfId="2241" builtinId="9" hidden="1"/>
    <cellStyle name="Followed Hyperlink" xfId="2243" builtinId="9" hidden="1"/>
    <cellStyle name="Followed Hyperlink" xfId="2245" builtinId="9" hidden="1"/>
    <cellStyle name="Followed Hyperlink" xfId="2247" builtinId="9" hidden="1"/>
    <cellStyle name="Followed Hyperlink" xfId="2249" builtinId="9" hidden="1"/>
    <cellStyle name="Followed Hyperlink" xfId="2251" builtinId="9" hidden="1"/>
    <cellStyle name="Followed Hyperlink" xfId="2253" builtinId="9" hidden="1"/>
    <cellStyle name="Followed Hyperlink" xfId="2255" builtinId="9" hidden="1"/>
    <cellStyle name="Followed Hyperlink" xfId="2257" builtinId="9" hidden="1"/>
    <cellStyle name="Followed Hyperlink" xfId="2259" builtinId="9" hidden="1"/>
    <cellStyle name="Followed Hyperlink" xfId="2261" builtinId="9" hidden="1"/>
    <cellStyle name="Followed Hyperlink" xfId="2263" builtinId="9" hidden="1"/>
    <cellStyle name="Followed Hyperlink" xfId="2265" builtinId="9" hidden="1"/>
    <cellStyle name="Followed Hyperlink" xfId="2267" builtinId="9" hidden="1"/>
    <cellStyle name="Followed Hyperlink" xfId="2269" builtinId="9" hidden="1"/>
    <cellStyle name="Good" xfId="1929" builtinId="26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Hyperlink" xfId="661" builtinId="8" hidden="1"/>
    <cellStyle name="Hyperlink" xfId="663" builtinId="8" hidden="1"/>
    <cellStyle name="Hyperlink" xfId="665" builtinId="8" hidden="1"/>
    <cellStyle name="Hyperlink" xfId="667" builtinId="8" hidden="1"/>
    <cellStyle name="Hyperlink" xfId="669" builtinId="8" hidden="1"/>
    <cellStyle name="Hyperlink" xfId="671" builtinId="8" hidden="1"/>
    <cellStyle name="Hyperlink" xfId="673" builtinId="8" hidden="1"/>
    <cellStyle name="Hyperlink" xfId="675" builtinId="8" hidden="1"/>
    <cellStyle name="Hyperlink" xfId="677" builtinId="8" hidden="1"/>
    <cellStyle name="Hyperlink" xfId="679" builtinId="8" hidden="1"/>
    <cellStyle name="Hyperlink" xfId="681" builtinId="8" hidden="1"/>
    <cellStyle name="Hyperlink" xfId="683" builtinId="8" hidden="1"/>
    <cellStyle name="Hyperlink" xfId="685" builtinId="8" hidden="1"/>
    <cellStyle name="Hyperlink" xfId="687" builtinId="8" hidden="1"/>
    <cellStyle name="Hyperlink" xfId="689" builtinId="8" hidden="1"/>
    <cellStyle name="Hyperlink" xfId="691" builtinId="8" hidden="1"/>
    <cellStyle name="Hyperlink" xfId="693" builtinId="8" hidden="1"/>
    <cellStyle name="Hyperlink" xfId="695" builtinId="8" hidden="1"/>
    <cellStyle name="Hyperlink" xfId="697" builtinId="8" hidden="1"/>
    <cellStyle name="Hyperlink" xfId="699" builtinId="8" hidden="1"/>
    <cellStyle name="Hyperlink" xfId="701" builtinId="8" hidden="1"/>
    <cellStyle name="Hyperlink" xfId="703" builtinId="8" hidden="1"/>
    <cellStyle name="Hyperlink" xfId="705" builtinId="8" hidden="1"/>
    <cellStyle name="Hyperlink" xfId="707" builtinId="8" hidden="1"/>
    <cellStyle name="Hyperlink" xfId="709" builtinId="8" hidden="1"/>
    <cellStyle name="Hyperlink" xfId="711" builtinId="8" hidden="1"/>
    <cellStyle name="Hyperlink" xfId="713" builtinId="8" hidden="1"/>
    <cellStyle name="Hyperlink" xfId="715" builtinId="8" hidden="1"/>
    <cellStyle name="Hyperlink" xfId="717" builtinId="8" hidden="1"/>
    <cellStyle name="Hyperlink" xfId="719" builtinId="8" hidden="1"/>
    <cellStyle name="Hyperlink" xfId="721" builtinId="8" hidden="1"/>
    <cellStyle name="Hyperlink" xfId="723" builtinId="8" hidden="1"/>
    <cellStyle name="Hyperlink" xfId="725" builtinId="8" hidden="1"/>
    <cellStyle name="Hyperlink" xfId="727" builtinId="8" hidden="1"/>
    <cellStyle name="Hyperlink" xfId="729" builtinId="8" hidden="1"/>
    <cellStyle name="Hyperlink" xfId="731" builtinId="8" hidden="1"/>
    <cellStyle name="Hyperlink" xfId="733" builtinId="8" hidden="1"/>
    <cellStyle name="Hyperlink" xfId="735" builtinId="8" hidden="1"/>
    <cellStyle name="Hyperlink" xfId="737" builtinId="8" hidden="1"/>
    <cellStyle name="Hyperlink" xfId="739" builtinId="8" hidden="1"/>
    <cellStyle name="Hyperlink" xfId="741" builtinId="8" hidden="1"/>
    <cellStyle name="Hyperlink" xfId="743" builtinId="8" hidden="1"/>
    <cellStyle name="Hyperlink" xfId="745" builtinId="8" hidden="1"/>
    <cellStyle name="Hyperlink" xfId="747" builtinId="8" hidden="1"/>
    <cellStyle name="Hyperlink" xfId="749" builtinId="8" hidden="1"/>
    <cellStyle name="Hyperlink" xfId="751" builtinId="8" hidden="1"/>
    <cellStyle name="Hyperlink" xfId="753" builtinId="8" hidden="1"/>
    <cellStyle name="Hyperlink" xfId="755" builtinId="8" hidden="1"/>
    <cellStyle name="Hyperlink" xfId="757" builtinId="8" hidden="1"/>
    <cellStyle name="Hyperlink" xfId="759" builtinId="8" hidden="1"/>
    <cellStyle name="Hyperlink" xfId="761" builtinId="8" hidden="1"/>
    <cellStyle name="Hyperlink" xfId="763" builtinId="8" hidden="1"/>
    <cellStyle name="Hyperlink" xfId="765" builtinId="8" hidden="1"/>
    <cellStyle name="Hyperlink" xfId="767" builtinId="8" hidden="1"/>
    <cellStyle name="Hyperlink" xfId="769" builtinId="8" hidden="1"/>
    <cellStyle name="Hyperlink" xfId="771" builtinId="8" hidden="1"/>
    <cellStyle name="Hyperlink" xfId="773" builtinId="8" hidden="1"/>
    <cellStyle name="Hyperlink" xfId="775" builtinId="8" hidden="1"/>
    <cellStyle name="Hyperlink" xfId="777" builtinId="8" hidden="1"/>
    <cellStyle name="Hyperlink" xfId="779" builtinId="8" hidden="1"/>
    <cellStyle name="Hyperlink" xfId="781" builtinId="8" hidden="1"/>
    <cellStyle name="Hyperlink" xfId="783" builtinId="8" hidden="1"/>
    <cellStyle name="Hyperlink" xfId="785" builtinId="8" hidden="1"/>
    <cellStyle name="Hyperlink" xfId="787" builtinId="8" hidden="1"/>
    <cellStyle name="Hyperlink" xfId="789" builtinId="8" hidden="1"/>
    <cellStyle name="Hyperlink" xfId="791" builtinId="8" hidden="1"/>
    <cellStyle name="Hyperlink" xfId="793" builtinId="8" hidden="1"/>
    <cellStyle name="Hyperlink" xfId="795" builtinId="8" hidden="1"/>
    <cellStyle name="Hyperlink" xfId="797" builtinId="8" hidden="1"/>
    <cellStyle name="Hyperlink" xfId="799" builtinId="8" hidden="1"/>
    <cellStyle name="Hyperlink" xfId="801" builtinId="8" hidden="1"/>
    <cellStyle name="Hyperlink" xfId="803" builtinId="8" hidden="1"/>
    <cellStyle name="Hyperlink" xfId="805" builtinId="8" hidden="1"/>
    <cellStyle name="Hyperlink" xfId="807" builtinId="8" hidden="1"/>
    <cellStyle name="Hyperlink" xfId="809" builtinId="8" hidden="1"/>
    <cellStyle name="Hyperlink" xfId="811" builtinId="8" hidden="1"/>
    <cellStyle name="Hyperlink" xfId="813" builtinId="8" hidden="1"/>
    <cellStyle name="Hyperlink" xfId="815" builtinId="8" hidden="1"/>
    <cellStyle name="Hyperlink" xfId="817" builtinId="8" hidden="1"/>
    <cellStyle name="Hyperlink" xfId="819" builtinId="8" hidden="1"/>
    <cellStyle name="Hyperlink" xfId="821" builtinId="8" hidden="1"/>
    <cellStyle name="Hyperlink" xfId="823" builtinId="8" hidden="1"/>
    <cellStyle name="Hyperlink" xfId="825" builtinId="8" hidden="1"/>
    <cellStyle name="Hyperlink" xfId="827" builtinId="8" hidden="1"/>
    <cellStyle name="Hyperlink" xfId="829" builtinId="8" hidden="1"/>
    <cellStyle name="Hyperlink" xfId="831" builtinId="8" hidden="1"/>
    <cellStyle name="Hyperlink" xfId="833" builtinId="8" hidden="1"/>
    <cellStyle name="Hyperlink" xfId="835" builtinId="8" hidden="1"/>
    <cellStyle name="Hyperlink" xfId="837" builtinId="8" hidden="1"/>
    <cellStyle name="Hyperlink" xfId="839" builtinId="8" hidden="1"/>
    <cellStyle name="Hyperlink" xfId="841" builtinId="8" hidden="1"/>
    <cellStyle name="Hyperlink" xfId="843" builtinId="8" hidden="1"/>
    <cellStyle name="Hyperlink" xfId="845" builtinId="8" hidden="1"/>
    <cellStyle name="Hyperlink" xfId="847" builtinId="8" hidden="1"/>
    <cellStyle name="Hyperlink" xfId="849" builtinId="8" hidden="1"/>
    <cellStyle name="Hyperlink" xfId="851" builtinId="8" hidden="1"/>
    <cellStyle name="Hyperlink" xfId="853" builtinId="8" hidden="1"/>
    <cellStyle name="Hyperlink" xfId="855" builtinId="8" hidden="1"/>
    <cellStyle name="Hyperlink" xfId="857" builtinId="8" hidden="1"/>
    <cellStyle name="Hyperlink" xfId="859" builtinId="8" hidden="1"/>
    <cellStyle name="Hyperlink" xfId="861" builtinId="8" hidden="1"/>
    <cellStyle name="Hyperlink" xfId="863" builtinId="8" hidden="1"/>
    <cellStyle name="Hyperlink" xfId="865" builtinId="8" hidden="1"/>
    <cellStyle name="Hyperlink" xfId="867" builtinId="8" hidden="1"/>
    <cellStyle name="Hyperlink" xfId="869" builtinId="8" hidden="1"/>
    <cellStyle name="Hyperlink" xfId="871" builtinId="8" hidden="1"/>
    <cellStyle name="Hyperlink" xfId="873" builtinId="8" hidden="1"/>
    <cellStyle name="Hyperlink" xfId="875" builtinId="8" hidden="1"/>
    <cellStyle name="Hyperlink" xfId="877" builtinId="8" hidden="1"/>
    <cellStyle name="Hyperlink" xfId="879" builtinId="8" hidden="1"/>
    <cellStyle name="Hyperlink" xfId="881" builtinId="8" hidden="1"/>
    <cellStyle name="Hyperlink" xfId="883" builtinId="8" hidden="1"/>
    <cellStyle name="Hyperlink" xfId="885" builtinId="8" hidden="1"/>
    <cellStyle name="Hyperlink" xfId="887" builtinId="8" hidden="1"/>
    <cellStyle name="Hyperlink" xfId="889" builtinId="8" hidden="1"/>
    <cellStyle name="Hyperlink" xfId="891" builtinId="8" hidden="1"/>
    <cellStyle name="Hyperlink" xfId="893" builtinId="8" hidden="1"/>
    <cellStyle name="Hyperlink" xfId="895" builtinId="8" hidden="1"/>
    <cellStyle name="Hyperlink" xfId="897" builtinId="8" hidden="1"/>
    <cellStyle name="Hyperlink" xfId="899" builtinId="8" hidden="1"/>
    <cellStyle name="Hyperlink" xfId="901" builtinId="8" hidden="1"/>
    <cellStyle name="Hyperlink" xfId="903" builtinId="8" hidden="1"/>
    <cellStyle name="Hyperlink" xfId="905" builtinId="8" hidden="1"/>
    <cellStyle name="Hyperlink" xfId="907" builtinId="8" hidden="1"/>
    <cellStyle name="Hyperlink" xfId="909" builtinId="8" hidden="1"/>
    <cellStyle name="Hyperlink" xfId="911" builtinId="8" hidden="1"/>
    <cellStyle name="Hyperlink" xfId="913" builtinId="8" hidden="1"/>
    <cellStyle name="Hyperlink" xfId="915" builtinId="8" hidden="1"/>
    <cellStyle name="Hyperlink" xfId="917" builtinId="8" hidden="1"/>
    <cellStyle name="Hyperlink" xfId="919" builtinId="8" hidden="1"/>
    <cellStyle name="Hyperlink" xfId="921" builtinId="8" hidden="1"/>
    <cellStyle name="Hyperlink" xfId="923" builtinId="8" hidden="1"/>
    <cellStyle name="Hyperlink" xfId="925" builtinId="8" hidden="1"/>
    <cellStyle name="Hyperlink" xfId="927" builtinId="8" hidden="1"/>
    <cellStyle name="Hyperlink" xfId="929" builtinId="8" hidden="1"/>
    <cellStyle name="Hyperlink" xfId="931" builtinId="8" hidden="1"/>
    <cellStyle name="Hyperlink" xfId="933" builtinId="8" hidden="1"/>
    <cellStyle name="Hyperlink" xfId="935" builtinId="8" hidden="1"/>
    <cellStyle name="Hyperlink" xfId="937" builtinId="8" hidden="1"/>
    <cellStyle name="Hyperlink" xfId="939" builtinId="8" hidden="1"/>
    <cellStyle name="Hyperlink" xfId="941" builtinId="8" hidden="1"/>
    <cellStyle name="Hyperlink" xfId="943" builtinId="8" hidden="1"/>
    <cellStyle name="Hyperlink" xfId="945" builtinId="8" hidden="1"/>
    <cellStyle name="Hyperlink" xfId="947" builtinId="8" hidden="1"/>
    <cellStyle name="Hyperlink" xfId="949" builtinId="8" hidden="1"/>
    <cellStyle name="Hyperlink" xfId="951" builtinId="8" hidden="1"/>
    <cellStyle name="Hyperlink" xfId="953" builtinId="8" hidden="1"/>
    <cellStyle name="Hyperlink" xfId="955" builtinId="8" hidden="1"/>
    <cellStyle name="Hyperlink" xfId="957" builtinId="8" hidden="1"/>
    <cellStyle name="Hyperlink" xfId="959" builtinId="8" hidden="1"/>
    <cellStyle name="Hyperlink" xfId="961" builtinId="8" hidden="1"/>
    <cellStyle name="Hyperlink" xfId="963" builtinId="8" hidden="1"/>
    <cellStyle name="Hyperlink" xfId="965" builtinId="8" hidden="1"/>
    <cellStyle name="Hyperlink" xfId="967" builtinId="8" hidden="1"/>
    <cellStyle name="Hyperlink" xfId="969" builtinId="8" hidden="1"/>
    <cellStyle name="Hyperlink" xfId="971" builtinId="8" hidden="1"/>
    <cellStyle name="Hyperlink" xfId="973" builtinId="8" hidden="1"/>
    <cellStyle name="Hyperlink" xfId="975" builtinId="8" hidden="1"/>
    <cellStyle name="Hyperlink" xfId="977" builtinId="8" hidden="1"/>
    <cellStyle name="Hyperlink" xfId="979" builtinId="8" hidden="1"/>
    <cellStyle name="Hyperlink" xfId="981" builtinId="8" hidden="1"/>
    <cellStyle name="Hyperlink" xfId="983" builtinId="8" hidden="1"/>
    <cellStyle name="Hyperlink" xfId="985" builtinId="8" hidden="1"/>
    <cellStyle name="Hyperlink" xfId="987" builtinId="8" hidden="1"/>
    <cellStyle name="Hyperlink" xfId="989" builtinId="8" hidden="1"/>
    <cellStyle name="Hyperlink" xfId="991" builtinId="8" hidden="1"/>
    <cellStyle name="Hyperlink" xfId="993" builtinId="8" hidden="1"/>
    <cellStyle name="Hyperlink" xfId="995" builtinId="8" hidden="1"/>
    <cellStyle name="Hyperlink" xfId="997" builtinId="8" hidden="1"/>
    <cellStyle name="Hyperlink" xfId="999" builtinId="8" hidden="1"/>
    <cellStyle name="Hyperlink" xfId="1001" builtinId="8" hidden="1"/>
    <cellStyle name="Hyperlink" xfId="1003" builtinId="8" hidden="1"/>
    <cellStyle name="Hyperlink" xfId="1005" builtinId="8" hidden="1"/>
    <cellStyle name="Hyperlink" xfId="1007" builtinId="8" hidden="1"/>
    <cellStyle name="Hyperlink" xfId="1009" builtinId="8" hidden="1"/>
    <cellStyle name="Hyperlink" xfId="1011" builtinId="8" hidden="1"/>
    <cellStyle name="Hyperlink" xfId="1013" builtinId="8" hidden="1"/>
    <cellStyle name="Hyperlink" xfId="1015" builtinId="8" hidden="1"/>
    <cellStyle name="Hyperlink" xfId="1017" builtinId="8" hidden="1"/>
    <cellStyle name="Hyperlink" xfId="1019" builtinId="8" hidden="1"/>
    <cellStyle name="Hyperlink" xfId="1021" builtinId="8" hidden="1"/>
    <cellStyle name="Hyperlink" xfId="1023" builtinId="8" hidden="1"/>
    <cellStyle name="Hyperlink" xfId="1025" builtinId="8" hidden="1"/>
    <cellStyle name="Hyperlink" xfId="1027" builtinId="8" hidden="1"/>
    <cellStyle name="Hyperlink" xfId="1029" builtinId="8" hidden="1"/>
    <cellStyle name="Hyperlink" xfId="1031" builtinId="8" hidden="1"/>
    <cellStyle name="Hyperlink" xfId="1033" builtinId="8" hidden="1"/>
    <cellStyle name="Hyperlink" xfId="1035" builtinId="8" hidden="1"/>
    <cellStyle name="Hyperlink" xfId="1037" builtinId="8" hidden="1"/>
    <cellStyle name="Hyperlink" xfId="1039" builtinId="8" hidden="1"/>
    <cellStyle name="Hyperlink" xfId="1041" builtinId="8" hidden="1"/>
    <cellStyle name="Hyperlink" xfId="1043" builtinId="8" hidden="1"/>
    <cellStyle name="Hyperlink" xfId="1045" builtinId="8" hidden="1"/>
    <cellStyle name="Hyperlink" xfId="1047" builtinId="8" hidden="1"/>
    <cellStyle name="Hyperlink" xfId="1049" builtinId="8" hidden="1"/>
    <cellStyle name="Hyperlink" xfId="1051" builtinId="8" hidden="1"/>
    <cellStyle name="Hyperlink" xfId="1053" builtinId="8" hidden="1"/>
    <cellStyle name="Hyperlink" xfId="1055" builtinId="8" hidden="1"/>
    <cellStyle name="Hyperlink" xfId="1057" builtinId="8" hidden="1"/>
    <cellStyle name="Hyperlink" xfId="1059" builtinId="8" hidden="1"/>
    <cellStyle name="Hyperlink" xfId="1061" builtinId="8" hidden="1"/>
    <cellStyle name="Hyperlink" xfId="1063" builtinId="8" hidden="1"/>
    <cellStyle name="Hyperlink" xfId="1065" builtinId="8" hidden="1"/>
    <cellStyle name="Hyperlink" xfId="1067" builtinId="8" hidden="1"/>
    <cellStyle name="Hyperlink" xfId="1069" builtinId="8" hidden="1"/>
    <cellStyle name="Hyperlink" xfId="1071" builtinId="8" hidden="1"/>
    <cellStyle name="Hyperlink" xfId="1073" builtinId="8" hidden="1"/>
    <cellStyle name="Hyperlink" xfId="1075" builtinId="8" hidden="1"/>
    <cellStyle name="Hyperlink" xfId="1077" builtinId="8" hidden="1"/>
    <cellStyle name="Hyperlink" xfId="1079" builtinId="8" hidden="1"/>
    <cellStyle name="Hyperlink" xfId="1081" builtinId="8" hidden="1"/>
    <cellStyle name="Hyperlink" xfId="1083" builtinId="8" hidden="1"/>
    <cellStyle name="Hyperlink" xfId="1085" builtinId="8" hidden="1"/>
    <cellStyle name="Hyperlink" xfId="1087" builtinId="8" hidden="1"/>
    <cellStyle name="Hyperlink" xfId="1089" builtinId="8" hidden="1"/>
    <cellStyle name="Hyperlink" xfId="1091" builtinId="8" hidden="1"/>
    <cellStyle name="Hyperlink" xfId="1093" builtinId="8" hidden="1"/>
    <cellStyle name="Hyperlink" xfId="1095" builtinId="8" hidden="1"/>
    <cellStyle name="Hyperlink" xfId="1097" builtinId="8" hidden="1"/>
    <cellStyle name="Hyperlink" xfId="1099" builtinId="8" hidden="1"/>
    <cellStyle name="Hyperlink" xfId="1101" builtinId="8" hidden="1"/>
    <cellStyle name="Hyperlink" xfId="1103" builtinId="8" hidden="1"/>
    <cellStyle name="Hyperlink" xfId="1105" builtinId="8" hidden="1"/>
    <cellStyle name="Hyperlink" xfId="1107" builtinId="8" hidden="1"/>
    <cellStyle name="Hyperlink" xfId="1109" builtinId="8" hidden="1"/>
    <cellStyle name="Hyperlink" xfId="1111" builtinId="8" hidden="1"/>
    <cellStyle name="Hyperlink" xfId="1113" builtinId="8" hidden="1"/>
    <cellStyle name="Hyperlink" xfId="1115" builtinId="8" hidden="1"/>
    <cellStyle name="Hyperlink" xfId="1117" builtinId="8" hidden="1"/>
    <cellStyle name="Hyperlink" xfId="1119" builtinId="8" hidden="1"/>
    <cellStyle name="Hyperlink" xfId="1121" builtinId="8" hidden="1"/>
    <cellStyle name="Hyperlink" xfId="1123" builtinId="8" hidden="1"/>
    <cellStyle name="Hyperlink" xfId="1125" builtinId="8" hidden="1"/>
    <cellStyle name="Hyperlink" xfId="1127" builtinId="8" hidden="1"/>
    <cellStyle name="Hyperlink" xfId="1129" builtinId="8" hidden="1"/>
    <cellStyle name="Hyperlink" xfId="1131" builtinId="8" hidden="1"/>
    <cellStyle name="Hyperlink" xfId="1133" builtinId="8" hidden="1"/>
    <cellStyle name="Hyperlink" xfId="1135" builtinId="8" hidden="1"/>
    <cellStyle name="Hyperlink" xfId="1137" builtinId="8" hidden="1"/>
    <cellStyle name="Hyperlink" xfId="1139" builtinId="8" hidden="1"/>
    <cellStyle name="Hyperlink" xfId="1141" builtinId="8" hidden="1"/>
    <cellStyle name="Hyperlink" xfId="1143" builtinId="8" hidden="1"/>
    <cellStyle name="Hyperlink" xfId="1145" builtinId="8" hidden="1"/>
    <cellStyle name="Hyperlink" xfId="1147" builtinId="8" hidden="1"/>
    <cellStyle name="Hyperlink" xfId="1149" builtinId="8" hidden="1"/>
    <cellStyle name="Hyperlink" xfId="1151" builtinId="8" hidden="1"/>
    <cellStyle name="Hyperlink" xfId="1153" builtinId="8" hidden="1"/>
    <cellStyle name="Hyperlink" xfId="1155" builtinId="8" hidden="1"/>
    <cellStyle name="Hyperlink" xfId="1157" builtinId="8" hidden="1"/>
    <cellStyle name="Hyperlink" xfId="1159" builtinId="8" hidden="1"/>
    <cellStyle name="Hyperlink" xfId="1161" builtinId="8" hidden="1"/>
    <cellStyle name="Hyperlink" xfId="1163" builtinId="8" hidden="1"/>
    <cellStyle name="Hyperlink" xfId="1165" builtinId="8" hidden="1"/>
    <cellStyle name="Hyperlink" xfId="1167" builtinId="8" hidden="1"/>
    <cellStyle name="Hyperlink" xfId="1169" builtinId="8" hidden="1"/>
    <cellStyle name="Hyperlink" xfId="1171" builtinId="8" hidden="1"/>
    <cellStyle name="Hyperlink" xfId="1173" builtinId="8" hidden="1"/>
    <cellStyle name="Hyperlink" xfId="1175" builtinId="8" hidden="1"/>
    <cellStyle name="Hyperlink" xfId="1177" builtinId="8" hidden="1"/>
    <cellStyle name="Hyperlink" xfId="1179" builtinId="8" hidden="1"/>
    <cellStyle name="Hyperlink" xfId="1181" builtinId="8" hidden="1"/>
    <cellStyle name="Hyperlink" xfId="1183" builtinId="8" hidden="1"/>
    <cellStyle name="Hyperlink" xfId="1185" builtinId="8" hidden="1"/>
    <cellStyle name="Hyperlink" xfId="1187" builtinId="8" hidden="1"/>
    <cellStyle name="Hyperlink" xfId="1189" builtinId="8" hidden="1"/>
    <cellStyle name="Hyperlink" xfId="1191" builtinId="8" hidden="1"/>
    <cellStyle name="Hyperlink" xfId="1193" builtinId="8" hidden="1"/>
    <cellStyle name="Hyperlink" xfId="1195" builtinId="8" hidden="1"/>
    <cellStyle name="Hyperlink" xfId="1197" builtinId="8" hidden="1"/>
    <cellStyle name="Hyperlink" xfId="1199" builtinId="8" hidden="1"/>
    <cellStyle name="Hyperlink" xfId="1201" builtinId="8" hidden="1"/>
    <cellStyle name="Hyperlink" xfId="1203" builtinId="8" hidden="1"/>
    <cellStyle name="Hyperlink" xfId="1205" builtinId="8" hidden="1"/>
    <cellStyle name="Hyperlink" xfId="1207" builtinId="8" hidden="1"/>
    <cellStyle name="Hyperlink" xfId="1209" builtinId="8" hidden="1"/>
    <cellStyle name="Hyperlink" xfId="1211" builtinId="8" hidden="1"/>
    <cellStyle name="Hyperlink" xfId="1213" builtinId="8" hidden="1"/>
    <cellStyle name="Hyperlink" xfId="1215" builtinId="8" hidden="1"/>
    <cellStyle name="Hyperlink" xfId="1217" builtinId="8" hidden="1"/>
    <cellStyle name="Hyperlink" xfId="1219" builtinId="8" hidden="1"/>
    <cellStyle name="Hyperlink" xfId="1221" builtinId="8" hidden="1"/>
    <cellStyle name="Hyperlink" xfId="1223" builtinId="8" hidden="1"/>
    <cellStyle name="Hyperlink" xfId="1225" builtinId="8" hidden="1"/>
    <cellStyle name="Hyperlink" xfId="1227" builtinId="8" hidden="1"/>
    <cellStyle name="Hyperlink" xfId="1229" builtinId="8" hidden="1"/>
    <cellStyle name="Hyperlink" xfId="1231" builtinId="8" hidden="1"/>
    <cellStyle name="Hyperlink" xfId="1233" builtinId="8" hidden="1"/>
    <cellStyle name="Hyperlink" xfId="1235" builtinId="8" hidden="1"/>
    <cellStyle name="Hyperlink" xfId="1237" builtinId="8" hidden="1"/>
    <cellStyle name="Hyperlink" xfId="1239" builtinId="8" hidden="1"/>
    <cellStyle name="Hyperlink" xfId="1241" builtinId="8" hidden="1"/>
    <cellStyle name="Hyperlink" xfId="1243" builtinId="8" hidden="1"/>
    <cellStyle name="Hyperlink" xfId="1245" builtinId="8" hidden="1"/>
    <cellStyle name="Hyperlink" xfId="1247" builtinId="8" hidden="1"/>
    <cellStyle name="Hyperlink" xfId="1249" builtinId="8" hidden="1"/>
    <cellStyle name="Hyperlink" xfId="1251" builtinId="8" hidden="1"/>
    <cellStyle name="Hyperlink" xfId="1253" builtinId="8" hidden="1"/>
    <cellStyle name="Hyperlink" xfId="1255" builtinId="8" hidden="1"/>
    <cellStyle name="Hyperlink" xfId="1257" builtinId="8" hidden="1"/>
    <cellStyle name="Hyperlink" xfId="1259" builtinId="8" hidden="1"/>
    <cellStyle name="Hyperlink" xfId="1261" builtinId="8" hidden="1"/>
    <cellStyle name="Hyperlink" xfId="1263" builtinId="8" hidden="1"/>
    <cellStyle name="Hyperlink" xfId="1265" builtinId="8" hidden="1"/>
    <cellStyle name="Hyperlink" xfId="1267" builtinId="8" hidden="1"/>
    <cellStyle name="Hyperlink" xfId="1269" builtinId="8" hidden="1"/>
    <cellStyle name="Hyperlink" xfId="1271" builtinId="8" hidden="1"/>
    <cellStyle name="Hyperlink" xfId="1273" builtinId="8" hidden="1"/>
    <cellStyle name="Hyperlink" xfId="1275" builtinId="8" hidden="1"/>
    <cellStyle name="Hyperlink" xfId="1277" builtinId="8" hidden="1"/>
    <cellStyle name="Hyperlink" xfId="1279" builtinId="8" hidden="1"/>
    <cellStyle name="Hyperlink" xfId="1281" builtinId="8" hidden="1"/>
    <cellStyle name="Hyperlink" xfId="1283" builtinId="8" hidden="1"/>
    <cellStyle name="Hyperlink" xfId="1285" builtinId="8" hidden="1"/>
    <cellStyle name="Hyperlink" xfId="1287" builtinId="8" hidden="1"/>
    <cellStyle name="Hyperlink" xfId="1289" builtinId="8" hidden="1"/>
    <cellStyle name="Hyperlink" xfId="1291" builtinId="8" hidden="1"/>
    <cellStyle name="Hyperlink" xfId="1293" builtinId="8" hidden="1"/>
    <cellStyle name="Hyperlink" xfId="1295" builtinId="8" hidden="1"/>
    <cellStyle name="Hyperlink" xfId="1297" builtinId="8" hidden="1"/>
    <cellStyle name="Hyperlink" xfId="1299" builtinId="8" hidden="1"/>
    <cellStyle name="Hyperlink" xfId="1301" builtinId="8" hidden="1"/>
    <cellStyle name="Hyperlink" xfId="1303" builtinId="8" hidden="1"/>
    <cellStyle name="Hyperlink" xfId="1305" builtinId="8" hidden="1"/>
    <cellStyle name="Hyperlink" xfId="1307" builtinId="8" hidden="1"/>
    <cellStyle name="Hyperlink" xfId="1309" builtinId="8" hidden="1"/>
    <cellStyle name="Hyperlink" xfId="1311" builtinId="8" hidden="1"/>
    <cellStyle name="Hyperlink" xfId="1313" builtinId="8" hidden="1"/>
    <cellStyle name="Hyperlink" xfId="1315" builtinId="8" hidden="1"/>
    <cellStyle name="Hyperlink" xfId="1317" builtinId="8" hidden="1"/>
    <cellStyle name="Hyperlink" xfId="1319" builtinId="8" hidden="1"/>
    <cellStyle name="Hyperlink" xfId="1321" builtinId="8" hidden="1"/>
    <cellStyle name="Hyperlink" xfId="1323" builtinId="8" hidden="1"/>
    <cellStyle name="Hyperlink" xfId="1325" builtinId="8" hidden="1"/>
    <cellStyle name="Hyperlink" xfId="1327" builtinId="8" hidden="1"/>
    <cellStyle name="Hyperlink" xfId="1329" builtinId="8" hidden="1"/>
    <cellStyle name="Hyperlink" xfId="1331" builtinId="8" hidden="1"/>
    <cellStyle name="Hyperlink" xfId="1333" builtinId="8" hidden="1"/>
    <cellStyle name="Hyperlink" xfId="1335" builtinId="8" hidden="1"/>
    <cellStyle name="Hyperlink" xfId="1337" builtinId="8" hidden="1"/>
    <cellStyle name="Hyperlink" xfId="1339" builtinId="8" hidden="1"/>
    <cellStyle name="Hyperlink" xfId="1341" builtinId="8" hidden="1"/>
    <cellStyle name="Hyperlink" xfId="1343" builtinId="8" hidden="1"/>
    <cellStyle name="Hyperlink" xfId="1345" builtinId="8" hidden="1"/>
    <cellStyle name="Hyperlink" xfId="1347" builtinId="8" hidden="1"/>
    <cellStyle name="Hyperlink" xfId="1349" builtinId="8" hidden="1"/>
    <cellStyle name="Hyperlink" xfId="1351" builtinId="8" hidden="1"/>
    <cellStyle name="Hyperlink" xfId="1353" builtinId="8" hidden="1"/>
    <cellStyle name="Hyperlink" xfId="1355" builtinId="8" hidden="1"/>
    <cellStyle name="Hyperlink" xfId="1357" builtinId="8" hidden="1"/>
    <cellStyle name="Hyperlink" xfId="1359" builtinId="8" hidden="1"/>
    <cellStyle name="Hyperlink" xfId="1361" builtinId="8" hidden="1"/>
    <cellStyle name="Hyperlink" xfId="1363" builtinId="8" hidden="1"/>
    <cellStyle name="Hyperlink" xfId="1365" builtinId="8" hidden="1"/>
    <cellStyle name="Hyperlink" xfId="1367" builtinId="8" hidden="1"/>
    <cellStyle name="Hyperlink" xfId="1369" builtinId="8" hidden="1"/>
    <cellStyle name="Hyperlink" xfId="1371" builtinId="8" hidden="1"/>
    <cellStyle name="Hyperlink" xfId="1373" builtinId="8" hidden="1"/>
    <cellStyle name="Hyperlink" xfId="1375" builtinId="8" hidden="1"/>
    <cellStyle name="Hyperlink" xfId="1377" builtinId="8" hidden="1"/>
    <cellStyle name="Hyperlink" xfId="1379" builtinId="8" hidden="1"/>
    <cellStyle name="Hyperlink" xfId="1381" builtinId="8" hidden="1"/>
    <cellStyle name="Hyperlink" xfId="1383" builtinId="8" hidden="1"/>
    <cellStyle name="Hyperlink" xfId="1385" builtinId="8" hidden="1"/>
    <cellStyle name="Hyperlink" xfId="1387" builtinId="8" hidden="1"/>
    <cellStyle name="Hyperlink" xfId="1389" builtinId="8" hidden="1"/>
    <cellStyle name="Hyperlink" xfId="1391" builtinId="8" hidden="1"/>
    <cellStyle name="Hyperlink" xfId="1393" builtinId="8" hidden="1"/>
    <cellStyle name="Hyperlink" xfId="1395" builtinId="8" hidden="1"/>
    <cellStyle name="Hyperlink" xfId="1397" builtinId="8" hidden="1"/>
    <cellStyle name="Hyperlink" xfId="1399" builtinId="8" hidden="1"/>
    <cellStyle name="Hyperlink" xfId="1401" builtinId="8" hidden="1"/>
    <cellStyle name="Hyperlink" xfId="1403" builtinId="8" hidden="1"/>
    <cellStyle name="Hyperlink" xfId="1405" builtinId="8" hidden="1"/>
    <cellStyle name="Hyperlink" xfId="1407" builtinId="8" hidden="1"/>
    <cellStyle name="Hyperlink" xfId="1409" builtinId="8" hidden="1"/>
    <cellStyle name="Hyperlink" xfId="1411" builtinId="8" hidden="1"/>
    <cellStyle name="Hyperlink" xfId="1413" builtinId="8" hidden="1"/>
    <cellStyle name="Hyperlink" xfId="1415" builtinId="8" hidden="1"/>
    <cellStyle name="Hyperlink" xfId="1417" builtinId="8" hidden="1"/>
    <cellStyle name="Hyperlink" xfId="1419" builtinId="8" hidden="1"/>
    <cellStyle name="Hyperlink" xfId="1421" builtinId="8" hidden="1"/>
    <cellStyle name="Hyperlink" xfId="1423" builtinId="8" hidden="1"/>
    <cellStyle name="Hyperlink" xfId="1425" builtinId="8" hidden="1"/>
    <cellStyle name="Hyperlink" xfId="1427" builtinId="8" hidden="1"/>
    <cellStyle name="Hyperlink" xfId="1429" builtinId="8" hidden="1"/>
    <cellStyle name="Hyperlink" xfId="1431" builtinId="8" hidden="1"/>
    <cellStyle name="Hyperlink" xfId="1433" builtinId="8" hidden="1"/>
    <cellStyle name="Hyperlink" xfId="1435" builtinId="8" hidden="1"/>
    <cellStyle name="Hyperlink" xfId="1437" builtinId="8" hidden="1"/>
    <cellStyle name="Hyperlink" xfId="1439" builtinId="8" hidden="1"/>
    <cellStyle name="Hyperlink" xfId="1441" builtinId="8" hidden="1"/>
    <cellStyle name="Hyperlink" xfId="1443" builtinId="8" hidden="1"/>
    <cellStyle name="Hyperlink" xfId="1445" builtinId="8" hidden="1"/>
    <cellStyle name="Hyperlink" xfId="1447" builtinId="8" hidden="1"/>
    <cellStyle name="Hyperlink" xfId="1449" builtinId="8" hidden="1"/>
    <cellStyle name="Hyperlink" xfId="1451" builtinId="8" hidden="1"/>
    <cellStyle name="Hyperlink" xfId="1453" builtinId="8" hidden="1"/>
    <cellStyle name="Hyperlink" xfId="1455" builtinId="8" hidden="1"/>
    <cellStyle name="Hyperlink" xfId="1457" builtinId="8" hidden="1"/>
    <cellStyle name="Hyperlink" xfId="1459" builtinId="8" hidden="1"/>
    <cellStyle name="Hyperlink" xfId="1461" builtinId="8" hidden="1"/>
    <cellStyle name="Hyperlink" xfId="1463" builtinId="8" hidden="1"/>
    <cellStyle name="Hyperlink" xfId="1465" builtinId="8" hidden="1"/>
    <cellStyle name="Hyperlink" xfId="1467" builtinId="8" hidden="1"/>
    <cellStyle name="Hyperlink" xfId="1469" builtinId="8" hidden="1"/>
    <cellStyle name="Hyperlink" xfId="1471" builtinId="8" hidden="1"/>
    <cellStyle name="Hyperlink" xfId="1473" builtinId="8" hidden="1"/>
    <cellStyle name="Hyperlink" xfId="1475" builtinId="8" hidden="1"/>
    <cellStyle name="Hyperlink" xfId="1477" builtinId="8" hidden="1"/>
    <cellStyle name="Hyperlink" xfId="1479" builtinId="8" hidden="1"/>
    <cellStyle name="Hyperlink" xfId="1481" builtinId="8" hidden="1"/>
    <cellStyle name="Hyperlink" xfId="1483" builtinId="8" hidden="1"/>
    <cellStyle name="Hyperlink" xfId="1485" builtinId="8" hidden="1"/>
    <cellStyle name="Hyperlink" xfId="1487" builtinId="8" hidden="1"/>
    <cellStyle name="Hyperlink" xfId="1489" builtinId="8" hidden="1"/>
    <cellStyle name="Hyperlink" xfId="1491" builtinId="8" hidden="1"/>
    <cellStyle name="Hyperlink" xfId="1493" builtinId="8" hidden="1"/>
    <cellStyle name="Hyperlink" xfId="1495" builtinId="8" hidden="1"/>
    <cellStyle name="Hyperlink" xfId="1497" builtinId="8" hidden="1"/>
    <cellStyle name="Hyperlink" xfId="1499" builtinId="8" hidden="1"/>
    <cellStyle name="Hyperlink" xfId="1501" builtinId="8" hidden="1"/>
    <cellStyle name="Hyperlink" xfId="1503" builtinId="8" hidden="1"/>
    <cellStyle name="Hyperlink" xfId="1505" builtinId="8" hidden="1"/>
    <cellStyle name="Hyperlink" xfId="1507" builtinId="8" hidden="1"/>
    <cellStyle name="Hyperlink" xfId="1509" builtinId="8" hidden="1"/>
    <cellStyle name="Hyperlink" xfId="1511" builtinId="8" hidden="1"/>
    <cellStyle name="Hyperlink" xfId="1513" builtinId="8" hidden="1"/>
    <cellStyle name="Hyperlink" xfId="1515" builtinId="8" hidden="1"/>
    <cellStyle name="Hyperlink" xfId="1517" builtinId="8" hidden="1"/>
    <cellStyle name="Hyperlink" xfId="1519" builtinId="8" hidden="1"/>
    <cellStyle name="Hyperlink" xfId="1521" builtinId="8" hidden="1"/>
    <cellStyle name="Hyperlink" xfId="1523" builtinId="8" hidden="1"/>
    <cellStyle name="Hyperlink" xfId="1525" builtinId="8" hidden="1"/>
    <cellStyle name="Hyperlink" xfId="1527" builtinId="8" hidden="1"/>
    <cellStyle name="Hyperlink" xfId="1529" builtinId="8" hidden="1"/>
    <cellStyle name="Hyperlink" xfId="1531" builtinId="8" hidden="1"/>
    <cellStyle name="Hyperlink" xfId="1533" builtinId="8" hidden="1"/>
    <cellStyle name="Hyperlink" xfId="1535" builtinId="8" hidden="1"/>
    <cellStyle name="Hyperlink" xfId="1537" builtinId="8" hidden="1"/>
    <cellStyle name="Hyperlink" xfId="1539" builtinId="8" hidden="1"/>
    <cellStyle name="Hyperlink" xfId="1541" builtinId="8" hidden="1"/>
    <cellStyle name="Hyperlink" xfId="1543" builtinId="8" hidden="1"/>
    <cellStyle name="Hyperlink" xfId="1545" builtinId="8" hidden="1"/>
    <cellStyle name="Hyperlink" xfId="1547" builtinId="8" hidden="1"/>
    <cellStyle name="Hyperlink" xfId="1549" builtinId="8" hidden="1"/>
    <cellStyle name="Hyperlink" xfId="1551" builtinId="8" hidden="1"/>
    <cellStyle name="Hyperlink" xfId="1553" builtinId="8" hidden="1"/>
    <cellStyle name="Hyperlink" xfId="1555" builtinId="8" hidden="1"/>
    <cellStyle name="Hyperlink" xfId="1557" builtinId="8" hidden="1"/>
    <cellStyle name="Hyperlink" xfId="1559" builtinId="8" hidden="1"/>
    <cellStyle name="Hyperlink" xfId="1561" builtinId="8" hidden="1"/>
    <cellStyle name="Hyperlink" xfId="1563" builtinId="8" hidden="1"/>
    <cellStyle name="Hyperlink" xfId="1565" builtinId="8" hidden="1"/>
    <cellStyle name="Hyperlink" xfId="1567" builtinId="8" hidden="1"/>
    <cellStyle name="Hyperlink" xfId="1569" builtinId="8" hidden="1"/>
    <cellStyle name="Hyperlink" xfId="1571" builtinId="8" hidden="1"/>
    <cellStyle name="Hyperlink" xfId="1573" builtinId="8" hidden="1"/>
    <cellStyle name="Hyperlink" xfId="1575" builtinId="8" hidden="1"/>
    <cellStyle name="Hyperlink" xfId="1577" builtinId="8" hidden="1"/>
    <cellStyle name="Hyperlink" xfId="1579" builtinId="8" hidden="1"/>
    <cellStyle name="Hyperlink" xfId="1581" builtinId="8" hidden="1"/>
    <cellStyle name="Hyperlink" xfId="1583" builtinId="8" hidden="1"/>
    <cellStyle name="Hyperlink" xfId="1585" builtinId="8" hidden="1"/>
    <cellStyle name="Hyperlink" xfId="1587" builtinId="8" hidden="1"/>
    <cellStyle name="Hyperlink" xfId="1589" builtinId="8" hidden="1"/>
    <cellStyle name="Hyperlink" xfId="1591" builtinId="8" hidden="1"/>
    <cellStyle name="Hyperlink" xfId="1593" builtinId="8" hidden="1"/>
    <cellStyle name="Hyperlink" xfId="1595" builtinId="8" hidden="1"/>
    <cellStyle name="Hyperlink" xfId="1597" builtinId="8" hidden="1"/>
    <cellStyle name="Hyperlink" xfId="1599" builtinId="8" hidden="1"/>
    <cellStyle name="Hyperlink" xfId="1601" builtinId="8" hidden="1"/>
    <cellStyle name="Hyperlink" xfId="1603" builtinId="8" hidden="1"/>
    <cellStyle name="Hyperlink" xfId="1605" builtinId="8" hidden="1"/>
    <cellStyle name="Hyperlink" xfId="1607" builtinId="8" hidden="1"/>
    <cellStyle name="Hyperlink" xfId="1609" builtinId="8" hidden="1"/>
    <cellStyle name="Hyperlink" xfId="1611" builtinId="8" hidden="1"/>
    <cellStyle name="Hyperlink" xfId="1613" builtinId="8" hidden="1"/>
    <cellStyle name="Hyperlink" xfId="1615" builtinId="8" hidden="1"/>
    <cellStyle name="Hyperlink" xfId="1617" builtinId="8" hidden="1"/>
    <cellStyle name="Hyperlink" xfId="1619" builtinId="8" hidden="1"/>
    <cellStyle name="Hyperlink" xfId="1621" builtinId="8" hidden="1"/>
    <cellStyle name="Hyperlink" xfId="1623" builtinId="8" hidden="1"/>
    <cellStyle name="Hyperlink" xfId="1625" builtinId="8" hidden="1"/>
    <cellStyle name="Hyperlink" xfId="1627" builtinId="8" hidden="1"/>
    <cellStyle name="Hyperlink" xfId="1629" builtinId="8" hidden="1"/>
    <cellStyle name="Hyperlink" xfId="1631" builtinId="8" hidden="1"/>
    <cellStyle name="Hyperlink" xfId="1633" builtinId="8" hidden="1"/>
    <cellStyle name="Hyperlink" xfId="1635" builtinId="8" hidden="1"/>
    <cellStyle name="Hyperlink" xfId="1637" builtinId="8" hidden="1"/>
    <cellStyle name="Hyperlink" xfId="1639" builtinId="8" hidden="1"/>
    <cellStyle name="Hyperlink" xfId="1641" builtinId="8" hidden="1"/>
    <cellStyle name="Hyperlink" xfId="1643" builtinId="8" hidden="1"/>
    <cellStyle name="Hyperlink" xfId="1645" builtinId="8" hidden="1"/>
    <cellStyle name="Hyperlink" xfId="1647" builtinId="8" hidden="1"/>
    <cellStyle name="Hyperlink" xfId="1649" builtinId="8" hidden="1"/>
    <cellStyle name="Hyperlink" xfId="1651" builtinId="8" hidden="1"/>
    <cellStyle name="Hyperlink" xfId="1653" builtinId="8" hidden="1"/>
    <cellStyle name="Hyperlink" xfId="1655" builtinId="8" hidden="1"/>
    <cellStyle name="Hyperlink" xfId="1657" builtinId="8" hidden="1"/>
    <cellStyle name="Hyperlink" xfId="1659" builtinId="8" hidden="1"/>
    <cellStyle name="Hyperlink" xfId="1661" builtinId="8" hidden="1"/>
    <cellStyle name="Hyperlink" xfId="1663" builtinId="8" hidden="1"/>
    <cellStyle name="Hyperlink" xfId="1665" builtinId="8" hidden="1"/>
    <cellStyle name="Hyperlink" xfId="1667" builtinId="8" hidden="1"/>
    <cellStyle name="Hyperlink" xfId="1669" builtinId="8" hidden="1"/>
    <cellStyle name="Hyperlink" xfId="1671" builtinId="8" hidden="1"/>
    <cellStyle name="Hyperlink" xfId="1673" builtinId="8" hidden="1"/>
    <cellStyle name="Hyperlink" xfId="1675" builtinId="8" hidden="1"/>
    <cellStyle name="Hyperlink" xfId="1677" builtinId="8" hidden="1"/>
    <cellStyle name="Hyperlink" xfId="1679" builtinId="8" hidden="1"/>
    <cellStyle name="Hyperlink" xfId="1681" builtinId="8" hidden="1"/>
    <cellStyle name="Hyperlink" xfId="1683" builtinId="8" hidden="1"/>
    <cellStyle name="Hyperlink" xfId="1685" builtinId="8" hidden="1"/>
    <cellStyle name="Hyperlink" xfId="1687" builtinId="8" hidden="1"/>
    <cellStyle name="Hyperlink" xfId="1689" builtinId="8" hidden="1"/>
    <cellStyle name="Hyperlink" xfId="1691" builtinId="8" hidden="1"/>
    <cellStyle name="Hyperlink" xfId="1693" builtinId="8" hidden="1"/>
    <cellStyle name="Hyperlink" xfId="1695" builtinId="8" hidden="1"/>
    <cellStyle name="Hyperlink" xfId="1697" builtinId="8" hidden="1"/>
    <cellStyle name="Hyperlink" xfId="1699" builtinId="8" hidden="1"/>
    <cellStyle name="Hyperlink" xfId="1701" builtinId="8" hidden="1"/>
    <cellStyle name="Hyperlink" xfId="1703" builtinId="8" hidden="1"/>
    <cellStyle name="Hyperlink" xfId="1705" builtinId="8" hidden="1"/>
    <cellStyle name="Hyperlink" xfId="1707" builtinId="8" hidden="1"/>
    <cellStyle name="Hyperlink" xfId="1709" builtinId="8" hidden="1"/>
    <cellStyle name="Hyperlink" xfId="1711" builtinId="8" hidden="1"/>
    <cellStyle name="Hyperlink" xfId="1713" builtinId="8" hidden="1"/>
    <cellStyle name="Hyperlink" xfId="1715" builtinId="8" hidden="1"/>
    <cellStyle name="Hyperlink" xfId="1717" builtinId="8" hidden="1"/>
    <cellStyle name="Hyperlink" xfId="1719" builtinId="8" hidden="1"/>
    <cellStyle name="Hyperlink" xfId="1721" builtinId="8" hidden="1"/>
    <cellStyle name="Hyperlink" xfId="1723" builtinId="8" hidden="1"/>
    <cellStyle name="Hyperlink" xfId="1725" builtinId="8" hidden="1"/>
    <cellStyle name="Hyperlink" xfId="1727" builtinId="8" hidden="1"/>
    <cellStyle name="Hyperlink" xfId="1729" builtinId="8" hidden="1"/>
    <cellStyle name="Hyperlink" xfId="1731" builtinId="8" hidden="1"/>
    <cellStyle name="Hyperlink" xfId="1733" builtinId="8" hidden="1"/>
    <cellStyle name="Hyperlink" xfId="1735" builtinId="8" hidden="1"/>
    <cellStyle name="Hyperlink" xfId="1737" builtinId="8" hidden="1"/>
    <cellStyle name="Hyperlink" xfId="1739" builtinId="8" hidden="1"/>
    <cellStyle name="Hyperlink" xfId="1741" builtinId="8" hidden="1"/>
    <cellStyle name="Hyperlink" xfId="1743" builtinId="8" hidden="1"/>
    <cellStyle name="Hyperlink" xfId="1745" builtinId="8" hidden="1"/>
    <cellStyle name="Hyperlink" xfId="1747" builtinId="8" hidden="1"/>
    <cellStyle name="Hyperlink" xfId="1749" builtinId="8" hidden="1"/>
    <cellStyle name="Hyperlink" xfId="1751" builtinId="8" hidden="1"/>
    <cellStyle name="Hyperlink" xfId="1753" builtinId="8" hidden="1"/>
    <cellStyle name="Hyperlink" xfId="1755" builtinId="8" hidden="1"/>
    <cellStyle name="Hyperlink" xfId="1757" builtinId="8" hidden="1"/>
    <cellStyle name="Hyperlink" xfId="1759" builtinId="8" hidden="1"/>
    <cellStyle name="Hyperlink" xfId="1761" builtinId="8" hidden="1"/>
    <cellStyle name="Hyperlink" xfId="1763" builtinId="8" hidden="1"/>
    <cellStyle name="Hyperlink" xfId="1765" builtinId="8" hidden="1"/>
    <cellStyle name="Hyperlink" xfId="1767" builtinId="8" hidden="1"/>
    <cellStyle name="Hyperlink" xfId="1769" builtinId="8" hidden="1"/>
    <cellStyle name="Hyperlink" xfId="1771" builtinId="8" hidden="1"/>
    <cellStyle name="Hyperlink" xfId="1773" builtinId="8" hidden="1"/>
    <cellStyle name="Hyperlink" xfId="1775" builtinId="8" hidden="1"/>
    <cellStyle name="Hyperlink" xfId="1777" builtinId="8" hidden="1"/>
    <cellStyle name="Hyperlink" xfId="1779" builtinId="8" hidden="1"/>
    <cellStyle name="Hyperlink" xfId="1781" builtinId="8" hidden="1"/>
    <cellStyle name="Hyperlink" xfId="1783" builtinId="8" hidden="1"/>
    <cellStyle name="Hyperlink" xfId="1785" builtinId="8" hidden="1"/>
    <cellStyle name="Hyperlink" xfId="1787" builtinId="8" hidden="1"/>
    <cellStyle name="Hyperlink" xfId="1789" builtinId="8" hidden="1"/>
    <cellStyle name="Hyperlink" xfId="1791" builtinId="8" hidden="1"/>
    <cellStyle name="Hyperlink" xfId="1793" builtinId="8" hidden="1"/>
    <cellStyle name="Hyperlink" xfId="1795" builtinId="8" hidden="1"/>
    <cellStyle name="Hyperlink" xfId="1797" builtinId="8" hidden="1"/>
    <cellStyle name="Hyperlink" xfId="1799" builtinId="8" hidden="1"/>
    <cellStyle name="Hyperlink" xfId="1801" builtinId="8" hidden="1"/>
    <cellStyle name="Hyperlink" xfId="1803" builtinId="8" hidden="1"/>
    <cellStyle name="Hyperlink" xfId="1805" builtinId="8" hidden="1"/>
    <cellStyle name="Hyperlink" xfId="1807" builtinId="8" hidden="1"/>
    <cellStyle name="Hyperlink" xfId="1809" builtinId="8" hidden="1"/>
    <cellStyle name="Hyperlink" xfId="1811" builtinId="8" hidden="1"/>
    <cellStyle name="Hyperlink" xfId="1813" builtinId="8" hidden="1"/>
    <cellStyle name="Hyperlink" xfId="1815" builtinId="8" hidden="1"/>
    <cellStyle name="Hyperlink" xfId="1817" builtinId="8" hidden="1"/>
    <cellStyle name="Hyperlink" xfId="1819" builtinId="8" hidden="1"/>
    <cellStyle name="Hyperlink" xfId="1821" builtinId="8" hidden="1"/>
    <cellStyle name="Hyperlink" xfId="1823" builtinId="8" hidden="1"/>
    <cellStyle name="Hyperlink" xfId="1825" builtinId="8" hidden="1"/>
    <cellStyle name="Hyperlink" xfId="1827" builtinId="8" hidden="1"/>
    <cellStyle name="Hyperlink" xfId="1829" builtinId="8" hidden="1"/>
    <cellStyle name="Hyperlink" xfId="1831" builtinId="8" hidden="1"/>
    <cellStyle name="Hyperlink" xfId="1833" builtinId="8" hidden="1"/>
    <cellStyle name="Hyperlink" xfId="1835" builtinId="8" hidden="1"/>
    <cellStyle name="Hyperlink" xfId="1837" builtinId="8" hidden="1"/>
    <cellStyle name="Hyperlink" xfId="1839" builtinId="8" hidden="1"/>
    <cellStyle name="Hyperlink" xfId="1841" builtinId="8" hidden="1"/>
    <cellStyle name="Hyperlink" xfId="1843" builtinId="8" hidden="1"/>
    <cellStyle name="Hyperlink" xfId="1845" builtinId="8" hidden="1"/>
    <cellStyle name="Hyperlink" xfId="1847" builtinId="8" hidden="1"/>
    <cellStyle name="Hyperlink" xfId="1849" builtinId="8" hidden="1"/>
    <cellStyle name="Hyperlink" xfId="1851" builtinId="8" hidden="1"/>
    <cellStyle name="Hyperlink" xfId="1853" builtinId="8" hidden="1"/>
    <cellStyle name="Hyperlink" xfId="1855" builtinId="8" hidden="1"/>
    <cellStyle name="Hyperlink" xfId="1857" builtinId="8" hidden="1"/>
    <cellStyle name="Hyperlink" xfId="1859" builtinId="8" hidden="1"/>
    <cellStyle name="Hyperlink" xfId="1861" builtinId="8" hidden="1"/>
    <cellStyle name="Hyperlink" xfId="1863" builtinId="8" hidden="1"/>
    <cellStyle name="Hyperlink" xfId="1865" builtinId="8" hidden="1"/>
    <cellStyle name="Hyperlink" xfId="1867" builtinId="8" hidden="1"/>
    <cellStyle name="Hyperlink" xfId="1869" builtinId="8" hidden="1"/>
    <cellStyle name="Hyperlink" xfId="1871" builtinId="8" hidden="1"/>
    <cellStyle name="Hyperlink" xfId="1873" builtinId="8" hidden="1"/>
    <cellStyle name="Hyperlink" xfId="1875" builtinId="8" hidden="1"/>
    <cellStyle name="Hyperlink" xfId="1877" builtinId="8" hidden="1"/>
    <cellStyle name="Hyperlink" xfId="1879" builtinId="8" hidden="1"/>
    <cellStyle name="Hyperlink" xfId="1881" builtinId="8" hidden="1"/>
    <cellStyle name="Hyperlink" xfId="1883" builtinId="8" hidden="1"/>
    <cellStyle name="Hyperlink" xfId="1885" builtinId="8" hidden="1"/>
    <cellStyle name="Hyperlink" xfId="1887" builtinId="8" hidden="1"/>
    <cellStyle name="Hyperlink" xfId="1889" builtinId="8" hidden="1"/>
    <cellStyle name="Hyperlink" xfId="1891" builtinId="8" hidden="1"/>
    <cellStyle name="Hyperlink" xfId="1893" builtinId="8" hidden="1"/>
    <cellStyle name="Hyperlink" xfId="1895" builtinId="8" hidden="1"/>
    <cellStyle name="Hyperlink" xfId="1897" builtinId="8" hidden="1"/>
    <cellStyle name="Hyperlink" xfId="1899" builtinId="8" hidden="1"/>
    <cellStyle name="Hyperlink" xfId="1901" builtinId="8" hidden="1"/>
    <cellStyle name="Hyperlink" xfId="1903" builtinId="8" hidden="1"/>
    <cellStyle name="Hyperlink" xfId="1905" builtinId="8" hidden="1"/>
    <cellStyle name="Hyperlink" xfId="1907" builtinId="8" hidden="1"/>
    <cellStyle name="Hyperlink" xfId="1909" builtinId="8" hidden="1"/>
    <cellStyle name="Hyperlink" xfId="1911" builtinId="8" hidden="1"/>
    <cellStyle name="Hyperlink" xfId="1913" builtinId="8" hidden="1"/>
    <cellStyle name="Hyperlink" xfId="1915" builtinId="8" hidden="1"/>
    <cellStyle name="Hyperlink" xfId="1917" builtinId="8" hidden="1"/>
    <cellStyle name="Hyperlink" xfId="1919" builtinId="8" hidden="1"/>
    <cellStyle name="Hyperlink" xfId="1921" builtinId="8" hidden="1"/>
    <cellStyle name="Hyperlink" xfId="1923" builtinId="8" hidden="1"/>
    <cellStyle name="Hyperlink" xfId="1925" builtinId="8" hidden="1"/>
    <cellStyle name="Hyperlink" xfId="1927" builtinId="8" hidden="1"/>
    <cellStyle name="Hyperlink" xfId="1930" builtinId="8" hidden="1"/>
    <cellStyle name="Hyperlink" xfId="1932" builtinId="8" hidden="1"/>
    <cellStyle name="Hyperlink" xfId="1934" builtinId="8" hidden="1"/>
    <cellStyle name="Hyperlink" xfId="1936" builtinId="8" hidden="1"/>
    <cellStyle name="Hyperlink" xfId="1938" builtinId="8" hidden="1"/>
    <cellStyle name="Hyperlink" xfId="1940" builtinId="8" hidden="1"/>
    <cellStyle name="Hyperlink" xfId="1942" builtinId="8" hidden="1"/>
    <cellStyle name="Hyperlink" xfId="1944" builtinId="8" hidden="1"/>
    <cellStyle name="Hyperlink" xfId="1946" builtinId="8" hidden="1"/>
    <cellStyle name="Hyperlink" xfId="1948" builtinId="8" hidden="1"/>
    <cellStyle name="Hyperlink" xfId="1950" builtinId="8" hidden="1"/>
    <cellStyle name="Hyperlink" xfId="1952" builtinId="8" hidden="1"/>
    <cellStyle name="Hyperlink" xfId="1954" builtinId="8" hidden="1"/>
    <cellStyle name="Hyperlink" xfId="1956" builtinId="8" hidden="1"/>
    <cellStyle name="Hyperlink" xfId="1958" builtinId="8" hidden="1"/>
    <cellStyle name="Hyperlink" xfId="1960" builtinId="8" hidden="1"/>
    <cellStyle name="Hyperlink" xfId="1962" builtinId="8" hidden="1"/>
    <cellStyle name="Hyperlink" xfId="1964" builtinId="8" hidden="1"/>
    <cellStyle name="Hyperlink" xfId="1966" builtinId="8" hidden="1"/>
    <cellStyle name="Hyperlink" xfId="1968" builtinId="8" hidden="1"/>
    <cellStyle name="Hyperlink" xfId="1970" builtinId="8" hidden="1"/>
    <cellStyle name="Hyperlink" xfId="1972" builtinId="8" hidden="1"/>
    <cellStyle name="Hyperlink" xfId="1974" builtinId="8" hidden="1"/>
    <cellStyle name="Hyperlink" xfId="1976" builtinId="8" hidden="1"/>
    <cellStyle name="Hyperlink" xfId="1978" builtinId="8" hidden="1"/>
    <cellStyle name="Hyperlink" xfId="1980" builtinId="8" hidden="1"/>
    <cellStyle name="Hyperlink" xfId="1982" builtinId="8" hidden="1"/>
    <cellStyle name="Hyperlink" xfId="1984" builtinId="8" hidden="1"/>
    <cellStyle name="Hyperlink" xfId="1986" builtinId="8" hidden="1"/>
    <cellStyle name="Hyperlink" xfId="1988" builtinId="8" hidden="1"/>
    <cellStyle name="Hyperlink" xfId="1990" builtinId="8" hidden="1"/>
    <cellStyle name="Hyperlink" xfId="1992" builtinId="8" hidden="1"/>
    <cellStyle name="Hyperlink" xfId="1994" builtinId="8" hidden="1"/>
    <cellStyle name="Hyperlink" xfId="1996" builtinId="8" hidden="1"/>
    <cellStyle name="Hyperlink" xfId="1998" builtinId="8" hidden="1"/>
    <cellStyle name="Hyperlink" xfId="2000" builtinId="8" hidden="1"/>
    <cellStyle name="Hyperlink" xfId="2002" builtinId="8" hidden="1"/>
    <cellStyle name="Hyperlink" xfId="2004" builtinId="8" hidden="1"/>
    <cellStyle name="Hyperlink" xfId="2006" builtinId="8" hidden="1"/>
    <cellStyle name="Hyperlink" xfId="2008" builtinId="8" hidden="1"/>
    <cellStyle name="Hyperlink" xfId="2010" builtinId="8" hidden="1"/>
    <cellStyle name="Hyperlink" xfId="2012" builtinId="8" hidden="1"/>
    <cellStyle name="Hyperlink" xfId="2014" builtinId="8" hidden="1"/>
    <cellStyle name="Hyperlink" xfId="2016" builtinId="8" hidden="1"/>
    <cellStyle name="Hyperlink" xfId="2018" builtinId="8" hidden="1"/>
    <cellStyle name="Hyperlink" xfId="2020" builtinId="8" hidden="1"/>
    <cellStyle name="Hyperlink" xfId="2022" builtinId="8" hidden="1"/>
    <cellStyle name="Hyperlink" xfId="2024" builtinId="8" hidden="1"/>
    <cellStyle name="Hyperlink" xfId="2026" builtinId="8" hidden="1"/>
    <cellStyle name="Hyperlink" xfId="2028" builtinId="8" hidden="1"/>
    <cellStyle name="Hyperlink" xfId="2030" builtinId="8" hidden="1"/>
    <cellStyle name="Hyperlink" xfId="2032" builtinId="8" hidden="1"/>
    <cellStyle name="Hyperlink" xfId="2034" builtinId="8" hidden="1"/>
    <cellStyle name="Hyperlink" xfId="2036" builtinId="8" hidden="1"/>
    <cellStyle name="Hyperlink" xfId="2038" builtinId="8" hidden="1"/>
    <cellStyle name="Hyperlink" xfId="2040" builtinId="8" hidden="1"/>
    <cellStyle name="Hyperlink" xfId="2042" builtinId="8" hidden="1"/>
    <cellStyle name="Hyperlink" xfId="2044" builtinId="8" hidden="1"/>
    <cellStyle name="Hyperlink" xfId="2046" builtinId="8" hidden="1"/>
    <cellStyle name="Hyperlink" xfId="2048" builtinId="8" hidden="1"/>
    <cellStyle name="Hyperlink" xfId="2050" builtinId="8" hidden="1"/>
    <cellStyle name="Hyperlink" xfId="2052" builtinId="8" hidden="1"/>
    <cellStyle name="Hyperlink" xfId="2054" builtinId="8" hidden="1"/>
    <cellStyle name="Hyperlink" xfId="2056" builtinId="8" hidden="1"/>
    <cellStyle name="Hyperlink" xfId="2058" builtinId="8" hidden="1"/>
    <cellStyle name="Hyperlink" xfId="2060" builtinId="8" hidden="1"/>
    <cellStyle name="Hyperlink" xfId="2062" builtinId="8" hidden="1"/>
    <cellStyle name="Hyperlink" xfId="2064" builtinId="8" hidden="1"/>
    <cellStyle name="Hyperlink" xfId="2066" builtinId="8" hidden="1"/>
    <cellStyle name="Hyperlink" xfId="2068" builtinId="8" hidden="1"/>
    <cellStyle name="Hyperlink" xfId="2070" builtinId="8" hidden="1"/>
    <cellStyle name="Hyperlink" xfId="2072" builtinId="8" hidden="1"/>
    <cellStyle name="Hyperlink" xfId="2074" builtinId="8" hidden="1"/>
    <cellStyle name="Hyperlink" xfId="2076" builtinId="8" hidden="1"/>
    <cellStyle name="Hyperlink" xfId="2078" builtinId="8" hidden="1"/>
    <cellStyle name="Hyperlink" xfId="2080" builtinId="8" hidden="1"/>
    <cellStyle name="Hyperlink" xfId="2082" builtinId="8" hidden="1"/>
    <cellStyle name="Hyperlink" xfId="2084" builtinId="8" hidden="1"/>
    <cellStyle name="Hyperlink" xfId="2086" builtinId="8" hidden="1"/>
    <cellStyle name="Hyperlink" xfId="2088" builtinId="8" hidden="1"/>
    <cellStyle name="Hyperlink" xfId="2090" builtinId="8" hidden="1"/>
    <cellStyle name="Hyperlink" xfId="2092" builtinId="8" hidden="1"/>
    <cellStyle name="Hyperlink" xfId="2094" builtinId="8" hidden="1"/>
    <cellStyle name="Hyperlink" xfId="2096" builtinId="8" hidden="1"/>
    <cellStyle name="Hyperlink" xfId="2098" builtinId="8" hidden="1"/>
    <cellStyle name="Hyperlink" xfId="2100" builtinId="8" hidden="1"/>
    <cellStyle name="Hyperlink" xfId="2102" builtinId="8" hidden="1"/>
    <cellStyle name="Hyperlink" xfId="2104" builtinId="8" hidden="1"/>
    <cellStyle name="Hyperlink" xfId="2106" builtinId="8" hidden="1"/>
    <cellStyle name="Hyperlink" xfId="2108" builtinId="8" hidden="1"/>
    <cellStyle name="Hyperlink" xfId="2110" builtinId="8" hidden="1"/>
    <cellStyle name="Hyperlink" xfId="2112" builtinId="8" hidden="1"/>
    <cellStyle name="Hyperlink" xfId="2114" builtinId="8" hidden="1"/>
    <cellStyle name="Hyperlink" xfId="2116" builtinId="8" hidden="1"/>
    <cellStyle name="Hyperlink" xfId="2118" builtinId="8" hidden="1"/>
    <cellStyle name="Hyperlink" xfId="2120" builtinId="8" hidden="1"/>
    <cellStyle name="Hyperlink" xfId="2122" builtinId="8" hidden="1"/>
    <cellStyle name="Hyperlink" xfId="2124" builtinId="8" hidden="1"/>
    <cellStyle name="Hyperlink" xfId="2126" builtinId="8" hidden="1"/>
    <cellStyle name="Hyperlink" xfId="2128" builtinId="8" hidden="1"/>
    <cellStyle name="Hyperlink" xfId="2130" builtinId="8" hidden="1"/>
    <cellStyle name="Hyperlink" xfId="2132" builtinId="8" hidden="1"/>
    <cellStyle name="Hyperlink" xfId="2134" builtinId="8" hidden="1"/>
    <cellStyle name="Hyperlink" xfId="2136" builtinId="8" hidden="1"/>
    <cellStyle name="Hyperlink" xfId="2138" builtinId="8" hidden="1"/>
    <cellStyle name="Hyperlink" xfId="2140" builtinId="8" hidden="1"/>
    <cellStyle name="Hyperlink" xfId="2142" builtinId="8" hidden="1"/>
    <cellStyle name="Hyperlink" xfId="2144" builtinId="8" hidden="1"/>
    <cellStyle name="Hyperlink" xfId="2146" builtinId="8" hidden="1"/>
    <cellStyle name="Hyperlink" xfId="2148" builtinId="8" hidden="1"/>
    <cellStyle name="Hyperlink" xfId="2150" builtinId="8" hidden="1"/>
    <cellStyle name="Hyperlink" xfId="2152" builtinId="8" hidden="1"/>
    <cellStyle name="Hyperlink" xfId="2154" builtinId="8" hidden="1"/>
    <cellStyle name="Hyperlink" xfId="2156" builtinId="8" hidden="1"/>
    <cellStyle name="Hyperlink" xfId="2158" builtinId="8" hidden="1"/>
    <cellStyle name="Hyperlink" xfId="2160" builtinId="8" hidden="1"/>
    <cellStyle name="Hyperlink" xfId="2162" builtinId="8" hidden="1"/>
    <cellStyle name="Hyperlink" xfId="2164" builtinId="8" hidden="1"/>
    <cellStyle name="Hyperlink" xfId="2166" builtinId="8" hidden="1"/>
    <cellStyle name="Hyperlink" xfId="2168" builtinId="8" hidden="1"/>
    <cellStyle name="Hyperlink" xfId="2170" builtinId="8" hidden="1"/>
    <cellStyle name="Hyperlink" xfId="2172" builtinId="8" hidden="1"/>
    <cellStyle name="Hyperlink" xfId="2174" builtinId="8" hidden="1"/>
    <cellStyle name="Hyperlink" xfId="2176" builtinId="8" hidden="1"/>
    <cellStyle name="Hyperlink" xfId="2178" builtinId="8" hidden="1"/>
    <cellStyle name="Hyperlink" xfId="2180" builtinId="8" hidden="1"/>
    <cellStyle name="Hyperlink" xfId="2182" builtinId="8" hidden="1"/>
    <cellStyle name="Hyperlink" xfId="2184" builtinId="8" hidden="1"/>
    <cellStyle name="Hyperlink" xfId="2186" builtinId="8" hidden="1"/>
    <cellStyle name="Hyperlink" xfId="2188" builtinId="8" hidden="1"/>
    <cellStyle name="Hyperlink" xfId="2190" builtinId="8" hidden="1"/>
    <cellStyle name="Hyperlink" xfId="2192" builtinId="8" hidden="1"/>
    <cellStyle name="Hyperlink" xfId="2194" builtinId="8" hidden="1"/>
    <cellStyle name="Hyperlink" xfId="2196" builtinId="8" hidden="1"/>
    <cellStyle name="Hyperlink" xfId="2198" builtinId="8" hidden="1"/>
    <cellStyle name="Hyperlink" xfId="2200" builtinId="8" hidden="1"/>
    <cellStyle name="Hyperlink" xfId="2202" builtinId="8" hidden="1"/>
    <cellStyle name="Hyperlink" xfId="2204" builtinId="8" hidden="1"/>
    <cellStyle name="Hyperlink" xfId="2206" builtinId="8" hidden="1"/>
    <cellStyle name="Hyperlink" xfId="2208" builtinId="8" hidden="1"/>
    <cellStyle name="Hyperlink" xfId="2210" builtinId="8" hidden="1"/>
    <cellStyle name="Hyperlink" xfId="2212" builtinId="8" hidden="1"/>
    <cellStyle name="Hyperlink" xfId="2214" builtinId="8" hidden="1"/>
    <cellStyle name="Hyperlink" xfId="2216" builtinId="8" hidden="1"/>
    <cellStyle name="Hyperlink" xfId="2218" builtinId="8" hidden="1"/>
    <cellStyle name="Hyperlink" xfId="2220" builtinId="8" hidden="1"/>
    <cellStyle name="Hyperlink" xfId="2222" builtinId="8" hidden="1"/>
    <cellStyle name="Hyperlink" xfId="2224" builtinId="8" hidden="1"/>
    <cellStyle name="Hyperlink" xfId="2226" builtinId="8" hidden="1"/>
    <cellStyle name="Hyperlink" xfId="2228" builtinId="8" hidden="1"/>
    <cellStyle name="Hyperlink" xfId="2230" builtinId="8" hidden="1"/>
    <cellStyle name="Hyperlink" xfId="2232" builtinId="8" hidden="1"/>
    <cellStyle name="Hyperlink" xfId="2234" builtinId="8" hidden="1"/>
    <cellStyle name="Hyperlink" xfId="2236" builtinId="8" hidden="1"/>
    <cellStyle name="Hyperlink" xfId="2238" builtinId="8" hidden="1"/>
    <cellStyle name="Hyperlink" xfId="2240" builtinId="8" hidden="1"/>
    <cellStyle name="Hyperlink" xfId="2242" builtinId="8" hidden="1"/>
    <cellStyle name="Hyperlink" xfId="2244" builtinId="8" hidden="1"/>
    <cellStyle name="Hyperlink" xfId="2246" builtinId="8" hidden="1"/>
    <cellStyle name="Hyperlink" xfId="2248" builtinId="8" hidden="1"/>
    <cellStyle name="Hyperlink" xfId="2250" builtinId="8" hidden="1"/>
    <cellStyle name="Hyperlink" xfId="2252" builtinId="8" hidden="1"/>
    <cellStyle name="Hyperlink" xfId="2254" builtinId="8" hidden="1"/>
    <cellStyle name="Hyperlink" xfId="2256" builtinId="8" hidden="1"/>
    <cellStyle name="Hyperlink" xfId="2258" builtinId="8" hidden="1"/>
    <cellStyle name="Hyperlink" xfId="2260" builtinId="8" hidden="1"/>
    <cellStyle name="Hyperlink" xfId="2262" builtinId="8" hidden="1"/>
    <cellStyle name="Hyperlink" xfId="2264" builtinId="8" hidden="1"/>
    <cellStyle name="Hyperlink" xfId="2266" builtinId="8" hidden="1"/>
    <cellStyle name="Hyperlink" xfId="2268" builtinId="8" hidden="1"/>
    <cellStyle name="Normal" xfId="0" builtinId="0" customBuiltin="1"/>
    <cellStyle name="Normal 2" xfId="2270" xr:uid="{48C816BE-D058-1C43-BC33-063BC779A40B}"/>
  </cellStyles>
  <dxfs count="0"/>
  <tableStyles count="0" defaultTableStyle="TableStyleMedium2" defaultPivotStyle="PivotStyleLight16"/>
  <colors>
    <mruColors>
      <color rgb="FFFFF3FE"/>
      <color rgb="FFE4EEFF"/>
      <color rgb="FFE9FFE1"/>
      <color rgb="FFFFD7FD"/>
      <color rgb="FFFFF5F0"/>
      <color rgb="FFFF7E79"/>
      <color rgb="FFD4AEF4"/>
      <color rgb="FFFEF4FF"/>
      <color rgb="FFEFF3FF"/>
      <color rgb="FF272D8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533400</xdr:colOff>
      <xdr:row>3</xdr:row>
      <xdr:rowOff>177800</xdr:rowOff>
    </xdr:from>
    <xdr:to>
      <xdr:col>1</xdr:col>
      <xdr:colOff>895697</xdr:colOff>
      <xdr:row>6</xdr:row>
      <xdr:rowOff>142471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C3C57A6-F038-1F45-AA1F-B187E2F5E8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0" y="812800"/>
          <a:ext cx="1187797" cy="574271"/>
        </a:xfrm>
        <a:prstGeom prst="rect">
          <a:avLst/>
        </a:prstGeom>
      </xdr:spPr>
    </xdr:pic>
    <xdr:clientData/>
  </xdr:twoCellAnchor>
  <xdr:twoCellAnchor>
    <xdr:from>
      <xdr:col>2</xdr:col>
      <xdr:colOff>142875</xdr:colOff>
      <xdr:row>44</xdr:row>
      <xdr:rowOff>190500</xdr:rowOff>
    </xdr:from>
    <xdr:to>
      <xdr:col>2</xdr:col>
      <xdr:colOff>671628</xdr:colOff>
      <xdr:row>46</xdr:row>
      <xdr:rowOff>49510</xdr:rowOff>
    </xdr:to>
    <xdr:pic>
      <xdr:nvPicPr>
        <xdr:cNvPr id="7" name="image.png">
          <a:extLst>
            <a:ext uri="{FF2B5EF4-FFF2-40B4-BE49-F238E27FC236}">
              <a16:creationId xmlns:a16="http://schemas.microsoft.com/office/drawing/2014/main" id="{F9DD577B-0384-1A40-AD99-759D1B7D9FD5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14625" y="10175875"/>
          <a:ext cx="528753" cy="27176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80880</xdr:colOff>
      <xdr:row>1</xdr:row>
      <xdr:rowOff>36690</xdr:rowOff>
    </xdr:from>
    <xdr:to>
      <xdr:col>1</xdr:col>
      <xdr:colOff>771760</xdr:colOff>
      <xdr:row>3</xdr:row>
      <xdr:rowOff>14111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E2B939-E736-5A48-BB63-10ED496321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3769" y="213079"/>
          <a:ext cx="690880" cy="3301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333CA-BFCC-8F4C-A1B8-5A1CDA2CC394}">
  <dimension ref="A2:J48"/>
  <sheetViews>
    <sheetView showGridLines="0" zoomScale="80" zoomScaleNormal="80" workbookViewId="0">
      <selection activeCell="L20" sqref="L20"/>
    </sheetView>
  </sheetViews>
  <sheetFormatPr baseColWidth="10" defaultRowHeight="16"/>
  <cols>
    <col min="1" max="1" width="10.83203125" style="86"/>
    <col min="2" max="2" width="22.83203125" style="98" customWidth="1"/>
    <col min="3" max="3" width="37" style="173" customWidth="1"/>
    <col min="4" max="4" width="3.83203125" style="173" customWidth="1"/>
    <col min="5" max="5" width="37" style="173" customWidth="1"/>
    <col min="6" max="6" width="3.83203125" style="173" customWidth="1"/>
    <col min="7" max="7" width="38" style="173" customWidth="1"/>
    <col min="8" max="16384" width="10.83203125" style="86"/>
  </cols>
  <sheetData>
    <row r="2" spans="1:9" s="83" customFormat="1" ht="18">
      <c r="A2" s="175"/>
      <c r="B2" s="244" t="s">
        <v>1717</v>
      </c>
      <c r="C2" s="245"/>
      <c r="D2" s="245"/>
      <c r="E2" s="245"/>
      <c r="F2" s="245"/>
      <c r="G2" s="245"/>
      <c r="H2" s="246"/>
    </row>
    <row r="3" spans="1:9" s="84" customFormat="1">
      <c r="A3" s="176"/>
      <c r="B3" s="191"/>
      <c r="C3" s="177"/>
      <c r="D3" s="177"/>
      <c r="E3" s="178"/>
      <c r="F3" s="177"/>
      <c r="G3" s="178"/>
      <c r="H3" s="179"/>
    </row>
    <row r="4" spans="1:9" s="84" customFormat="1">
      <c r="A4" s="180"/>
      <c r="B4" s="181" t="s">
        <v>1697</v>
      </c>
      <c r="C4" s="162"/>
      <c r="D4" s="163"/>
      <c r="E4" s="182" t="s">
        <v>1698</v>
      </c>
      <c r="F4" s="247"/>
      <c r="G4" s="248"/>
      <c r="H4" s="179"/>
    </row>
    <row r="5" spans="1:9" s="84" customFormat="1">
      <c r="A5" s="180"/>
      <c r="B5" s="183"/>
      <c r="C5" s="162"/>
      <c r="D5" s="163"/>
      <c r="E5" s="177"/>
      <c r="F5" s="174"/>
      <c r="G5" s="178"/>
      <c r="H5" s="179"/>
    </row>
    <row r="6" spans="1:9" s="84" customFormat="1">
      <c r="A6" s="180"/>
      <c r="B6" s="183"/>
      <c r="C6" s="162"/>
      <c r="D6" s="163"/>
      <c r="E6" s="249" t="s">
        <v>1699</v>
      </c>
      <c r="F6" s="250"/>
      <c r="G6" s="251"/>
      <c r="H6" s="184"/>
      <c r="I6" s="85"/>
    </row>
    <row r="7" spans="1:9" s="84" customFormat="1">
      <c r="A7" s="180"/>
      <c r="B7" s="183"/>
      <c r="C7" s="162"/>
      <c r="D7" s="163"/>
      <c r="E7" s="249"/>
      <c r="F7" s="252"/>
      <c r="G7" s="253"/>
      <c r="H7" s="184"/>
      <c r="I7" s="85"/>
    </row>
    <row r="8" spans="1:9" s="84" customFormat="1">
      <c r="A8" s="185"/>
      <c r="B8" s="183"/>
      <c r="C8" s="182"/>
      <c r="D8" s="182"/>
      <c r="E8" s="186"/>
      <c r="F8" s="182"/>
      <c r="G8" s="178"/>
      <c r="H8" s="179"/>
    </row>
    <row r="9" spans="1:9" s="84" customFormat="1">
      <c r="A9" s="180"/>
      <c r="B9" s="181" t="s">
        <v>1700</v>
      </c>
      <c r="C9" s="162"/>
      <c r="D9" s="163"/>
      <c r="E9" s="177"/>
      <c r="F9" s="254" t="s">
        <v>1702</v>
      </c>
      <c r="G9" s="255"/>
      <c r="H9" s="187"/>
    </row>
    <row r="10" spans="1:9" s="84" customFormat="1">
      <c r="A10" s="180"/>
      <c r="B10" s="183"/>
      <c r="C10" s="162"/>
      <c r="D10" s="163"/>
      <c r="E10" s="177"/>
      <c r="F10" s="256"/>
      <c r="G10" s="257"/>
      <c r="H10" s="179"/>
    </row>
    <row r="11" spans="1:9" s="84" customFormat="1">
      <c r="A11" s="180"/>
      <c r="B11" s="183"/>
      <c r="C11" s="162"/>
      <c r="D11" s="163"/>
      <c r="E11" s="177"/>
      <c r="F11" s="258"/>
      <c r="G11" s="259"/>
      <c r="H11" s="179"/>
    </row>
    <row r="12" spans="1:9" s="84" customFormat="1">
      <c r="A12" s="180"/>
      <c r="B12" s="183"/>
      <c r="C12" s="162"/>
      <c r="D12" s="163"/>
      <c r="E12" s="177"/>
      <c r="F12" s="174"/>
      <c r="G12" s="164"/>
      <c r="H12" s="188"/>
    </row>
    <row r="13" spans="1:9" s="84" customFormat="1">
      <c r="A13" s="135"/>
      <c r="B13" s="192"/>
      <c r="C13" s="189"/>
      <c r="D13" s="189"/>
      <c r="E13" s="190"/>
      <c r="F13" s="189"/>
      <c r="G13" s="189"/>
      <c r="H13" s="136"/>
    </row>
    <row r="14" spans="1:9" s="84" customFormat="1">
      <c r="A14" s="133"/>
      <c r="B14" s="195"/>
      <c r="C14" s="196"/>
      <c r="D14" s="196"/>
      <c r="E14" s="197"/>
      <c r="F14" s="196"/>
      <c r="G14" s="196"/>
      <c r="H14" s="134"/>
    </row>
    <row r="15" spans="1:9" s="84" customFormat="1" ht="17">
      <c r="A15" s="176"/>
      <c r="B15" s="89" t="s">
        <v>1703</v>
      </c>
      <c r="C15" s="177"/>
      <c r="D15" s="177"/>
      <c r="E15" s="178"/>
      <c r="F15" s="177"/>
      <c r="G15" s="178"/>
      <c r="H15" s="179"/>
    </row>
    <row r="16" spans="1:9" ht="27" customHeight="1">
      <c r="A16" s="198"/>
      <c r="B16" s="193"/>
      <c r="C16" s="165" t="s">
        <v>1704</v>
      </c>
      <c r="D16" s="165"/>
      <c r="E16" s="165" t="s">
        <v>1705</v>
      </c>
      <c r="F16" s="199"/>
      <c r="G16" s="165" t="s">
        <v>1701</v>
      </c>
      <c r="H16" s="200"/>
    </row>
    <row r="17" spans="1:10" ht="27" customHeight="1">
      <c r="A17" s="198"/>
      <c r="B17" s="87"/>
      <c r="C17" s="235">
        <f>'Eivy 22-23 Drop One'!I339</f>
        <v>0</v>
      </c>
      <c r="D17" s="236"/>
      <c r="E17" s="97">
        <f>'Eivy 22-23 Drop One'!I496</f>
        <v>0</v>
      </c>
      <c r="F17" s="235">
        <f>'Eivy 22-23 Drop One'!I562</f>
        <v>0</v>
      </c>
      <c r="G17" s="236"/>
      <c r="H17" s="200"/>
    </row>
    <row r="18" spans="1:10" s="84" customFormat="1">
      <c r="A18" s="201"/>
      <c r="B18" s="194"/>
      <c r="C18" s="202"/>
      <c r="D18" s="202"/>
      <c r="E18" s="169"/>
      <c r="F18" s="170"/>
      <c r="G18" s="169"/>
      <c r="H18" s="179"/>
    </row>
    <row r="19" spans="1:10" ht="16" customHeight="1">
      <c r="A19" s="198"/>
      <c r="B19" s="194"/>
      <c r="C19" s="167"/>
      <c r="D19" s="168"/>
      <c r="E19" s="237" t="s">
        <v>1706</v>
      </c>
      <c r="F19" s="238"/>
      <c r="G19" s="239">
        <f>C17+E17+F17</f>
        <v>0</v>
      </c>
      <c r="H19" s="200"/>
    </row>
    <row r="20" spans="1:10" ht="16" customHeight="1">
      <c r="A20" s="198"/>
      <c r="B20" s="89"/>
      <c r="C20" s="241"/>
      <c r="D20" s="241"/>
      <c r="E20" s="237"/>
      <c r="F20" s="238"/>
      <c r="G20" s="240"/>
      <c r="H20" s="200"/>
    </row>
    <row r="21" spans="1:10" s="84" customFormat="1">
      <c r="A21" s="201"/>
      <c r="B21" s="194"/>
      <c r="C21" s="202"/>
      <c r="D21" s="202"/>
      <c r="E21" s="169"/>
      <c r="F21" s="170"/>
      <c r="G21" s="169"/>
      <c r="H21" s="179"/>
    </row>
    <row r="22" spans="1:10" s="84" customFormat="1" ht="17">
      <c r="A22" s="176"/>
      <c r="B22" s="89" t="s">
        <v>1707</v>
      </c>
      <c r="C22" s="177"/>
      <c r="D22" s="177"/>
      <c r="E22" s="178"/>
      <c r="F22" s="177"/>
      <c r="G22" s="178"/>
      <c r="H22" s="179"/>
    </row>
    <row r="23" spans="1:10" ht="26" customHeight="1">
      <c r="A23" s="198"/>
      <c r="B23" s="193"/>
      <c r="C23" s="165" t="s">
        <v>1704</v>
      </c>
      <c r="D23" s="165"/>
      <c r="E23" s="165" t="s">
        <v>1705</v>
      </c>
      <c r="F23" s="199"/>
      <c r="G23" s="165" t="s">
        <v>1701</v>
      </c>
      <c r="H23" s="200"/>
    </row>
    <row r="24" spans="1:10" ht="26" customHeight="1">
      <c r="A24" s="198"/>
      <c r="B24" s="87"/>
      <c r="C24" s="235">
        <f>'Eivy 22-23 Drop Two'!I213</f>
        <v>0</v>
      </c>
      <c r="D24" s="236"/>
      <c r="E24" s="97">
        <f>'Eivy 22-23 Drop Two'!I286</f>
        <v>0</v>
      </c>
      <c r="F24" s="235">
        <f>'Eivy 22-23 Drop Two'!I311</f>
        <v>0</v>
      </c>
      <c r="G24" s="236"/>
      <c r="H24" s="200"/>
    </row>
    <row r="25" spans="1:10" s="84" customFormat="1">
      <c r="A25" s="201"/>
      <c r="B25" s="194"/>
      <c r="C25" s="167"/>
      <c r="D25" s="168"/>
      <c r="E25" s="169"/>
      <c r="F25" s="170"/>
      <c r="G25" s="169"/>
      <c r="H25" s="179"/>
    </row>
    <row r="26" spans="1:10" ht="35" customHeight="1">
      <c r="A26" s="198"/>
      <c r="B26" s="194"/>
      <c r="C26" s="165" t="s">
        <v>1715</v>
      </c>
      <c r="D26" s="165"/>
      <c r="E26" s="242" t="s">
        <v>1709</v>
      </c>
      <c r="F26" s="238"/>
      <c r="G26" s="171">
        <f>C24+E24+F24+C27</f>
        <v>0</v>
      </c>
      <c r="H26" s="200"/>
    </row>
    <row r="27" spans="1:10" ht="26" customHeight="1">
      <c r="A27" s="198"/>
      <c r="B27" s="89"/>
      <c r="C27" s="235">
        <f>'Eivy 22-23 Drop Two'!I465</f>
        <v>0</v>
      </c>
      <c r="D27" s="236"/>
      <c r="E27" s="168"/>
      <c r="F27" s="168"/>
      <c r="G27" s="172"/>
      <c r="H27" s="203"/>
      <c r="I27" s="122"/>
      <c r="J27" s="122"/>
    </row>
    <row r="28" spans="1:10" s="84" customFormat="1" ht="20" customHeight="1">
      <c r="A28" s="201"/>
      <c r="B28" s="194"/>
      <c r="C28" s="202"/>
      <c r="D28" s="202"/>
      <c r="E28" s="169"/>
      <c r="F28" s="170"/>
      <c r="G28" s="169"/>
      <c r="H28" s="179"/>
      <c r="I28" s="123"/>
      <c r="J28" s="123"/>
    </row>
    <row r="29" spans="1:10" ht="5" customHeight="1">
      <c r="A29" s="204"/>
      <c r="B29" s="191"/>
      <c r="C29" s="205"/>
      <c r="D29" s="205"/>
      <c r="E29" s="205"/>
      <c r="F29" s="205"/>
      <c r="G29" s="205"/>
      <c r="H29" s="200"/>
    </row>
    <row r="30" spans="1:10" ht="17" customHeight="1">
      <c r="A30" s="204"/>
      <c r="B30" s="191"/>
      <c r="C30" s="205"/>
      <c r="D30" s="205"/>
      <c r="E30" s="237" t="s">
        <v>1710</v>
      </c>
      <c r="F30" s="238"/>
      <c r="G30" s="239">
        <f>G26+G19</f>
        <v>0</v>
      </c>
      <c r="H30" s="200"/>
    </row>
    <row r="31" spans="1:10">
      <c r="A31" s="198"/>
      <c r="B31" s="191"/>
      <c r="C31" s="205"/>
      <c r="D31" s="205"/>
      <c r="E31" s="237"/>
      <c r="F31" s="238"/>
      <c r="G31" s="240"/>
      <c r="H31" s="200"/>
    </row>
    <row r="32" spans="1:10">
      <c r="A32" s="206"/>
      <c r="B32" s="207"/>
      <c r="C32" s="243"/>
      <c r="D32" s="243"/>
      <c r="E32" s="208"/>
      <c r="F32" s="243"/>
      <c r="G32" s="243"/>
      <c r="H32" s="209"/>
    </row>
    <row r="33" spans="1:8">
      <c r="A33" s="83"/>
      <c r="C33" s="166"/>
      <c r="D33" s="166"/>
      <c r="F33" s="166"/>
      <c r="G33" s="166"/>
    </row>
    <row r="34" spans="1:8" ht="17">
      <c r="A34" s="210"/>
      <c r="B34" s="211" t="s">
        <v>1720</v>
      </c>
      <c r="C34" s="212"/>
      <c r="D34" s="212"/>
      <c r="E34" s="212"/>
      <c r="F34" s="212"/>
      <c r="G34" s="212"/>
      <c r="H34" s="213"/>
    </row>
    <row r="35" spans="1:8">
      <c r="A35" s="204"/>
      <c r="H35" s="200"/>
    </row>
    <row r="36" spans="1:8">
      <c r="A36" s="204"/>
      <c r="H36" s="200"/>
    </row>
    <row r="37" spans="1:8">
      <c r="A37" s="204"/>
      <c r="H37" s="200"/>
    </row>
    <row r="38" spans="1:8">
      <c r="A38" s="204"/>
      <c r="H38" s="200"/>
    </row>
    <row r="39" spans="1:8">
      <c r="A39" s="204"/>
      <c r="H39" s="200"/>
    </row>
    <row r="40" spans="1:8">
      <c r="A40" s="204"/>
      <c r="H40" s="200"/>
    </row>
    <row r="41" spans="1:8">
      <c r="A41" s="204"/>
      <c r="H41" s="200"/>
    </row>
    <row r="42" spans="1:8">
      <c r="A42" s="214"/>
      <c r="B42" s="215"/>
      <c r="C42" s="216"/>
      <c r="D42" s="216"/>
      <c r="E42" s="216"/>
      <c r="F42" s="216"/>
      <c r="G42" s="216"/>
      <c r="H42" s="209"/>
    </row>
    <row r="43" spans="1:8">
      <c r="B43" s="217"/>
      <c r="C43" s="88"/>
      <c r="D43" s="231"/>
      <c r="E43" s="231"/>
      <c r="F43" s="137"/>
      <c r="G43" s="231"/>
      <c r="H43" s="231"/>
    </row>
    <row r="44" spans="1:8" ht="17">
      <c r="A44" s="218"/>
      <c r="B44" s="211" t="s">
        <v>1721</v>
      </c>
      <c r="C44" s="219"/>
      <c r="D44" s="219"/>
      <c r="E44" s="219"/>
      <c r="F44" s="219"/>
      <c r="G44" s="219"/>
      <c r="H44" s="220"/>
    </row>
    <row r="45" spans="1:8">
      <c r="A45" s="232" t="s">
        <v>1722</v>
      </c>
      <c r="B45" s="233"/>
      <c r="C45" s="233"/>
      <c r="D45" s="233"/>
      <c r="E45" s="233"/>
      <c r="F45" s="233"/>
      <c r="G45" s="233"/>
      <c r="H45" s="234"/>
    </row>
    <row r="46" spans="1:8" ht="16" customHeight="1">
      <c r="A46" s="232"/>
      <c r="B46" s="233"/>
      <c r="C46" s="233"/>
      <c r="D46" s="233"/>
      <c r="E46" s="233"/>
      <c r="F46" s="233"/>
      <c r="G46" s="233"/>
      <c r="H46" s="234"/>
    </row>
    <row r="47" spans="1:8" ht="17" customHeight="1">
      <c r="A47" s="232"/>
      <c r="B47" s="233"/>
      <c r="C47" s="233"/>
      <c r="D47" s="233"/>
      <c r="E47" s="233"/>
      <c r="F47" s="233"/>
      <c r="G47" s="233"/>
      <c r="H47" s="234"/>
    </row>
    <row r="48" spans="1:8">
      <c r="A48" s="221"/>
      <c r="B48" s="222"/>
      <c r="C48" s="223"/>
      <c r="D48" s="223"/>
      <c r="E48" s="223"/>
      <c r="F48" s="223"/>
      <c r="G48" s="223"/>
      <c r="H48" s="224"/>
    </row>
  </sheetData>
  <mergeCells count="21">
    <mergeCell ref="B2:H2"/>
    <mergeCell ref="F4:G4"/>
    <mergeCell ref="E6:E7"/>
    <mergeCell ref="F6:G7"/>
    <mergeCell ref="F9:G11"/>
    <mergeCell ref="D43:E43"/>
    <mergeCell ref="G43:H43"/>
    <mergeCell ref="A45:H47"/>
    <mergeCell ref="C17:D17"/>
    <mergeCell ref="F17:G17"/>
    <mergeCell ref="E19:F20"/>
    <mergeCell ref="G19:G20"/>
    <mergeCell ref="C24:D24"/>
    <mergeCell ref="F24:G24"/>
    <mergeCell ref="C27:D27"/>
    <mergeCell ref="C20:D20"/>
    <mergeCell ref="E30:F31"/>
    <mergeCell ref="G30:G31"/>
    <mergeCell ref="E26:F26"/>
    <mergeCell ref="C32:D32"/>
    <mergeCell ref="F32:G3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F417F-CD2E-4F4E-8A30-E2105C4A22AD}">
  <dimension ref="A1:D48"/>
  <sheetViews>
    <sheetView showGridLines="0" tabSelected="1" topLeftCell="A3" zoomScale="110" zoomScaleNormal="110" workbookViewId="0">
      <selection activeCell="F7" sqref="F7"/>
    </sheetView>
  </sheetViews>
  <sheetFormatPr baseColWidth="10" defaultRowHeight="12" customHeight="1"/>
  <cols>
    <col min="1" max="1" width="1.5" style="29" customWidth="1"/>
    <col min="2" max="2" width="58.5" style="76" customWidth="1"/>
    <col min="3" max="4" width="12.83203125" style="76" customWidth="1"/>
    <col min="5" max="16384" width="10.83203125" style="29"/>
  </cols>
  <sheetData>
    <row r="1" spans="1:4" ht="14">
      <c r="B1" s="30"/>
      <c r="C1" s="31"/>
      <c r="D1" s="32"/>
    </row>
    <row r="2" spans="1:4" ht="14">
      <c r="B2" s="260" t="s">
        <v>1655</v>
      </c>
      <c r="C2" s="261"/>
      <c r="D2" s="262"/>
    </row>
    <row r="3" spans="1:4" ht="14">
      <c r="B3" s="263"/>
      <c r="C3" s="264"/>
      <c r="D3" s="265"/>
    </row>
    <row r="4" spans="1:4" ht="14">
      <c r="B4" s="33"/>
      <c r="C4" s="33"/>
      <c r="D4" s="33"/>
    </row>
    <row r="5" spans="1:4" s="37" customFormat="1" ht="14">
      <c r="A5" s="34"/>
      <c r="B5" s="35"/>
      <c r="C5" s="36" t="s">
        <v>1656</v>
      </c>
      <c r="D5" s="36" t="s">
        <v>1657</v>
      </c>
    </row>
    <row r="6" spans="1:4" ht="14">
      <c r="B6" s="38" t="s">
        <v>1658</v>
      </c>
      <c r="C6" s="39" t="s">
        <v>1659</v>
      </c>
      <c r="D6" s="40">
        <v>0.03</v>
      </c>
    </row>
    <row r="7" spans="1:4" ht="14">
      <c r="B7" s="41" t="s">
        <v>1660</v>
      </c>
      <c r="C7" s="39" t="s">
        <v>1661</v>
      </c>
      <c r="D7" s="40">
        <v>0.05</v>
      </c>
    </row>
    <row r="8" spans="1:4" ht="14">
      <c r="B8" s="42" t="s">
        <v>1662</v>
      </c>
      <c r="C8" s="39" t="s">
        <v>1663</v>
      </c>
      <c r="D8" s="40">
        <v>7.0000000000000007E-2</v>
      </c>
    </row>
    <row r="9" spans="1:4" ht="14">
      <c r="B9" s="43"/>
      <c r="C9" s="44"/>
      <c r="D9" s="45"/>
    </row>
    <row r="10" spans="1:4" s="37" customFormat="1" ht="9">
      <c r="B10" s="35" t="s">
        <v>1664</v>
      </c>
      <c r="C10" s="46"/>
      <c r="D10" s="47"/>
    </row>
    <row r="11" spans="1:4" ht="14">
      <c r="B11" s="48" t="s">
        <v>1665</v>
      </c>
      <c r="C11" s="32"/>
      <c r="D11" s="49"/>
    </row>
    <row r="12" spans="1:4" ht="14">
      <c r="B12" s="50" t="s">
        <v>1666</v>
      </c>
      <c r="C12" s="32"/>
      <c r="D12" s="49"/>
    </row>
    <row r="13" spans="1:4" ht="14">
      <c r="B13" s="50" t="s">
        <v>1667</v>
      </c>
      <c r="C13" s="32"/>
      <c r="D13" s="49"/>
    </row>
    <row r="14" spans="1:4" ht="14">
      <c r="B14" s="48" t="s">
        <v>1668</v>
      </c>
      <c r="C14" s="32"/>
      <c r="D14" s="49"/>
    </row>
    <row r="15" spans="1:4" ht="14">
      <c r="B15" s="48" t="s">
        <v>1669</v>
      </c>
      <c r="C15" s="32"/>
      <c r="D15" s="49"/>
    </row>
    <row r="16" spans="1:4" ht="14">
      <c r="B16" s="48" t="s">
        <v>1670</v>
      </c>
      <c r="C16" s="32"/>
      <c r="D16" s="49"/>
    </row>
    <row r="17" spans="2:4" ht="14">
      <c r="B17" s="48" t="s">
        <v>1744</v>
      </c>
      <c r="C17" s="32"/>
      <c r="D17" s="49"/>
    </row>
    <row r="18" spans="2:4" ht="14">
      <c r="B18" s="48" t="s">
        <v>1671</v>
      </c>
      <c r="C18" s="32"/>
      <c r="D18" s="49"/>
    </row>
    <row r="19" spans="2:4" ht="14">
      <c r="B19" s="48" t="s">
        <v>1672</v>
      </c>
      <c r="C19" s="32"/>
      <c r="D19" s="49"/>
    </row>
    <row r="20" spans="2:4" ht="14">
      <c r="B20" s="48" t="s">
        <v>1718</v>
      </c>
      <c r="C20" s="32"/>
      <c r="D20" s="49"/>
    </row>
    <row r="21" spans="2:4" ht="14">
      <c r="B21" s="50" t="s">
        <v>1673</v>
      </c>
      <c r="C21" s="32"/>
      <c r="D21" s="49"/>
    </row>
    <row r="22" spans="2:4" ht="14">
      <c r="B22" s="48" t="s">
        <v>1674</v>
      </c>
      <c r="C22" s="32"/>
      <c r="D22" s="49"/>
    </row>
    <row r="23" spans="2:4" ht="14">
      <c r="B23" s="48" t="s">
        <v>1675</v>
      </c>
      <c r="C23" s="32"/>
      <c r="D23" s="49"/>
    </row>
    <row r="24" spans="2:4" ht="14">
      <c r="B24" s="125" t="s">
        <v>1694</v>
      </c>
      <c r="C24" s="32"/>
      <c r="D24" s="49"/>
    </row>
    <row r="25" spans="2:4" ht="14">
      <c r="B25" s="48" t="s">
        <v>1676</v>
      </c>
      <c r="C25" s="32"/>
      <c r="D25" s="49"/>
    </row>
    <row r="26" spans="2:4" ht="14">
      <c r="B26" s="48" t="s">
        <v>1677</v>
      </c>
      <c r="C26" s="32"/>
      <c r="D26" s="49"/>
    </row>
    <row r="27" spans="2:4" ht="14">
      <c r="B27" s="48" t="s">
        <v>1678</v>
      </c>
      <c r="C27" s="32"/>
      <c r="D27" s="49"/>
    </row>
    <row r="28" spans="2:4" ht="14">
      <c r="B28" s="51" t="s">
        <v>1679</v>
      </c>
      <c r="C28" s="52"/>
      <c r="D28" s="53"/>
    </row>
    <row r="29" spans="2:4" ht="14">
      <c r="B29" s="54"/>
      <c r="C29" s="44"/>
      <c r="D29" s="45"/>
    </row>
    <row r="30" spans="2:4" s="37" customFormat="1" ht="9">
      <c r="B30" s="35" t="s">
        <v>1680</v>
      </c>
      <c r="C30" s="55"/>
      <c r="D30" s="56"/>
    </row>
    <row r="31" spans="2:4" ht="14">
      <c r="B31" s="57" t="s">
        <v>1681</v>
      </c>
      <c r="C31" s="58"/>
      <c r="D31" s="59"/>
    </row>
    <row r="32" spans="2:4" ht="14">
      <c r="B32" s="50" t="s">
        <v>1695</v>
      </c>
      <c r="C32" s="60"/>
      <c r="D32" s="61"/>
    </row>
    <row r="33" spans="2:4" ht="14">
      <c r="B33" s="50" t="s">
        <v>1682</v>
      </c>
      <c r="C33" s="60"/>
      <c r="D33" s="61"/>
    </row>
    <row r="34" spans="2:4" ht="14">
      <c r="B34" s="48" t="s">
        <v>1683</v>
      </c>
      <c r="C34" s="62"/>
      <c r="D34" s="63"/>
    </row>
    <row r="35" spans="2:4" ht="14">
      <c r="B35" s="50" t="s">
        <v>1684</v>
      </c>
      <c r="C35" s="64"/>
      <c r="D35" s="65"/>
    </row>
    <row r="36" spans="2:4" ht="14">
      <c r="B36" s="66" t="s">
        <v>1685</v>
      </c>
      <c r="C36" s="67"/>
      <c r="D36" s="68"/>
    </row>
    <row r="37" spans="2:4" ht="14">
      <c r="B37" s="54"/>
      <c r="C37" s="44"/>
      <c r="D37" s="45"/>
    </row>
    <row r="38" spans="2:4" s="37" customFormat="1" ht="9">
      <c r="B38" s="35" t="s">
        <v>1686</v>
      </c>
      <c r="C38" s="55"/>
      <c r="D38" s="56"/>
    </row>
    <row r="39" spans="2:4" ht="14">
      <c r="B39" s="57" t="s">
        <v>1687</v>
      </c>
      <c r="C39" s="69"/>
      <c r="D39" s="70"/>
    </row>
    <row r="40" spans="2:4" ht="14">
      <c r="B40" s="50" t="s">
        <v>1719</v>
      </c>
      <c r="C40" s="64"/>
      <c r="D40" s="65"/>
    </row>
    <row r="41" spans="2:4" ht="14">
      <c r="B41" s="50" t="s">
        <v>1696</v>
      </c>
      <c r="C41" s="64"/>
      <c r="D41" s="65"/>
    </row>
    <row r="42" spans="2:4" ht="14">
      <c r="B42" s="50" t="s">
        <v>1688</v>
      </c>
      <c r="C42" s="64"/>
      <c r="D42" s="65"/>
    </row>
    <row r="43" spans="2:4" ht="14">
      <c r="B43" s="50" t="s">
        <v>1689</v>
      </c>
      <c r="C43" s="64"/>
      <c r="D43" s="65"/>
    </row>
    <row r="44" spans="2:4" ht="14">
      <c r="B44" s="66" t="s">
        <v>1690</v>
      </c>
      <c r="C44" s="67"/>
      <c r="D44" s="68"/>
    </row>
    <row r="45" spans="2:4" ht="14">
      <c r="B45" s="54"/>
      <c r="C45" s="44"/>
      <c r="D45" s="45"/>
    </row>
    <row r="46" spans="2:4" s="37" customFormat="1" ht="9">
      <c r="B46" s="35" t="s">
        <v>1691</v>
      </c>
      <c r="C46" s="55"/>
      <c r="D46" s="56"/>
    </row>
    <row r="47" spans="2:4" ht="14">
      <c r="B47" s="71" t="s">
        <v>1692</v>
      </c>
      <c r="C47" s="72"/>
      <c r="D47" s="73"/>
    </row>
    <row r="48" spans="2:4" ht="14">
      <c r="B48" s="74" t="s">
        <v>1693</v>
      </c>
      <c r="C48" s="75"/>
      <c r="D48" s="75"/>
    </row>
  </sheetData>
  <mergeCells count="1">
    <mergeCell ref="B2:D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D7FD"/>
    <pageSetUpPr fitToPage="1"/>
  </sheetPr>
  <dimension ref="A1:N895"/>
  <sheetViews>
    <sheetView showGridLines="0" zoomScaleNormal="100" workbookViewId="0">
      <pane ySplit="1" topLeftCell="A2" activePane="bottomLeft" state="frozen"/>
      <selection pane="bottomLeft" activeCell="D20" sqref="D20"/>
    </sheetView>
  </sheetViews>
  <sheetFormatPr baseColWidth="10" defaultRowHeight="16"/>
  <cols>
    <col min="1" max="1" width="20" style="13" customWidth="1"/>
    <col min="2" max="2" width="17.83203125" style="13" customWidth="1"/>
    <col min="3" max="3" width="30.83203125" style="13" customWidth="1"/>
    <col min="4" max="4" width="19.83203125" style="13" customWidth="1"/>
    <col min="5" max="5" width="10.1640625" style="13" customWidth="1"/>
    <col min="6" max="6" width="15.83203125" style="146" customWidth="1"/>
    <col min="7" max="7" width="14.83203125" style="14" customWidth="1"/>
    <col min="8" max="8" width="14.83203125" style="23" customWidth="1"/>
    <col min="9" max="9" width="14.83203125" style="28" customWidth="1"/>
    <col min="10" max="16384" width="10.83203125" style="13"/>
  </cols>
  <sheetData>
    <row r="1" spans="1:14" s="11" customFormat="1">
      <c r="A1" s="25" t="s">
        <v>2</v>
      </c>
      <c r="B1" s="24" t="s">
        <v>5</v>
      </c>
      <c r="C1" s="24" t="s">
        <v>4</v>
      </c>
      <c r="D1" s="24" t="s">
        <v>1</v>
      </c>
      <c r="E1" s="24" t="s">
        <v>3</v>
      </c>
      <c r="F1" s="138" t="s">
        <v>1712</v>
      </c>
      <c r="G1" s="20" t="s">
        <v>1713</v>
      </c>
      <c r="H1" s="20" t="s">
        <v>801</v>
      </c>
      <c r="I1" s="20" t="s">
        <v>1654</v>
      </c>
      <c r="J1" s="27"/>
      <c r="K1" s="27"/>
      <c r="L1" s="5"/>
      <c r="M1" s="5"/>
    </row>
    <row r="2" spans="1:14" s="11" customFormat="1">
      <c r="A2" s="25" t="s">
        <v>1708</v>
      </c>
      <c r="B2" s="24"/>
      <c r="C2" s="24"/>
      <c r="D2" s="24"/>
      <c r="E2" s="24"/>
      <c r="F2" s="138"/>
      <c r="G2" s="20"/>
      <c r="H2" s="20"/>
      <c r="I2" s="20"/>
      <c r="J2" s="27"/>
      <c r="K2" s="27"/>
      <c r="L2" s="5"/>
      <c r="M2" s="5"/>
    </row>
    <row r="3" spans="1:14" s="6" customFormat="1">
      <c r="A3" s="26" t="s">
        <v>65</v>
      </c>
      <c r="B3" s="77" t="s">
        <v>777</v>
      </c>
      <c r="C3" s="78" t="s">
        <v>12</v>
      </c>
      <c r="D3" s="78" t="s">
        <v>34</v>
      </c>
      <c r="E3" s="127" t="s">
        <v>388</v>
      </c>
      <c r="F3" s="139">
        <v>47.5</v>
      </c>
      <c r="G3" s="130">
        <v>94.95</v>
      </c>
      <c r="H3" s="128"/>
      <c r="I3" s="129">
        <f t="shared" ref="I3:I73" si="0">F3*H3</f>
        <v>0</v>
      </c>
      <c r="J3" s="1"/>
      <c r="K3" s="1"/>
      <c r="L3" s="1"/>
      <c r="M3" s="1"/>
      <c r="N3" s="1"/>
    </row>
    <row r="4" spans="1:14" s="6" customFormat="1">
      <c r="A4" s="26" t="s">
        <v>66</v>
      </c>
      <c r="B4" s="77" t="s">
        <v>778</v>
      </c>
      <c r="C4" s="78" t="s">
        <v>12</v>
      </c>
      <c r="D4" s="78" t="s">
        <v>34</v>
      </c>
      <c r="E4" s="127" t="s">
        <v>24</v>
      </c>
      <c r="F4" s="139">
        <v>47.5</v>
      </c>
      <c r="G4" s="130">
        <v>94.95</v>
      </c>
      <c r="H4" s="128"/>
      <c r="I4" s="129">
        <f t="shared" si="0"/>
        <v>0</v>
      </c>
      <c r="J4" s="1"/>
      <c r="K4" s="1"/>
      <c r="L4" s="1"/>
      <c r="M4" s="1"/>
      <c r="N4" s="1"/>
    </row>
    <row r="5" spans="1:14" s="150" customFormat="1">
      <c r="A5" s="147" t="s">
        <v>67</v>
      </c>
      <c r="B5" s="148" t="s">
        <v>779</v>
      </c>
      <c r="C5" s="127" t="s">
        <v>12</v>
      </c>
      <c r="D5" s="127" t="s">
        <v>34</v>
      </c>
      <c r="E5" s="127" t="s">
        <v>25</v>
      </c>
      <c r="F5" s="139">
        <v>47.5</v>
      </c>
      <c r="G5" s="130">
        <v>94.95</v>
      </c>
      <c r="H5" s="128"/>
      <c r="I5" s="129">
        <f t="shared" si="0"/>
        <v>0</v>
      </c>
      <c r="J5" s="149"/>
      <c r="K5" s="149"/>
      <c r="L5" s="149"/>
      <c r="M5" s="149"/>
      <c r="N5" s="149"/>
    </row>
    <row r="6" spans="1:14" s="149" customFormat="1">
      <c r="A6" s="147" t="s">
        <v>68</v>
      </c>
      <c r="B6" s="148" t="s">
        <v>780</v>
      </c>
      <c r="C6" s="127" t="s">
        <v>12</v>
      </c>
      <c r="D6" s="127" t="s">
        <v>34</v>
      </c>
      <c r="E6" s="127" t="s">
        <v>26</v>
      </c>
      <c r="F6" s="139">
        <v>47.5</v>
      </c>
      <c r="G6" s="130">
        <v>94.95</v>
      </c>
      <c r="H6" s="128"/>
      <c r="I6" s="129">
        <f t="shared" si="0"/>
        <v>0</v>
      </c>
    </row>
    <row r="7" spans="1:14" s="149" customFormat="1">
      <c r="A7" s="147" t="s">
        <v>69</v>
      </c>
      <c r="B7" s="148" t="s">
        <v>781</v>
      </c>
      <c r="C7" s="127" t="s">
        <v>12</v>
      </c>
      <c r="D7" s="127" t="s">
        <v>34</v>
      </c>
      <c r="E7" s="127" t="s">
        <v>27</v>
      </c>
      <c r="F7" s="139">
        <v>47.5</v>
      </c>
      <c r="G7" s="130">
        <v>94.95</v>
      </c>
      <c r="H7" s="128"/>
      <c r="I7" s="129">
        <f t="shared" si="0"/>
        <v>0</v>
      </c>
    </row>
    <row r="8" spans="1:14" s="149" customFormat="1">
      <c r="A8" s="147" t="s">
        <v>70</v>
      </c>
      <c r="B8" s="148" t="s">
        <v>782</v>
      </c>
      <c r="C8" s="127" t="s">
        <v>12</v>
      </c>
      <c r="D8" s="127" t="s">
        <v>34</v>
      </c>
      <c r="E8" s="127" t="s">
        <v>28</v>
      </c>
      <c r="F8" s="139">
        <v>47.5</v>
      </c>
      <c r="G8" s="130">
        <v>94.95</v>
      </c>
      <c r="H8" s="128"/>
      <c r="I8" s="129">
        <f t="shared" si="0"/>
        <v>0</v>
      </c>
    </row>
    <row r="9" spans="1:14" s="149" customFormat="1">
      <c r="A9" s="147" t="s">
        <v>71</v>
      </c>
      <c r="B9" s="148" t="s">
        <v>783</v>
      </c>
      <c r="C9" s="127" t="s">
        <v>12</v>
      </c>
      <c r="D9" s="127" t="s">
        <v>34</v>
      </c>
      <c r="E9" s="127" t="s">
        <v>35</v>
      </c>
      <c r="F9" s="139">
        <v>47.5</v>
      </c>
      <c r="G9" s="130">
        <v>94.95</v>
      </c>
      <c r="H9" s="128"/>
      <c r="I9" s="129">
        <f t="shared" si="0"/>
        <v>0</v>
      </c>
    </row>
    <row r="10" spans="1:14" s="149" customFormat="1">
      <c r="A10" s="147" t="s">
        <v>72</v>
      </c>
      <c r="B10" s="151" t="s">
        <v>792</v>
      </c>
      <c r="C10" s="127" t="s">
        <v>13</v>
      </c>
      <c r="D10" s="127" t="s">
        <v>34</v>
      </c>
      <c r="E10" s="127" t="s">
        <v>388</v>
      </c>
      <c r="F10" s="139">
        <v>42.5</v>
      </c>
      <c r="G10" s="130">
        <v>84.95</v>
      </c>
      <c r="H10" s="128"/>
      <c r="I10" s="129">
        <f t="shared" si="0"/>
        <v>0</v>
      </c>
    </row>
    <row r="11" spans="1:14" s="149" customFormat="1">
      <c r="A11" s="147" t="s">
        <v>73</v>
      </c>
      <c r="B11" s="151" t="s">
        <v>793</v>
      </c>
      <c r="C11" s="127" t="s">
        <v>13</v>
      </c>
      <c r="D11" s="127" t="s">
        <v>34</v>
      </c>
      <c r="E11" s="127" t="s">
        <v>24</v>
      </c>
      <c r="F11" s="139">
        <v>42.5</v>
      </c>
      <c r="G11" s="130">
        <v>84.95</v>
      </c>
      <c r="H11" s="128"/>
      <c r="I11" s="129">
        <f t="shared" si="0"/>
        <v>0</v>
      </c>
    </row>
    <row r="12" spans="1:14" s="149" customFormat="1">
      <c r="A12" s="147" t="s">
        <v>74</v>
      </c>
      <c r="B12" s="151" t="s">
        <v>794</v>
      </c>
      <c r="C12" s="127" t="s">
        <v>13</v>
      </c>
      <c r="D12" s="127" t="s">
        <v>34</v>
      </c>
      <c r="E12" s="127" t="s">
        <v>25</v>
      </c>
      <c r="F12" s="139">
        <v>42.5</v>
      </c>
      <c r="G12" s="130">
        <v>84.95</v>
      </c>
      <c r="H12" s="128"/>
      <c r="I12" s="129">
        <f t="shared" si="0"/>
        <v>0</v>
      </c>
    </row>
    <row r="13" spans="1:14" s="149" customFormat="1">
      <c r="A13" s="147" t="s">
        <v>75</v>
      </c>
      <c r="B13" s="151" t="s">
        <v>795</v>
      </c>
      <c r="C13" s="127" t="s">
        <v>13</v>
      </c>
      <c r="D13" s="127" t="s">
        <v>34</v>
      </c>
      <c r="E13" s="127" t="s">
        <v>26</v>
      </c>
      <c r="F13" s="139">
        <v>42.5</v>
      </c>
      <c r="G13" s="130">
        <v>84.95</v>
      </c>
      <c r="H13" s="128"/>
      <c r="I13" s="129">
        <f t="shared" si="0"/>
        <v>0</v>
      </c>
    </row>
    <row r="14" spans="1:14" s="149" customFormat="1">
      <c r="A14" s="147" t="s">
        <v>76</v>
      </c>
      <c r="B14" s="151" t="s">
        <v>796</v>
      </c>
      <c r="C14" s="127" t="s">
        <v>13</v>
      </c>
      <c r="D14" s="127" t="s">
        <v>34</v>
      </c>
      <c r="E14" s="127" t="s">
        <v>27</v>
      </c>
      <c r="F14" s="139">
        <v>42.5</v>
      </c>
      <c r="G14" s="130">
        <v>84.95</v>
      </c>
      <c r="H14" s="128"/>
      <c r="I14" s="129">
        <f t="shared" si="0"/>
        <v>0</v>
      </c>
    </row>
    <row r="15" spans="1:14" s="149" customFormat="1">
      <c r="A15" s="147" t="s">
        <v>77</v>
      </c>
      <c r="B15" s="151" t="s">
        <v>797</v>
      </c>
      <c r="C15" s="127" t="s">
        <v>13</v>
      </c>
      <c r="D15" s="127" t="s">
        <v>34</v>
      </c>
      <c r="E15" s="127" t="s">
        <v>28</v>
      </c>
      <c r="F15" s="139">
        <v>42.5</v>
      </c>
      <c r="G15" s="130">
        <v>84.95</v>
      </c>
      <c r="H15" s="128"/>
      <c r="I15" s="129">
        <f t="shared" si="0"/>
        <v>0</v>
      </c>
    </row>
    <row r="16" spans="1:14" s="149" customFormat="1">
      <c r="A16" s="147" t="s">
        <v>78</v>
      </c>
      <c r="B16" s="151" t="s">
        <v>798</v>
      </c>
      <c r="C16" s="127" t="s">
        <v>13</v>
      </c>
      <c r="D16" s="127" t="s">
        <v>34</v>
      </c>
      <c r="E16" s="127" t="s">
        <v>35</v>
      </c>
      <c r="F16" s="139">
        <v>42.5</v>
      </c>
      <c r="G16" s="130">
        <v>84.95</v>
      </c>
      <c r="H16" s="128"/>
      <c r="I16" s="129">
        <f t="shared" si="0"/>
        <v>0</v>
      </c>
    </row>
    <row r="17" spans="1:9" s="149" customFormat="1">
      <c r="A17" s="147" t="s">
        <v>79</v>
      </c>
      <c r="B17" s="151" t="s">
        <v>595</v>
      </c>
      <c r="C17" s="127" t="s">
        <v>36</v>
      </c>
      <c r="D17" s="127" t="s">
        <v>0</v>
      </c>
      <c r="E17" s="127" t="s">
        <v>388</v>
      </c>
      <c r="F17" s="139">
        <v>25</v>
      </c>
      <c r="G17" s="130">
        <v>49.95</v>
      </c>
      <c r="H17" s="128"/>
      <c r="I17" s="129">
        <f t="shared" si="0"/>
        <v>0</v>
      </c>
    </row>
    <row r="18" spans="1:9" s="149" customFormat="1">
      <c r="A18" s="147" t="s">
        <v>80</v>
      </c>
      <c r="B18" s="151" t="s">
        <v>596</v>
      </c>
      <c r="C18" s="127" t="s">
        <v>36</v>
      </c>
      <c r="D18" s="127" t="s">
        <v>0</v>
      </c>
      <c r="E18" s="127" t="s">
        <v>24</v>
      </c>
      <c r="F18" s="139">
        <v>25</v>
      </c>
      <c r="G18" s="130">
        <v>49.95</v>
      </c>
      <c r="H18" s="128"/>
      <c r="I18" s="129">
        <f t="shared" si="0"/>
        <v>0</v>
      </c>
    </row>
    <row r="19" spans="1:9" s="149" customFormat="1">
      <c r="A19" s="147" t="s">
        <v>81</v>
      </c>
      <c r="B19" s="151" t="s">
        <v>597</v>
      </c>
      <c r="C19" s="127" t="s">
        <v>36</v>
      </c>
      <c r="D19" s="127" t="s">
        <v>0</v>
      </c>
      <c r="E19" s="127" t="s">
        <v>25</v>
      </c>
      <c r="F19" s="139">
        <v>25</v>
      </c>
      <c r="G19" s="130">
        <v>49.95</v>
      </c>
      <c r="H19" s="128"/>
      <c r="I19" s="129">
        <f t="shared" si="0"/>
        <v>0</v>
      </c>
    </row>
    <row r="20" spans="1:9" s="149" customFormat="1">
      <c r="A20" s="147" t="s">
        <v>82</v>
      </c>
      <c r="B20" s="151" t="s">
        <v>598</v>
      </c>
      <c r="C20" s="127" t="s">
        <v>36</v>
      </c>
      <c r="D20" s="127" t="s">
        <v>0</v>
      </c>
      <c r="E20" s="127" t="s">
        <v>26</v>
      </c>
      <c r="F20" s="139">
        <v>25</v>
      </c>
      <c r="G20" s="130">
        <v>49.95</v>
      </c>
      <c r="H20" s="128"/>
      <c r="I20" s="129">
        <f t="shared" si="0"/>
        <v>0</v>
      </c>
    </row>
    <row r="21" spans="1:9" s="149" customFormat="1">
      <c r="A21" s="147" t="s">
        <v>83</v>
      </c>
      <c r="B21" s="151" t="s">
        <v>599</v>
      </c>
      <c r="C21" s="127" t="s">
        <v>36</v>
      </c>
      <c r="D21" s="127" t="s">
        <v>0</v>
      </c>
      <c r="E21" s="127" t="s">
        <v>27</v>
      </c>
      <c r="F21" s="139">
        <v>25</v>
      </c>
      <c r="G21" s="130">
        <v>49.95</v>
      </c>
      <c r="H21" s="128"/>
      <c r="I21" s="129">
        <f t="shared" si="0"/>
        <v>0</v>
      </c>
    </row>
    <row r="22" spans="1:9" s="149" customFormat="1">
      <c r="A22" s="147" t="s">
        <v>84</v>
      </c>
      <c r="B22" s="151" t="s">
        <v>600</v>
      </c>
      <c r="C22" s="127" t="s">
        <v>36</v>
      </c>
      <c r="D22" s="127" t="s">
        <v>0</v>
      </c>
      <c r="E22" s="127" t="s">
        <v>28</v>
      </c>
      <c r="F22" s="139">
        <v>25</v>
      </c>
      <c r="G22" s="130">
        <v>49.95</v>
      </c>
      <c r="H22" s="128"/>
      <c r="I22" s="129">
        <f t="shared" si="0"/>
        <v>0</v>
      </c>
    </row>
    <row r="23" spans="1:9" s="149" customFormat="1">
      <c r="A23" s="147" t="s">
        <v>85</v>
      </c>
      <c r="B23" s="151" t="s">
        <v>601</v>
      </c>
      <c r="C23" s="127" t="s">
        <v>36</v>
      </c>
      <c r="D23" s="127" t="s">
        <v>0</v>
      </c>
      <c r="E23" s="127" t="s">
        <v>35</v>
      </c>
      <c r="F23" s="139">
        <v>25</v>
      </c>
      <c r="G23" s="130">
        <v>49.95</v>
      </c>
      <c r="H23" s="128"/>
      <c r="I23" s="129">
        <f t="shared" si="0"/>
        <v>0</v>
      </c>
    </row>
    <row r="24" spans="1:9" s="149" customFormat="1">
      <c r="A24" s="225" t="s">
        <v>1730</v>
      </c>
      <c r="B24" s="226" t="s">
        <v>1723</v>
      </c>
      <c r="C24" s="227" t="s">
        <v>38</v>
      </c>
      <c r="D24" s="228" t="s">
        <v>0</v>
      </c>
      <c r="E24" s="227" t="s">
        <v>388</v>
      </c>
      <c r="F24" s="139">
        <v>42.5</v>
      </c>
      <c r="G24" s="130">
        <v>84.95</v>
      </c>
      <c r="H24" s="128"/>
      <c r="I24" s="129">
        <f t="shared" si="0"/>
        <v>0</v>
      </c>
    </row>
    <row r="25" spans="1:9" s="149" customFormat="1">
      <c r="A25" s="225" t="s">
        <v>1731</v>
      </c>
      <c r="B25" s="226" t="s">
        <v>1724</v>
      </c>
      <c r="C25" s="227" t="s">
        <v>38</v>
      </c>
      <c r="D25" s="228" t="s">
        <v>0</v>
      </c>
      <c r="E25" s="227" t="s">
        <v>24</v>
      </c>
      <c r="F25" s="139">
        <v>42.5</v>
      </c>
      <c r="G25" s="130">
        <v>84.95</v>
      </c>
      <c r="H25" s="128"/>
      <c r="I25" s="129">
        <f t="shared" si="0"/>
        <v>0</v>
      </c>
    </row>
    <row r="26" spans="1:9" s="149" customFormat="1">
      <c r="A26" s="225" t="s">
        <v>1732</v>
      </c>
      <c r="B26" s="226" t="s">
        <v>1725</v>
      </c>
      <c r="C26" s="227" t="s">
        <v>38</v>
      </c>
      <c r="D26" s="228" t="s">
        <v>0</v>
      </c>
      <c r="E26" s="227" t="s">
        <v>25</v>
      </c>
      <c r="F26" s="139">
        <v>42.5</v>
      </c>
      <c r="G26" s="130">
        <v>84.95</v>
      </c>
      <c r="H26" s="128"/>
      <c r="I26" s="129">
        <f t="shared" si="0"/>
        <v>0</v>
      </c>
    </row>
    <row r="27" spans="1:9" s="149" customFormat="1">
      <c r="A27" s="225" t="s">
        <v>1733</v>
      </c>
      <c r="B27" s="226" t="s">
        <v>1726</v>
      </c>
      <c r="C27" s="227" t="s">
        <v>38</v>
      </c>
      <c r="D27" s="228" t="s">
        <v>0</v>
      </c>
      <c r="E27" s="227" t="s">
        <v>26</v>
      </c>
      <c r="F27" s="139">
        <v>42.5</v>
      </c>
      <c r="G27" s="130">
        <v>84.95</v>
      </c>
      <c r="H27" s="128"/>
      <c r="I27" s="129">
        <f t="shared" si="0"/>
        <v>0</v>
      </c>
    </row>
    <row r="28" spans="1:9" s="149" customFormat="1">
      <c r="A28" s="225" t="s">
        <v>1734</v>
      </c>
      <c r="B28" s="226" t="s">
        <v>1727</v>
      </c>
      <c r="C28" s="227" t="s">
        <v>38</v>
      </c>
      <c r="D28" s="228" t="s">
        <v>0</v>
      </c>
      <c r="E28" s="227" t="s">
        <v>27</v>
      </c>
      <c r="F28" s="139">
        <v>42.5</v>
      </c>
      <c r="G28" s="130">
        <v>84.95</v>
      </c>
      <c r="H28" s="128"/>
      <c r="I28" s="129">
        <f t="shared" si="0"/>
        <v>0</v>
      </c>
    </row>
    <row r="29" spans="1:9" s="149" customFormat="1">
      <c r="A29" s="225" t="s">
        <v>1735</v>
      </c>
      <c r="B29" s="226" t="s">
        <v>1728</v>
      </c>
      <c r="C29" s="227" t="s">
        <v>38</v>
      </c>
      <c r="D29" s="228" t="s">
        <v>0</v>
      </c>
      <c r="E29" s="227" t="s">
        <v>28</v>
      </c>
      <c r="F29" s="139">
        <v>42.5</v>
      </c>
      <c r="G29" s="130">
        <v>84.95</v>
      </c>
      <c r="H29" s="128"/>
      <c r="I29" s="129">
        <f t="shared" si="0"/>
        <v>0</v>
      </c>
    </row>
    <row r="30" spans="1:9" s="149" customFormat="1">
      <c r="A30" s="225" t="s">
        <v>1736</v>
      </c>
      <c r="B30" s="226" t="s">
        <v>1729</v>
      </c>
      <c r="C30" s="227" t="s">
        <v>38</v>
      </c>
      <c r="D30" s="228" t="s">
        <v>0</v>
      </c>
      <c r="E30" s="227" t="s">
        <v>35</v>
      </c>
      <c r="F30" s="139">
        <v>42.5</v>
      </c>
      <c r="G30" s="130">
        <v>84.95</v>
      </c>
      <c r="H30" s="128"/>
      <c r="I30" s="129">
        <f t="shared" si="0"/>
        <v>0</v>
      </c>
    </row>
    <row r="31" spans="1:9" s="149" customFormat="1">
      <c r="A31" s="147" t="s">
        <v>826</v>
      </c>
      <c r="B31" s="152" t="s">
        <v>1193</v>
      </c>
      <c r="C31" s="127" t="s">
        <v>12</v>
      </c>
      <c r="D31" s="127" t="s">
        <v>33</v>
      </c>
      <c r="E31" s="127" t="s">
        <v>388</v>
      </c>
      <c r="F31" s="139">
        <v>47.5</v>
      </c>
      <c r="G31" s="130">
        <v>94.95</v>
      </c>
      <c r="H31" s="128"/>
      <c r="I31" s="129">
        <f t="shared" si="0"/>
        <v>0</v>
      </c>
    </row>
    <row r="32" spans="1:9" s="149" customFormat="1">
      <c r="A32" s="147" t="s">
        <v>827</v>
      </c>
      <c r="B32" s="152" t="s">
        <v>1194</v>
      </c>
      <c r="C32" s="127" t="s">
        <v>12</v>
      </c>
      <c r="D32" s="127" t="s">
        <v>33</v>
      </c>
      <c r="E32" s="127" t="s">
        <v>24</v>
      </c>
      <c r="F32" s="139">
        <v>47.5</v>
      </c>
      <c r="G32" s="130">
        <v>94.95</v>
      </c>
      <c r="H32" s="128"/>
      <c r="I32" s="129">
        <f t="shared" si="0"/>
        <v>0</v>
      </c>
    </row>
    <row r="33" spans="1:9" s="149" customFormat="1">
      <c r="A33" s="147" t="s">
        <v>828</v>
      </c>
      <c r="B33" s="152" t="s">
        <v>1195</v>
      </c>
      <c r="C33" s="127" t="s">
        <v>12</v>
      </c>
      <c r="D33" s="127" t="s">
        <v>33</v>
      </c>
      <c r="E33" s="127" t="s">
        <v>25</v>
      </c>
      <c r="F33" s="139">
        <v>47.5</v>
      </c>
      <c r="G33" s="130">
        <v>94.95</v>
      </c>
      <c r="H33" s="128"/>
      <c r="I33" s="129">
        <f t="shared" si="0"/>
        <v>0</v>
      </c>
    </row>
    <row r="34" spans="1:9" s="149" customFormat="1">
      <c r="A34" s="147" t="s">
        <v>829</v>
      </c>
      <c r="B34" s="152" t="s">
        <v>1196</v>
      </c>
      <c r="C34" s="127" t="s">
        <v>12</v>
      </c>
      <c r="D34" s="127" t="s">
        <v>33</v>
      </c>
      <c r="E34" s="127" t="s">
        <v>26</v>
      </c>
      <c r="F34" s="139">
        <v>47.5</v>
      </c>
      <c r="G34" s="130">
        <v>94.95</v>
      </c>
      <c r="H34" s="128"/>
      <c r="I34" s="129">
        <f t="shared" si="0"/>
        <v>0</v>
      </c>
    </row>
    <row r="35" spans="1:9" s="149" customFormat="1">
      <c r="A35" s="147" t="s">
        <v>830</v>
      </c>
      <c r="B35" s="152" t="s">
        <v>1197</v>
      </c>
      <c r="C35" s="127" t="s">
        <v>12</v>
      </c>
      <c r="D35" s="127" t="s">
        <v>33</v>
      </c>
      <c r="E35" s="127" t="s">
        <v>27</v>
      </c>
      <c r="F35" s="139">
        <v>47.5</v>
      </c>
      <c r="G35" s="130">
        <v>94.95</v>
      </c>
      <c r="H35" s="128"/>
      <c r="I35" s="129">
        <f t="shared" si="0"/>
        <v>0</v>
      </c>
    </row>
    <row r="36" spans="1:9" s="149" customFormat="1">
      <c r="A36" s="147" t="s">
        <v>831</v>
      </c>
      <c r="B36" s="152" t="s">
        <v>1198</v>
      </c>
      <c r="C36" s="127" t="s">
        <v>12</v>
      </c>
      <c r="D36" s="127" t="s">
        <v>33</v>
      </c>
      <c r="E36" s="127" t="s">
        <v>28</v>
      </c>
      <c r="F36" s="139">
        <v>47.5</v>
      </c>
      <c r="G36" s="130">
        <v>94.95</v>
      </c>
      <c r="H36" s="128"/>
      <c r="I36" s="129">
        <f t="shared" si="0"/>
        <v>0</v>
      </c>
    </row>
    <row r="37" spans="1:9" s="149" customFormat="1">
      <c r="A37" s="147" t="s">
        <v>832</v>
      </c>
      <c r="B37" s="152" t="s">
        <v>1199</v>
      </c>
      <c r="C37" s="127" t="s">
        <v>12</v>
      </c>
      <c r="D37" s="127" t="s">
        <v>33</v>
      </c>
      <c r="E37" s="127" t="s">
        <v>35</v>
      </c>
      <c r="F37" s="139">
        <v>47.5</v>
      </c>
      <c r="G37" s="130">
        <v>94.95</v>
      </c>
      <c r="H37" s="128"/>
      <c r="I37" s="129">
        <f t="shared" si="0"/>
        <v>0</v>
      </c>
    </row>
    <row r="38" spans="1:9" s="149" customFormat="1">
      <c r="A38" s="147" t="s">
        <v>833</v>
      </c>
      <c r="B38" s="153" t="s">
        <v>1313</v>
      </c>
      <c r="C38" s="127" t="s">
        <v>13</v>
      </c>
      <c r="D38" s="127" t="s">
        <v>33</v>
      </c>
      <c r="E38" s="127" t="s">
        <v>388</v>
      </c>
      <c r="F38" s="139">
        <v>42.5</v>
      </c>
      <c r="G38" s="130">
        <v>84.95</v>
      </c>
      <c r="H38" s="128"/>
      <c r="I38" s="129">
        <f t="shared" si="0"/>
        <v>0</v>
      </c>
    </row>
    <row r="39" spans="1:9" s="149" customFormat="1">
      <c r="A39" s="147" t="s">
        <v>834</v>
      </c>
      <c r="B39" s="153" t="s">
        <v>1314</v>
      </c>
      <c r="C39" s="127" t="s">
        <v>13</v>
      </c>
      <c r="D39" s="127" t="s">
        <v>33</v>
      </c>
      <c r="E39" s="127" t="s">
        <v>24</v>
      </c>
      <c r="F39" s="139">
        <v>42.5</v>
      </c>
      <c r="G39" s="130">
        <v>84.95</v>
      </c>
      <c r="H39" s="128"/>
      <c r="I39" s="129">
        <f t="shared" si="0"/>
        <v>0</v>
      </c>
    </row>
    <row r="40" spans="1:9" s="149" customFormat="1">
      <c r="A40" s="147" t="s">
        <v>835</v>
      </c>
      <c r="B40" s="153" t="s">
        <v>1315</v>
      </c>
      <c r="C40" s="127" t="s">
        <v>13</v>
      </c>
      <c r="D40" s="127" t="s">
        <v>33</v>
      </c>
      <c r="E40" s="127" t="s">
        <v>25</v>
      </c>
      <c r="F40" s="139">
        <v>42.5</v>
      </c>
      <c r="G40" s="130">
        <v>84.95</v>
      </c>
      <c r="H40" s="128"/>
      <c r="I40" s="129">
        <f t="shared" si="0"/>
        <v>0</v>
      </c>
    </row>
    <row r="41" spans="1:9" s="149" customFormat="1">
      <c r="A41" s="147" t="s">
        <v>836</v>
      </c>
      <c r="B41" s="153" t="s">
        <v>1316</v>
      </c>
      <c r="C41" s="127" t="s">
        <v>13</v>
      </c>
      <c r="D41" s="127" t="s">
        <v>33</v>
      </c>
      <c r="E41" s="127" t="s">
        <v>26</v>
      </c>
      <c r="F41" s="139">
        <v>42.5</v>
      </c>
      <c r="G41" s="130">
        <v>84.95</v>
      </c>
      <c r="H41" s="128"/>
      <c r="I41" s="129">
        <f t="shared" si="0"/>
        <v>0</v>
      </c>
    </row>
    <row r="42" spans="1:9" s="149" customFormat="1">
      <c r="A42" s="147" t="s">
        <v>837</v>
      </c>
      <c r="B42" s="153" t="s">
        <v>1317</v>
      </c>
      <c r="C42" s="127" t="s">
        <v>13</v>
      </c>
      <c r="D42" s="127" t="s">
        <v>33</v>
      </c>
      <c r="E42" s="127" t="s">
        <v>27</v>
      </c>
      <c r="F42" s="139">
        <v>42.5</v>
      </c>
      <c r="G42" s="130">
        <v>84.95</v>
      </c>
      <c r="H42" s="128"/>
      <c r="I42" s="129">
        <f t="shared" si="0"/>
        <v>0</v>
      </c>
    </row>
    <row r="43" spans="1:9" s="149" customFormat="1">
      <c r="A43" s="147" t="s">
        <v>838</v>
      </c>
      <c r="B43" s="153" t="s">
        <v>1318</v>
      </c>
      <c r="C43" s="127" t="s">
        <v>13</v>
      </c>
      <c r="D43" s="127" t="s">
        <v>33</v>
      </c>
      <c r="E43" s="127" t="s">
        <v>28</v>
      </c>
      <c r="F43" s="139">
        <v>42.5</v>
      </c>
      <c r="G43" s="130">
        <v>84.95</v>
      </c>
      <c r="H43" s="128"/>
      <c r="I43" s="129">
        <f t="shared" si="0"/>
        <v>0</v>
      </c>
    </row>
    <row r="44" spans="1:9" s="149" customFormat="1">
      <c r="A44" s="147" t="s">
        <v>839</v>
      </c>
      <c r="B44" s="153" t="s">
        <v>1319</v>
      </c>
      <c r="C44" s="127" t="s">
        <v>13</v>
      </c>
      <c r="D44" s="127" t="s">
        <v>33</v>
      </c>
      <c r="E44" s="127" t="s">
        <v>35</v>
      </c>
      <c r="F44" s="139">
        <v>42.5</v>
      </c>
      <c r="G44" s="130">
        <v>84.95</v>
      </c>
      <c r="H44" s="128"/>
      <c r="I44" s="129">
        <f t="shared" si="0"/>
        <v>0</v>
      </c>
    </row>
    <row r="45" spans="1:9" s="149" customFormat="1">
      <c r="A45" s="147" t="s">
        <v>840</v>
      </c>
      <c r="B45" s="152" t="s">
        <v>1200</v>
      </c>
      <c r="C45" s="127" t="s">
        <v>12</v>
      </c>
      <c r="D45" s="154" t="s">
        <v>18</v>
      </c>
      <c r="E45" s="127" t="s">
        <v>388</v>
      </c>
      <c r="F45" s="139">
        <v>47.5</v>
      </c>
      <c r="G45" s="130">
        <v>94.95</v>
      </c>
      <c r="H45" s="128"/>
      <c r="I45" s="129">
        <f t="shared" si="0"/>
        <v>0</v>
      </c>
    </row>
    <row r="46" spans="1:9" s="149" customFormat="1">
      <c r="A46" s="147" t="s">
        <v>841</v>
      </c>
      <c r="B46" s="152" t="s">
        <v>1201</v>
      </c>
      <c r="C46" s="127" t="s">
        <v>12</v>
      </c>
      <c r="D46" s="154" t="s">
        <v>18</v>
      </c>
      <c r="E46" s="127" t="s">
        <v>24</v>
      </c>
      <c r="F46" s="139">
        <v>47.5</v>
      </c>
      <c r="G46" s="130">
        <v>94.95</v>
      </c>
      <c r="H46" s="128"/>
      <c r="I46" s="129">
        <f t="shared" si="0"/>
        <v>0</v>
      </c>
    </row>
    <row r="47" spans="1:9" s="149" customFormat="1">
      <c r="A47" s="147" t="s">
        <v>842</v>
      </c>
      <c r="B47" s="152" t="s">
        <v>1202</v>
      </c>
      <c r="C47" s="127" t="s">
        <v>12</v>
      </c>
      <c r="D47" s="154" t="s">
        <v>18</v>
      </c>
      <c r="E47" s="127" t="s">
        <v>25</v>
      </c>
      <c r="F47" s="139">
        <v>47.5</v>
      </c>
      <c r="G47" s="130">
        <v>94.95</v>
      </c>
      <c r="H47" s="128"/>
      <c r="I47" s="129">
        <f t="shared" si="0"/>
        <v>0</v>
      </c>
    </row>
    <row r="48" spans="1:9" s="149" customFormat="1">
      <c r="A48" s="147" t="s">
        <v>843</v>
      </c>
      <c r="B48" s="152" t="s">
        <v>1203</v>
      </c>
      <c r="C48" s="127" t="s">
        <v>12</v>
      </c>
      <c r="D48" s="154" t="s">
        <v>18</v>
      </c>
      <c r="E48" s="127" t="s">
        <v>26</v>
      </c>
      <c r="F48" s="139">
        <v>47.5</v>
      </c>
      <c r="G48" s="130">
        <v>94.95</v>
      </c>
      <c r="H48" s="128"/>
      <c r="I48" s="129">
        <f t="shared" si="0"/>
        <v>0</v>
      </c>
    </row>
    <row r="49" spans="1:9" s="149" customFormat="1">
      <c r="A49" s="147" t="s">
        <v>844</v>
      </c>
      <c r="B49" s="152" t="s">
        <v>1204</v>
      </c>
      <c r="C49" s="127" t="s">
        <v>12</v>
      </c>
      <c r="D49" s="154" t="s">
        <v>18</v>
      </c>
      <c r="E49" s="127" t="s">
        <v>27</v>
      </c>
      <c r="F49" s="139">
        <v>47.5</v>
      </c>
      <c r="G49" s="130">
        <v>94.95</v>
      </c>
      <c r="H49" s="128"/>
      <c r="I49" s="129">
        <f t="shared" si="0"/>
        <v>0</v>
      </c>
    </row>
    <row r="50" spans="1:9" s="149" customFormat="1">
      <c r="A50" s="147" t="s">
        <v>845</v>
      </c>
      <c r="B50" s="152" t="s">
        <v>1205</v>
      </c>
      <c r="C50" s="127" t="s">
        <v>12</v>
      </c>
      <c r="D50" s="154" t="s">
        <v>18</v>
      </c>
      <c r="E50" s="127" t="s">
        <v>28</v>
      </c>
      <c r="F50" s="139">
        <v>47.5</v>
      </c>
      <c r="G50" s="130">
        <v>94.95</v>
      </c>
      <c r="H50" s="128"/>
      <c r="I50" s="129">
        <f t="shared" si="0"/>
        <v>0</v>
      </c>
    </row>
    <row r="51" spans="1:9" s="149" customFormat="1">
      <c r="A51" s="147" t="s">
        <v>846</v>
      </c>
      <c r="B51" s="152" t="s">
        <v>1206</v>
      </c>
      <c r="C51" s="127" t="s">
        <v>12</v>
      </c>
      <c r="D51" s="154" t="s">
        <v>18</v>
      </c>
      <c r="E51" s="127" t="s">
        <v>35</v>
      </c>
      <c r="F51" s="139">
        <v>47.5</v>
      </c>
      <c r="G51" s="130">
        <v>94.95</v>
      </c>
      <c r="H51" s="128"/>
      <c r="I51" s="129">
        <f t="shared" si="0"/>
        <v>0</v>
      </c>
    </row>
    <row r="52" spans="1:9" s="149" customFormat="1">
      <c r="A52" s="147" t="s">
        <v>135</v>
      </c>
      <c r="B52" s="148" t="s">
        <v>728</v>
      </c>
      <c r="C52" s="154" t="s">
        <v>800</v>
      </c>
      <c r="D52" s="154" t="s">
        <v>18</v>
      </c>
      <c r="E52" s="127" t="s">
        <v>388</v>
      </c>
      <c r="F52" s="139">
        <v>47.5</v>
      </c>
      <c r="G52" s="130">
        <v>94.95</v>
      </c>
      <c r="H52" s="128"/>
      <c r="I52" s="129">
        <f t="shared" si="0"/>
        <v>0</v>
      </c>
    </row>
    <row r="53" spans="1:9" s="149" customFormat="1">
      <c r="A53" s="147" t="s">
        <v>136</v>
      </c>
      <c r="B53" s="148" t="s">
        <v>729</v>
      </c>
      <c r="C53" s="154" t="s">
        <v>800</v>
      </c>
      <c r="D53" s="154" t="s">
        <v>18</v>
      </c>
      <c r="E53" s="127" t="s">
        <v>24</v>
      </c>
      <c r="F53" s="139">
        <v>47.5</v>
      </c>
      <c r="G53" s="130">
        <v>94.95</v>
      </c>
      <c r="H53" s="128"/>
      <c r="I53" s="129">
        <f t="shared" si="0"/>
        <v>0</v>
      </c>
    </row>
    <row r="54" spans="1:9" s="149" customFormat="1">
      <c r="A54" s="147" t="s">
        <v>137</v>
      </c>
      <c r="B54" s="148" t="s">
        <v>730</v>
      </c>
      <c r="C54" s="154" t="s">
        <v>800</v>
      </c>
      <c r="D54" s="154" t="s">
        <v>18</v>
      </c>
      <c r="E54" s="127" t="s">
        <v>25</v>
      </c>
      <c r="F54" s="139">
        <v>47.5</v>
      </c>
      <c r="G54" s="130">
        <v>94.95</v>
      </c>
      <c r="H54" s="128"/>
      <c r="I54" s="129">
        <f t="shared" si="0"/>
        <v>0</v>
      </c>
    </row>
    <row r="55" spans="1:9" s="149" customFormat="1">
      <c r="A55" s="147" t="s">
        <v>138</v>
      </c>
      <c r="B55" s="148" t="s">
        <v>731</v>
      </c>
      <c r="C55" s="154" t="s">
        <v>800</v>
      </c>
      <c r="D55" s="154" t="s">
        <v>18</v>
      </c>
      <c r="E55" s="127" t="s">
        <v>26</v>
      </c>
      <c r="F55" s="139">
        <v>47.5</v>
      </c>
      <c r="G55" s="130">
        <v>94.95</v>
      </c>
      <c r="H55" s="128"/>
      <c r="I55" s="129">
        <f t="shared" si="0"/>
        <v>0</v>
      </c>
    </row>
    <row r="56" spans="1:9" s="149" customFormat="1">
      <c r="A56" s="147" t="s">
        <v>139</v>
      </c>
      <c r="B56" s="148" t="s">
        <v>732</v>
      </c>
      <c r="C56" s="154" t="s">
        <v>800</v>
      </c>
      <c r="D56" s="154" t="s">
        <v>18</v>
      </c>
      <c r="E56" s="127" t="s">
        <v>27</v>
      </c>
      <c r="F56" s="139">
        <v>47.5</v>
      </c>
      <c r="G56" s="130">
        <v>94.95</v>
      </c>
      <c r="H56" s="128"/>
      <c r="I56" s="129">
        <f t="shared" si="0"/>
        <v>0</v>
      </c>
    </row>
    <row r="57" spans="1:9" s="149" customFormat="1">
      <c r="A57" s="147" t="s">
        <v>140</v>
      </c>
      <c r="B57" s="148" t="s">
        <v>733</v>
      </c>
      <c r="C57" s="154" t="s">
        <v>800</v>
      </c>
      <c r="D57" s="154" t="s">
        <v>18</v>
      </c>
      <c r="E57" s="127" t="s">
        <v>28</v>
      </c>
      <c r="F57" s="139">
        <v>47.5</v>
      </c>
      <c r="G57" s="130">
        <v>94.95</v>
      </c>
      <c r="H57" s="128"/>
      <c r="I57" s="129">
        <f t="shared" si="0"/>
        <v>0</v>
      </c>
    </row>
    <row r="58" spans="1:9" s="149" customFormat="1">
      <c r="A58" s="147" t="s">
        <v>141</v>
      </c>
      <c r="B58" s="148" t="s">
        <v>734</v>
      </c>
      <c r="C58" s="154" t="s">
        <v>800</v>
      </c>
      <c r="D58" s="154" t="s">
        <v>18</v>
      </c>
      <c r="E58" s="127" t="s">
        <v>35</v>
      </c>
      <c r="F58" s="139">
        <v>47.5</v>
      </c>
      <c r="G58" s="130">
        <v>94.95</v>
      </c>
      <c r="H58" s="128"/>
      <c r="I58" s="129">
        <f t="shared" si="0"/>
        <v>0</v>
      </c>
    </row>
    <row r="59" spans="1:9" s="149" customFormat="1">
      <c r="A59" s="155" t="s">
        <v>1228</v>
      </c>
      <c r="B59" s="152" t="s">
        <v>1257</v>
      </c>
      <c r="C59" s="147" t="s">
        <v>804</v>
      </c>
      <c r="D59" s="127" t="s">
        <v>18</v>
      </c>
      <c r="E59" s="127" t="s">
        <v>388</v>
      </c>
      <c r="F59" s="139">
        <v>42.5</v>
      </c>
      <c r="G59" s="130">
        <v>84.95</v>
      </c>
      <c r="H59" s="128"/>
      <c r="I59" s="129">
        <f t="shared" si="0"/>
        <v>0</v>
      </c>
    </row>
    <row r="60" spans="1:9" s="149" customFormat="1">
      <c r="A60" s="155" t="s">
        <v>1229</v>
      </c>
      <c r="B60" s="152" t="s">
        <v>1258</v>
      </c>
      <c r="C60" s="147" t="s">
        <v>804</v>
      </c>
      <c r="D60" s="127" t="s">
        <v>18</v>
      </c>
      <c r="E60" s="127" t="s">
        <v>24</v>
      </c>
      <c r="F60" s="139">
        <v>42.5</v>
      </c>
      <c r="G60" s="130">
        <v>84.95</v>
      </c>
      <c r="H60" s="128"/>
      <c r="I60" s="129">
        <f t="shared" si="0"/>
        <v>0</v>
      </c>
    </row>
    <row r="61" spans="1:9" s="149" customFormat="1">
      <c r="A61" s="155" t="s">
        <v>1230</v>
      </c>
      <c r="B61" s="152" t="s">
        <v>1259</v>
      </c>
      <c r="C61" s="147" t="s">
        <v>804</v>
      </c>
      <c r="D61" s="127" t="s">
        <v>18</v>
      </c>
      <c r="E61" s="127" t="s">
        <v>25</v>
      </c>
      <c r="F61" s="139">
        <v>42.5</v>
      </c>
      <c r="G61" s="130">
        <v>84.95</v>
      </c>
      <c r="H61" s="128"/>
      <c r="I61" s="129">
        <f t="shared" si="0"/>
        <v>0</v>
      </c>
    </row>
    <row r="62" spans="1:9" s="149" customFormat="1">
      <c r="A62" s="155" t="s">
        <v>1231</v>
      </c>
      <c r="B62" s="152" t="s">
        <v>1260</v>
      </c>
      <c r="C62" s="147" t="s">
        <v>804</v>
      </c>
      <c r="D62" s="127" t="s">
        <v>18</v>
      </c>
      <c r="E62" s="127" t="s">
        <v>26</v>
      </c>
      <c r="F62" s="139">
        <v>42.5</v>
      </c>
      <c r="G62" s="130">
        <v>84.95</v>
      </c>
      <c r="H62" s="128"/>
      <c r="I62" s="129">
        <f t="shared" si="0"/>
        <v>0</v>
      </c>
    </row>
    <row r="63" spans="1:9" s="149" customFormat="1">
      <c r="A63" s="155" t="s">
        <v>1232</v>
      </c>
      <c r="B63" s="152" t="s">
        <v>1261</v>
      </c>
      <c r="C63" s="147" t="s">
        <v>804</v>
      </c>
      <c r="D63" s="127" t="s">
        <v>18</v>
      </c>
      <c r="E63" s="127" t="s">
        <v>27</v>
      </c>
      <c r="F63" s="139">
        <v>42.5</v>
      </c>
      <c r="G63" s="130">
        <v>84.95</v>
      </c>
      <c r="H63" s="128"/>
      <c r="I63" s="129">
        <f t="shared" si="0"/>
        <v>0</v>
      </c>
    </row>
    <row r="64" spans="1:9" s="149" customFormat="1">
      <c r="A64" s="155" t="s">
        <v>1233</v>
      </c>
      <c r="B64" s="152" t="s">
        <v>1262</v>
      </c>
      <c r="C64" s="147" t="s">
        <v>804</v>
      </c>
      <c r="D64" s="127" t="s">
        <v>18</v>
      </c>
      <c r="E64" s="127" t="s">
        <v>28</v>
      </c>
      <c r="F64" s="139">
        <v>42.5</v>
      </c>
      <c r="G64" s="130">
        <v>84.95</v>
      </c>
      <c r="H64" s="128"/>
      <c r="I64" s="129">
        <f t="shared" si="0"/>
        <v>0</v>
      </c>
    </row>
    <row r="65" spans="1:9" s="149" customFormat="1">
      <c r="A65" s="155" t="s">
        <v>1234</v>
      </c>
      <c r="B65" s="152" t="s">
        <v>1263</v>
      </c>
      <c r="C65" s="147" t="s">
        <v>804</v>
      </c>
      <c r="D65" s="127" t="s">
        <v>18</v>
      </c>
      <c r="E65" s="127" t="s">
        <v>35</v>
      </c>
      <c r="F65" s="139">
        <v>42.5</v>
      </c>
      <c r="G65" s="130">
        <v>84.95</v>
      </c>
      <c r="H65" s="128"/>
      <c r="I65" s="129">
        <f t="shared" si="0"/>
        <v>0</v>
      </c>
    </row>
    <row r="66" spans="1:9" s="149" customFormat="1">
      <c r="A66" s="147" t="s">
        <v>121</v>
      </c>
      <c r="B66" s="151" t="s">
        <v>412</v>
      </c>
      <c r="C66" s="127" t="s">
        <v>13</v>
      </c>
      <c r="D66" s="154" t="s">
        <v>18</v>
      </c>
      <c r="E66" s="127" t="s">
        <v>388</v>
      </c>
      <c r="F66" s="139">
        <v>42.5</v>
      </c>
      <c r="G66" s="130">
        <v>84.95</v>
      </c>
      <c r="H66" s="128"/>
      <c r="I66" s="129">
        <f t="shared" si="0"/>
        <v>0</v>
      </c>
    </row>
    <row r="67" spans="1:9" s="149" customFormat="1">
      <c r="A67" s="147" t="s">
        <v>122</v>
      </c>
      <c r="B67" s="151" t="s">
        <v>413</v>
      </c>
      <c r="C67" s="127" t="s">
        <v>13</v>
      </c>
      <c r="D67" s="154" t="s">
        <v>18</v>
      </c>
      <c r="E67" s="127" t="s">
        <v>24</v>
      </c>
      <c r="F67" s="139">
        <v>42.5</v>
      </c>
      <c r="G67" s="130">
        <v>84.95</v>
      </c>
      <c r="H67" s="128"/>
      <c r="I67" s="129">
        <f t="shared" si="0"/>
        <v>0</v>
      </c>
    </row>
    <row r="68" spans="1:9" s="149" customFormat="1">
      <c r="A68" s="147" t="s">
        <v>123</v>
      </c>
      <c r="B68" s="151" t="s">
        <v>414</v>
      </c>
      <c r="C68" s="127" t="s">
        <v>13</v>
      </c>
      <c r="D68" s="154" t="s">
        <v>18</v>
      </c>
      <c r="E68" s="127" t="s">
        <v>25</v>
      </c>
      <c r="F68" s="139">
        <v>42.5</v>
      </c>
      <c r="G68" s="130">
        <v>84.95</v>
      </c>
      <c r="H68" s="128"/>
      <c r="I68" s="129">
        <f t="shared" si="0"/>
        <v>0</v>
      </c>
    </row>
    <row r="69" spans="1:9" s="149" customFormat="1">
      <c r="A69" s="147" t="s">
        <v>124</v>
      </c>
      <c r="B69" s="151" t="s">
        <v>415</v>
      </c>
      <c r="C69" s="127" t="s">
        <v>13</v>
      </c>
      <c r="D69" s="154" t="s">
        <v>18</v>
      </c>
      <c r="E69" s="127" t="s">
        <v>26</v>
      </c>
      <c r="F69" s="139">
        <v>42.5</v>
      </c>
      <c r="G69" s="130">
        <v>84.95</v>
      </c>
      <c r="H69" s="128"/>
      <c r="I69" s="129">
        <f t="shared" si="0"/>
        <v>0</v>
      </c>
    </row>
    <row r="70" spans="1:9" s="149" customFormat="1">
      <c r="A70" s="147" t="s">
        <v>125</v>
      </c>
      <c r="B70" s="151" t="s">
        <v>416</v>
      </c>
      <c r="C70" s="127" t="s">
        <v>13</v>
      </c>
      <c r="D70" s="154" t="s">
        <v>18</v>
      </c>
      <c r="E70" s="127" t="s">
        <v>27</v>
      </c>
      <c r="F70" s="139">
        <v>42.5</v>
      </c>
      <c r="G70" s="130">
        <v>84.95</v>
      </c>
      <c r="H70" s="128"/>
      <c r="I70" s="129">
        <f t="shared" si="0"/>
        <v>0</v>
      </c>
    </row>
    <row r="71" spans="1:9" s="149" customFormat="1">
      <c r="A71" s="147" t="s">
        <v>126</v>
      </c>
      <c r="B71" s="151" t="s">
        <v>417</v>
      </c>
      <c r="C71" s="127" t="s">
        <v>13</v>
      </c>
      <c r="D71" s="154" t="s">
        <v>18</v>
      </c>
      <c r="E71" s="127" t="s">
        <v>28</v>
      </c>
      <c r="F71" s="139">
        <v>42.5</v>
      </c>
      <c r="G71" s="130">
        <v>84.95</v>
      </c>
      <c r="H71" s="128"/>
      <c r="I71" s="129">
        <f t="shared" si="0"/>
        <v>0</v>
      </c>
    </row>
    <row r="72" spans="1:9" s="149" customFormat="1">
      <c r="A72" s="147" t="s">
        <v>127</v>
      </c>
      <c r="B72" s="151" t="s">
        <v>418</v>
      </c>
      <c r="C72" s="127" t="s">
        <v>13</v>
      </c>
      <c r="D72" s="154" t="s">
        <v>18</v>
      </c>
      <c r="E72" s="127" t="s">
        <v>35</v>
      </c>
      <c r="F72" s="139">
        <v>42.5</v>
      </c>
      <c r="G72" s="130">
        <v>84.95</v>
      </c>
      <c r="H72" s="128"/>
      <c r="I72" s="129">
        <f t="shared" si="0"/>
        <v>0</v>
      </c>
    </row>
    <row r="73" spans="1:9" s="149" customFormat="1">
      <c r="A73" s="147" t="s">
        <v>128</v>
      </c>
      <c r="B73" s="148" t="s">
        <v>609</v>
      </c>
      <c r="C73" s="127" t="s">
        <v>36</v>
      </c>
      <c r="D73" s="154" t="s">
        <v>18</v>
      </c>
      <c r="E73" s="127" t="s">
        <v>388</v>
      </c>
      <c r="F73" s="139">
        <v>25</v>
      </c>
      <c r="G73" s="130">
        <v>49.95</v>
      </c>
      <c r="H73" s="128"/>
      <c r="I73" s="129">
        <f t="shared" si="0"/>
        <v>0</v>
      </c>
    </row>
    <row r="74" spans="1:9" s="149" customFormat="1">
      <c r="A74" s="147" t="s">
        <v>129</v>
      </c>
      <c r="B74" s="148" t="s">
        <v>610</v>
      </c>
      <c r="C74" s="127" t="s">
        <v>36</v>
      </c>
      <c r="D74" s="154" t="s">
        <v>18</v>
      </c>
      <c r="E74" s="127" t="s">
        <v>24</v>
      </c>
      <c r="F74" s="139">
        <v>25</v>
      </c>
      <c r="G74" s="130">
        <v>49.95</v>
      </c>
      <c r="H74" s="128"/>
      <c r="I74" s="129">
        <f t="shared" ref="I74:I137" si="1">F74*H74</f>
        <v>0</v>
      </c>
    </row>
    <row r="75" spans="1:9" s="149" customFormat="1">
      <c r="A75" s="147" t="s">
        <v>130</v>
      </c>
      <c r="B75" s="148" t="s">
        <v>611</v>
      </c>
      <c r="C75" s="127" t="s">
        <v>36</v>
      </c>
      <c r="D75" s="154" t="s">
        <v>18</v>
      </c>
      <c r="E75" s="127" t="s">
        <v>25</v>
      </c>
      <c r="F75" s="139">
        <v>25</v>
      </c>
      <c r="G75" s="130">
        <v>49.95</v>
      </c>
      <c r="H75" s="128"/>
      <c r="I75" s="129">
        <f t="shared" si="1"/>
        <v>0</v>
      </c>
    </row>
    <row r="76" spans="1:9" s="149" customFormat="1">
      <c r="A76" s="147" t="s">
        <v>131</v>
      </c>
      <c r="B76" s="148" t="s">
        <v>612</v>
      </c>
      <c r="C76" s="127" t="s">
        <v>36</v>
      </c>
      <c r="D76" s="154" t="s">
        <v>18</v>
      </c>
      <c r="E76" s="127" t="s">
        <v>26</v>
      </c>
      <c r="F76" s="139">
        <v>25</v>
      </c>
      <c r="G76" s="130">
        <v>49.95</v>
      </c>
      <c r="H76" s="128"/>
      <c r="I76" s="129">
        <f t="shared" si="1"/>
        <v>0</v>
      </c>
    </row>
    <row r="77" spans="1:9" s="149" customFormat="1">
      <c r="A77" s="147" t="s">
        <v>132</v>
      </c>
      <c r="B77" s="148" t="s">
        <v>613</v>
      </c>
      <c r="C77" s="127" t="s">
        <v>36</v>
      </c>
      <c r="D77" s="154" t="s">
        <v>18</v>
      </c>
      <c r="E77" s="127" t="s">
        <v>27</v>
      </c>
      <c r="F77" s="139">
        <v>25</v>
      </c>
      <c r="G77" s="130">
        <v>49.95</v>
      </c>
      <c r="H77" s="128"/>
      <c r="I77" s="129">
        <f t="shared" si="1"/>
        <v>0</v>
      </c>
    </row>
    <row r="78" spans="1:9" s="149" customFormat="1">
      <c r="A78" s="147" t="s">
        <v>133</v>
      </c>
      <c r="B78" s="148" t="s">
        <v>614</v>
      </c>
      <c r="C78" s="127" t="s">
        <v>36</v>
      </c>
      <c r="D78" s="154" t="s">
        <v>18</v>
      </c>
      <c r="E78" s="127" t="s">
        <v>28</v>
      </c>
      <c r="F78" s="139">
        <v>25</v>
      </c>
      <c r="G78" s="130">
        <v>49.95</v>
      </c>
      <c r="H78" s="128"/>
      <c r="I78" s="129">
        <f t="shared" si="1"/>
        <v>0</v>
      </c>
    </row>
    <row r="79" spans="1:9" s="149" customFormat="1">
      <c r="A79" s="147" t="s">
        <v>134</v>
      </c>
      <c r="B79" s="148" t="s">
        <v>615</v>
      </c>
      <c r="C79" s="127" t="s">
        <v>36</v>
      </c>
      <c r="D79" s="154" t="s">
        <v>18</v>
      </c>
      <c r="E79" s="127" t="s">
        <v>35</v>
      </c>
      <c r="F79" s="139">
        <v>25</v>
      </c>
      <c r="G79" s="130">
        <v>49.95</v>
      </c>
      <c r="H79" s="128"/>
      <c r="I79" s="129">
        <f t="shared" si="1"/>
        <v>0</v>
      </c>
    </row>
    <row r="80" spans="1:9" s="149" customFormat="1">
      <c r="A80" s="147" t="s">
        <v>142</v>
      </c>
      <c r="B80" s="148" t="s">
        <v>714</v>
      </c>
      <c r="C80" s="127" t="s">
        <v>38</v>
      </c>
      <c r="D80" s="154" t="s">
        <v>18</v>
      </c>
      <c r="E80" s="127" t="s">
        <v>388</v>
      </c>
      <c r="F80" s="139">
        <v>42.5</v>
      </c>
      <c r="G80" s="130">
        <v>84.95</v>
      </c>
      <c r="H80" s="128"/>
      <c r="I80" s="129">
        <f t="shared" si="1"/>
        <v>0</v>
      </c>
    </row>
    <row r="81" spans="1:9" s="149" customFormat="1">
      <c r="A81" s="147" t="s">
        <v>143</v>
      </c>
      <c r="B81" s="148" t="s">
        <v>715</v>
      </c>
      <c r="C81" s="127" t="s">
        <v>38</v>
      </c>
      <c r="D81" s="154" t="s">
        <v>18</v>
      </c>
      <c r="E81" s="127" t="s">
        <v>24</v>
      </c>
      <c r="F81" s="139">
        <v>42.5</v>
      </c>
      <c r="G81" s="130">
        <v>84.95</v>
      </c>
      <c r="H81" s="128"/>
      <c r="I81" s="129">
        <f t="shared" si="1"/>
        <v>0</v>
      </c>
    </row>
    <row r="82" spans="1:9" s="149" customFormat="1">
      <c r="A82" s="147" t="s">
        <v>144</v>
      </c>
      <c r="B82" s="148" t="s">
        <v>716</v>
      </c>
      <c r="C82" s="127" t="s">
        <v>38</v>
      </c>
      <c r="D82" s="154" t="s">
        <v>18</v>
      </c>
      <c r="E82" s="127" t="s">
        <v>25</v>
      </c>
      <c r="F82" s="139">
        <v>42.5</v>
      </c>
      <c r="G82" s="130">
        <v>84.95</v>
      </c>
      <c r="H82" s="128"/>
      <c r="I82" s="129">
        <f t="shared" si="1"/>
        <v>0</v>
      </c>
    </row>
    <row r="83" spans="1:9" s="149" customFormat="1">
      <c r="A83" s="147" t="s">
        <v>145</v>
      </c>
      <c r="B83" s="148" t="s">
        <v>717</v>
      </c>
      <c r="C83" s="127" t="s">
        <v>38</v>
      </c>
      <c r="D83" s="154" t="s">
        <v>18</v>
      </c>
      <c r="E83" s="127" t="s">
        <v>26</v>
      </c>
      <c r="F83" s="139">
        <v>42.5</v>
      </c>
      <c r="G83" s="130">
        <v>84.95</v>
      </c>
      <c r="H83" s="128"/>
      <c r="I83" s="129">
        <f t="shared" si="1"/>
        <v>0</v>
      </c>
    </row>
    <row r="84" spans="1:9" s="149" customFormat="1">
      <c r="A84" s="147" t="s">
        <v>146</v>
      </c>
      <c r="B84" s="148" t="s">
        <v>718</v>
      </c>
      <c r="C84" s="127" t="s">
        <v>38</v>
      </c>
      <c r="D84" s="154" t="s">
        <v>18</v>
      </c>
      <c r="E84" s="127" t="s">
        <v>27</v>
      </c>
      <c r="F84" s="139">
        <v>42.5</v>
      </c>
      <c r="G84" s="130">
        <v>84.95</v>
      </c>
      <c r="H84" s="128"/>
      <c r="I84" s="129">
        <f t="shared" si="1"/>
        <v>0</v>
      </c>
    </row>
    <row r="85" spans="1:9" s="149" customFormat="1">
      <c r="A85" s="147" t="s">
        <v>147</v>
      </c>
      <c r="B85" s="148" t="s">
        <v>719</v>
      </c>
      <c r="C85" s="127" t="s">
        <v>38</v>
      </c>
      <c r="D85" s="154" t="s">
        <v>18</v>
      </c>
      <c r="E85" s="127" t="s">
        <v>28</v>
      </c>
      <c r="F85" s="139">
        <v>42.5</v>
      </c>
      <c r="G85" s="130">
        <v>84.95</v>
      </c>
      <c r="H85" s="128"/>
      <c r="I85" s="129">
        <f t="shared" si="1"/>
        <v>0</v>
      </c>
    </row>
    <row r="86" spans="1:9" s="149" customFormat="1">
      <c r="A86" s="147" t="s">
        <v>148</v>
      </c>
      <c r="B86" s="148" t="s">
        <v>720</v>
      </c>
      <c r="C86" s="127" t="s">
        <v>38</v>
      </c>
      <c r="D86" s="154" t="s">
        <v>18</v>
      </c>
      <c r="E86" s="127" t="s">
        <v>35</v>
      </c>
      <c r="F86" s="139">
        <v>42.5</v>
      </c>
      <c r="G86" s="130">
        <v>84.95</v>
      </c>
      <c r="H86" s="128"/>
      <c r="I86" s="129">
        <f t="shared" si="1"/>
        <v>0</v>
      </c>
    </row>
    <row r="87" spans="1:9" s="149" customFormat="1">
      <c r="A87" s="147" t="s">
        <v>149</v>
      </c>
      <c r="B87" s="148" t="s">
        <v>770</v>
      </c>
      <c r="C87" s="127" t="s">
        <v>12</v>
      </c>
      <c r="D87" s="127" t="s">
        <v>40</v>
      </c>
      <c r="E87" s="127" t="s">
        <v>388</v>
      </c>
      <c r="F87" s="139">
        <v>47.5</v>
      </c>
      <c r="G87" s="130">
        <v>94.95</v>
      </c>
      <c r="H87" s="128"/>
      <c r="I87" s="129">
        <f t="shared" si="1"/>
        <v>0</v>
      </c>
    </row>
    <row r="88" spans="1:9" s="149" customFormat="1">
      <c r="A88" s="147" t="s">
        <v>150</v>
      </c>
      <c r="B88" s="148" t="s">
        <v>771</v>
      </c>
      <c r="C88" s="127" t="s">
        <v>12</v>
      </c>
      <c r="D88" s="127" t="s">
        <v>40</v>
      </c>
      <c r="E88" s="127" t="s">
        <v>24</v>
      </c>
      <c r="F88" s="139">
        <v>47.5</v>
      </c>
      <c r="G88" s="130">
        <v>94.95</v>
      </c>
      <c r="H88" s="128"/>
      <c r="I88" s="129">
        <f t="shared" si="1"/>
        <v>0</v>
      </c>
    </row>
    <row r="89" spans="1:9" s="149" customFormat="1">
      <c r="A89" s="147" t="s">
        <v>151</v>
      </c>
      <c r="B89" s="148" t="s">
        <v>772</v>
      </c>
      <c r="C89" s="127" t="s">
        <v>12</v>
      </c>
      <c r="D89" s="127" t="s">
        <v>40</v>
      </c>
      <c r="E89" s="127" t="s">
        <v>25</v>
      </c>
      <c r="F89" s="139">
        <v>47.5</v>
      </c>
      <c r="G89" s="130">
        <v>94.95</v>
      </c>
      <c r="H89" s="128"/>
      <c r="I89" s="129">
        <f t="shared" si="1"/>
        <v>0</v>
      </c>
    </row>
    <row r="90" spans="1:9" s="149" customFormat="1">
      <c r="A90" s="147" t="s">
        <v>152</v>
      </c>
      <c r="B90" s="148" t="s">
        <v>773</v>
      </c>
      <c r="C90" s="127" t="s">
        <v>12</v>
      </c>
      <c r="D90" s="127" t="s">
        <v>40</v>
      </c>
      <c r="E90" s="127" t="s">
        <v>26</v>
      </c>
      <c r="F90" s="139">
        <v>47.5</v>
      </c>
      <c r="G90" s="130">
        <v>94.95</v>
      </c>
      <c r="H90" s="128"/>
      <c r="I90" s="129">
        <f t="shared" si="1"/>
        <v>0</v>
      </c>
    </row>
    <row r="91" spans="1:9" s="149" customFormat="1">
      <c r="A91" s="147" t="s">
        <v>153</v>
      </c>
      <c r="B91" s="148" t="s">
        <v>774</v>
      </c>
      <c r="C91" s="127" t="s">
        <v>12</v>
      </c>
      <c r="D91" s="127" t="s">
        <v>40</v>
      </c>
      <c r="E91" s="127" t="s">
        <v>27</v>
      </c>
      <c r="F91" s="139">
        <v>47.5</v>
      </c>
      <c r="G91" s="130">
        <v>94.95</v>
      </c>
      <c r="H91" s="128"/>
      <c r="I91" s="129">
        <f t="shared" si="1"/>
        <v>0</v>
      </c>
    </row>
    <row r="92" spans="1:9" s="149" customFormat="1">
      <c r="A92" s="147" t="s">
        <v>154</v>
      </c>
      <c r="B92" s="148" t="s">
        <v>775</v>
      </c>
      <c r="C92" s="127" t="s">
        <v>12</v>
      </c>
      <c r="D92" s="127" t="s">
        <v>40</v>
      </c>
      <c r="E92" s="127" t="s">
        <v>28</v>
      </c>
      <c r="F92" s="139">
        <v>47.5</v>
      </c>
      <c r="G92" s="130">
        <v>94.95</v>
      </c>
      <c r="H92" s="128"/>
      <c r="I92" s="129">
        <f t="shared" si="1"/>
        <v>0</v>
      </c>
    </row>
    <row r="93" spans="1:9" s="149" customFormat="1">
      <c r="A93" s="147" t="s">
        <v>155</v>
      </c>
      <c r="B93" s="148" t="s">
        <v>776</v>
      </c>
      <c r="C93" s="127" t="s">
        <v>12</v>
      </c>
      <c r="D93" s="127" t="s">
        <v>40</v>
      </c>
      <c r="E93" s="127" t="s">
        <v>35</v>
      </c>
      <c r="F93" s="139">
        <v>47.5</v>
      </c>
      <c r="G93" s="130">
        <v>94.95</v>
      </c>
      <c r="H93" s="128"/>
      <c r="I93" s="129">
        <f t="shared" si="1"/>
        <v>0</v>
      </c>
    </row>
    <row r="94" spans="1:9" s="149" customFormat="1">
      <c r="A94" s="147" t="s">
        <v>156</v>
      </c>
      <c r="B94" s="151" t="s">
        <v>419</v>
      </c>
      <c r="C94" s="127" t="s">
        <v>13</v>
      </c>
      <c r="D94" s="127" t="s">
        <v>40</v>
      </c>
      <c r="E94" s="127" t="s">
        <v>388</v>
      </c>
      <c r="F94" s="139">
        <v>42.5</v>
      </c>
      <c r="G94" s="130">
        <v>84.95</v>
      </c>
      <c r="H94" s="128"/>
      <c r="I94" s="129">
        <f t="shared" si="1"/>
        <v>0</v>
      </c>
    </row>
    <row r="95" spans="1:9" s="149" customFormat="1">
      <c r="A95" s="147" t="s">
        <v>157</v>
      </c>
      <c r="B95" s="151" t="s">
        <v>420</v>
      </c>
      <c r="C95" s="127" t="s">
        <v>13</v>
      </c>
      <c r="D95" s="127" t="s">
        <v>40</v>
      </c>
      <c r="E95" s="127" t="s">
        <v>24</v>
      </c>
      <c r="F95" s="139">
        <v>42.5</v>
      </c>
      <c r="G95" s="130">
        <v>84.95</v>
      </c>
      <c r="H95" s="128"/>
      <c r="I95" s="129">
        <f t="shared" si="1"/>
        <v>0</v>
      </c>
    </row>
    <row r="96" spans="1:9" s="149" customFormat="1">
      <c r="A96" s="147" t="s">
        <v>158</v>
      </c>
      <c r="B96" s="151" t="s">
        <v>421</v>
      </c>
      <c r="C96" s="127" t="s">
        <v>13</v>
      </c>
      <c r="D96" s="127" t="s">
        <v>40</v>
      </c>
      <c r="E96" s="127" t="s">
        <v>25</v>
      </c>
      <c r="F96" s="139">
        <v>42.5</v>
      </c>
      <c r="G96" s="130">
        <v>84.95</v>
      </c>
      <c r="H96" s="128"/>
      <c r="I96" s="129">
        <f t="shared" si="1"/>
        <v>0</v>
      </c>
    </row>
    <row r="97" spans="1:9" s="149" customFormat="1">
      <c r="A97" s="147" t="s">
        <v>159</v>
      </c>
      <c r="B97" s="151" t="s">
        <v>422</v>
      </c>
      <c r="C97" s="127" t="s">
        <v>13</v>
      </c>
      <c r="D97" s="127" t="s">
        <v>40</v>
      </c>
      <c r="E97" s="127" t="s">
        <v>26</v>
      </c>
      <c r="F97" s="139">
        <v>42.5</v>
      </c>
      <c r="G97" s="130">
        <v>84.95</v>
      </c>
      <c r="H97" s="128"/>
      <c r="I97" s="129">
        <f t="shared" si="1"/>
        <v>0</v>
      </c>
    </row>
    <row r="98" spans="1:9" s="149" customFormat="1">
      <c r="A98" s="147" t="s">
        <v>160</v>
      </c>
      <c r="B98" s="151" t="s">
        <v>423</v>
      </c>
      <c r="C98" s="127" t="s">
        <v>13</v>
      </c>
      <c r="D98" s="127" t="s">
        <v>40</v>
      </c>
      <c r="E98" s="127" t="s">
        <v>27</v>
      </c>
      <c r="F98" s="139">
        <v>42.5</v>
      </c>
      <c r="G98" s="130">
        <v>84.95</v>
      </c>
      <c r="H98" s="128"/>
      <c r="I98" s="129">
        <f t="shared" si="1"/>
        <v>0</v>
      </c>
    </row>
    <row r="99" spans="1:9" s="149" customFormat="1">
      <c r="A99" s="147" t="s">
        <v>161</v>
      </c>
      <c r="B99" s="151" t="s">
        <v>424</v>
      </c>
      <c r="C99" s="127" t="s">
        <v>13</v>
      </c>
      <c r="D99" s="127" t="s">
        <v>40</v>
      </c>
      <c r="E99" s="127" t="s">
        <v>28</v>
      </c>
      <c r="F99" s="139">
        <v>42.5</v>
      </c>
      <c r="G99" s="130">
        <v>84.95</v>
      </c>
      <c r="H99" s="128"/>
      <c r="I99" s="129">
        <f t="shared" si="1"/>
        <v>0</v>
      </c>
    </row>
    <row r="100" spans="1:9" s="149" customFormat="1">
      <c r="A100" s="147" t="s">
        <v>162</v>
      </c>
      <c r="B100" s="151" t="s">
        <v>425</v>
      </c>
      <c r="C100" s="127" t="s">
        <v>13</v>
      </c>
      <c r="D100" s="127" t="s">
        <v>40</v>
      </c>
      <c r="E100" s="127" t="s">
        <v>35</v>
      </c>
      <c r="F100" s="139">
        <v>42.5</v>
      </c>
      <c r="G100" s="130">
        <v>84.95</v>
      </c>
      <c r="H100" s="128"/>
      <c r="I100" s="129">
        <f t="shared" si="1"/>
        <v>0</v>
      </c>
    </row>
    <row r="101" spans="1:9" s="149" customFormat="1">
      <c r="A101" s="147" t="s">
        <v>177</v>
      </c>
      <c r="B101" s="148" t="s">
        <v>749</v>
      </c>
      <c r="C101" s="127" t="s">
        <v>16</v>
      </c>
      <c r="D101" s="127" t="s">
        <v>42</v>
      </c>
      <c r="E101" s="127" t="s">
        <v>388</v>
      </c>
      <c r="F101" s="139">
        <v>47.5</v>
      </c>
      <c r="G101" s="130">
        <v>94.95</v>
      </c>
      <c r="H101" s="128"/>
      <c r="I101" s="129">
        <f t="shared" si="1"/>
        <v>0</v>
      </c>
    </row>
    <row r="102" spans="1:9" s="149" customFormat="1">
      <c r="A102" s="147" t="s">
        <v>178</v>
      </c>
      <c r="B102" s="148" t="s">
        <v>750</v>
      </c>
      <c r="C102" s="127" t="s">
        <v>16</v>
      </c>
      <c r="D102" s="127" t="s">
        <v>42</v>
      </c>
      <c r="E102" s="127" t="s">
        <v>24</v>
      </c>
      <c r="F102" s="139">
        <v>47.5</v>
      </c>
      <c r="G102" s="130">
        <v>94.95</v>
      </c>
      <c r="H102" s="128"/>
      <c r="I102" s="129">
        <f t="shared" si="1"/>
        <v>0</v>
      </c>
    </row>
    <row r="103" spans="1:9" s="149" customFormat="1">
      <c r="A103" s="147" t="s">
        <v>179</v>
      </c>
      <c r="B103" s="148" t="s">
        <v>751</v>
      </c>
      <c r="C103" s="127" t="s">
        <v>16</v>
      </c>
      <c r="D103" s="127" t="s">
        <v>42</v>
      </c>
      <c r="E103" s="127" t="s">
        <v>25</v>
      </c>
      <c r="F103" s="139">
        <v>47.5</v>
      </c>
      <c r="G103" s="130">
        <v>94.95</v>
      </c>
      <c r="H103" s="128"/>
      <c r="I103" s="129">
        <f t="shared" si="1"/>
        <v>0</v>
      </c>
    </row>
    <row r="104" spans="1:9" s="149" customFormat="1">
      <c r="A104" s="147" t="s">
        <v>180</v>
      </c>
      <c r="B104" s="148" t="s">
        <v>752</v>
      </c>
      <c r="C104" s="127" t="s">
        <v>16</v>
      </c>
      <c r="D104" s="127" t="s">
        <v>42</v>
      </c>
      <c r="E104" s="127" t="s">
        <v>26</v>
      </c>
      <c r="F104" s="139">
        <v>47.5</v>
      </c>
      <c r="G104" s="130">
        <v>94.95</v>
      </c>
      <c r="H104" s="128"/>
      <c r="I104" s="129">
        <f t="shared" si="1"/>
        <v>0</v>
      </c>
    </row>
    <row r="105" spans="1:9" s="149" customFormat="1">
      <c r="A105" s="147" t="s">
        <v>181</v>
      </c>
      <c r="B105" s="148" t="s">
        <v>753</v>
      </c>
      <c r="C105" s="127" t="s">
        <v>16</v>
      </c>
      <c r="D105" s="127" t="s">
        <v>42</v>
      </c>
      <c r="E105" s="127" t="s">
        <v>27</v>
      </c>
      <c r="F105" s="139">
        <v>47.5</v>
      </c>
      <c r="G105" s="130">
        <v>94.95</v>
      </c>
      <c r="H105" s="128"/>
      <c r="I105" s="129">
        <f t="shared" si="1"/>
        <v>0</v>
      </c>
    </row>
    <row r="106" spans="1:9" s="149" customFormat="1">
      <c r="A106" s="147" t="s">
        <v>182</v>
      </c>
      <c r="B106" s="148" t="s">
        <v>754</v>
      </c>
      <c r="C106" s="127" t="s">
        <v>16</v>
      </c>
      <c r="D106" s="127" t="s">
        <v>42</v>
      </c>
      <c r="E106" s="127" t="s">
        <v>28</v>
      </c>
      <c r="F106" s="139">
        <v>47.5</v>
      </c>
      <c r="G106" s="130">
        <v>94.95</v>
      </c>
      <c r="H106" s="128"/>
      <c r="I106" s="129">
        <f t="shared" si="1"/>
        <v>0</v>
      </c>
    </row>
    <row r="107" spans="1:9" s="149" customFormat="1">
      <c r="A107" s="147" t="s">
        <v>183</v>
      </c>
      <c r="B107" s="148" t="s">
        <v>755</v>
      </c>
      <c r="C107" s="127" t="s">
        <v>16</v>
      </c>
      <c r="D107" s="127" t="s">
        <v>42</v>
      </c>
      <c r="E107" s="127" t="s">
        <v>35</v>
      </c>
      <c r="F107" s="139">
        <v>47.5</v>
      </c>
      <c r="G107" s="130">
        <v>94.95</v>
      </c>
      <c r="H107" s="128"/>
      <c r="I107" s="129">
        <f t="shared" si="1"/>
        <v>0</v>
      </c>
    </row>
    <row r="108" spans="1:9" s="149" customFormat="1">
      <c r="A108" s="147" t="s">
        <v>184</v>
      </c>
      <c r="B108" s="148" t="s">
        <v>405</v>
      </c>
      <c r="C108" s="127" t="s">
        <v>13</v>
      </c>
      <c r="D108" s="127" t="s">
        <v>42</v>
      </c>
      <c r="E108" s="127" t="s">
        <v>388</v>
      </c>
      <c r="F108" s="139">
        <v>42.5</v>
      </c>
      <c r="G108" s="130">
        <v>84.95</v>
      </c>
      <c r="H108" s="128"/>
      <c r="I108" s="129">
        <f t="shared" si="1"/>
        <v>0</v>
      </c>
    </row>
    <row r="109" spans="1:9" s="149" customFormat="1">
      <c r="A109" s="147" t="s">
        <v>185</v>
      </c>
      <c r="B109" s="148" t="s">
        <v>406</v>
      </c>
      <c r="C109" s="127" t="s">
        <v>13</v>
      </c>
      <c r="D109" s="127" t="s">
        <v>42</v>
      </c>
      <c r="E109" s="127" t="s">
        <v>24</v>
      </c>
      <c r="F109" s="139">
        <v>42.5</v>
      </c>
      <c r="G109" s="130">
        <v>84.95</v>
      </c>
      <c r="H109" s="128"/>
      <c r="I109" s="129">
        <f t="shared" si="1"/>
        <v>0</v>
      </c>
    </row>
    <row r="110" spans="1:9" s="149" customFormat="1">
      <c r="A110" s="147" t="s">
        <v>186</v>
      </c>
      <c r="B110" s="148" t="s">
        <v>407</v>
      </c>
      <c r="C110" s="127" t="s">
        <v>13</v>
      </c>
      <c r="D110" s="127" t="s">
        <v>42</v>
      </c>
      <c r="E110" s="127" t="s">
        <v>25</v>
      </c>
      <c r="F110" s="139">
        <v>42.5</v>
      </c>
      <c r="G110" s="130">
        <v>84.95</v>
      </c>
      <c r="H110" s="128"/>
      <c r="I110" s="129">
        <f t="shared" si="1"/>
        <v>0</v>
      </c>
    </row>
    <row r="111" spans="1:9" s="149" customFormat="1">
      <c r="A111" s="147" t="s">
        <v>187</v>
      </c>
      <c r="B111" s="148" t="s">
        <v>408</v>
      </c>
      <c r="C111" s="127" t="s">
        <v>13</v>
      </c>
      <c r="D111" s="127" t="s">
        <v>42</v>
      </c>
      <c r="E111" s="127" t="s">
        <v>26</v>
      </c>
      <c r="F111" s="139">
        <v>42.5</v>
      </c>
      <c r="G111" s="130">
        <v>84.95</v>
      </c>
      <c r="H111" s="128"/>
      <c r="I111" s="129">
        <f t="shared" si="1"/>
        <v>0</v>
      </c>
    </row>
    <row r="112" spans="1:9" s="149" customFormat="1">
      <c r="A112" s="147" t="s">
        <v>188</v>
      </c>
      <c r="B112" s="148" t="s">
        <v>409</v>
      </c>
      <c r="C112" s="127" t="s">
        <v>13</v>
      </c>
      <c r="D112" s="127" t="s">
        <v>42</v>
      </c>
      <c r="E112" s="127" t="s">
        <v>27</v>
      </c>
      <c r="F112" s="139">
        <v>42.5</v>
      </c>
      <c r="G112" s="130">
        <v>84.95</v>
      </c>
      <c r="H112" s="128"/>
      <c r="I112" s="129">
        <f t="shared" si="1"/>
        <v>0</v>
      </c>
    </row>
    <row r="113" spans="1:9" s="149" customFormat="1">
      <c r="A113" s="147" t="s">
        <v>189</v>
      </c>
      <c r="B113" s="148" t="s">
        <v>410</v>
      </c>
      <c r="C113" s="127" t="s">
        <v>13</v>
      </c>
      <c r="D113" s="127" t="s">
        <v>42</v>
      </c>
      <c r="E113" s="127" t="s">
        <v>28</v>
      </c>
      <c r="F113" s="139">
        <v>42.5</v>
      </c>
      <c r="G113" s="130">
        <v>84.95</v>
      </c>
      <c r="H113" s="128"/>
      <c r="I113" s="129">
        <f t="shared" si="1"/>
        <v>0</v>
      </c>
    </row>
    <row r="114" spans="1:9" s="149" customFormat="1">
      <c r="A114" s="147" t="s">
        <v>190</v>
      </c>
      <c r="B114" s="148" t="s">
        <v>411</v>
      </c>
      <c r="C114" s="127" t="s">
        <v>13</v>
      </c>
      <c r="D114" s="127" t="s">
        <v>42</v>
      </c>
      <c r="E114" s="127" t="s">
        <v>35</v>
      </c>
      <c r="F114" s="139">
        <v>42.5</v>
      </c>
      <c r="G114" s="130">
        <v>84.95</v>
      </c>
      <c r="H114" s="128"/>
      <c r="I114" s="129">
        <f t="shared" si="1"/>
        <v>0</v>
      </c>
    </row>
    <row r="115" spans="1:9" s="149" customFormat="1">
      <c r="A115" s="155" t="s">
        <v>861</v>
      </c>
      <c r="B115" s="152" t="s">
        <v>1207</v>
      </c>
      <c r="C115" s="127" t="s">
        <v>16</v>
      </c>
      <c r="D115" s="127" t="s">
        <v>802</v>
      </c>
      <c r="E115" s="127" t="s">
        <v>388</v>
      </c>
      <c r="F115" s="139">
        <v>47.5</v>
      </c>
      <c r="G115" s="130">
        <v>94.95</v>
      </c>
      <c r="H115" s="128"/>
      <c r="I115" s="129">
        <f t="shared" si="1"/>
        <v>0</v>
      </c>
    </row>
    <row r="116" spans="1:9" s="149" customFormat="1">
      <c r="A116" s="155" t="s">
        <v>862</v>
      </c>
      <c r="B116" s="152" t="s">
        <v>1208</v>
      </c>
      <c r="C116" s="127" t="s">
        <v>16</v>
      </c>
      <c r="D116" s="127" t="s">
        <v>802</v>
      </c>
      <c r="E116" s="127" t="s">
        <v>24</v>
      </c>
      <c r="F116" s="139">
        <v>47.5</v>
      </c>
      <c r="G116" s="130">
        <v>94.95</v>
      </c>
      <c r="H116" s="128"/>
      <c r="I116" s="129">
        <f t="shared" si="1"/>
        <v>0</v>
      </c>
    </row>
    <row r="117" spans="1:9" s="149" customFormat="1">
      <c r="A117" s="155" t="s">
        <v>863</v>
      </c>
      <c r="B117" s="152" t="s">
        <v>1209</v>
      </c>
      <c r="C117" s="127" t="s">
        <v>16</v>
      </c>
      <c r="D117" s="127" t="s">
        <v>802</v>
      </c>
      <c r="E117" s="127" t="s">
        <v>25</v>
      </c>
      <c r="F117" s="139">
        <v>47.5</v>
      </c>
      <c r="G117" s="130">
        <v>94.95</v>
      </c>
      <c r="H117" s="128"/>
      <c r="I117" s="129">
        <f t="shared" si="1"/>
        <v>0</v>
      </c>
    </row>
    <row r="118" spans="1:9" s="149" customFormat="1">
      <c r="A118" s="155" t="s">
        <v>864</v>
      </c>
      <c r="B118" s="152" t="s">
        <v>1210</v>
      </c>
      <c r="C118" s="127" t="s">
        <v>16</v>
      </c>
      <c r="D118" s="127" t="s">
        <v>802</v>
      </c>
      <c r="E118" s="127" t="s">
        <v>26</v>
      </c>
      <c r="F118" s="139">
        <v>47.5</v>
      </c>
      <c r="G118" s="130">
        <v>94.95</v>
      </c>
      <c r="H118" s="128"/>
      <c r="I118" s="129">
        <f t="shared" si="1"/>
        <v>0</v>
      </c>
    </row>
    <row r="119" spans="1:9" s="149" customFormat="1">
      <c r="A119" s="155" t="s">
        <v>865</v>
      </c>
      <c r="B119" s="152" t="s">
        <v>1211</v>
      </c>
      <c r="C119" s="127" t="s">
        <v>16</v>
      </c>
      <c r="D119" s="127" t="s">
        <v>802</v>
      </c>
      <c r="E119" s="127" t="s">
        <v>27</v>
      </c>
      <c r="F119" s="139">
        <v>47.5</v>
      </c>
      <c r="G119" s="130">
        <v>94.95</v>
      </c>
      <c r="H119" s="128"/>
      <c r="I119" s="129">
        <f t="shared" si="1"/>
        <v>0</v>
      </c>
    </row>
    <row r="120" spans="1:9" s="149" customFormat="1">
      <c r="A120" s="155" t="s">
        <v>866</v>
      </c>
      <c r="B120" s="152" t="s">
        <v>1212</v>
      </c>
      <c r="C120" s="127" t="s">
        <v>16</v>
      </c>
      <c r="D120" s="127" t="s">
        <v>802</v>
      </c>
      <c r="E120" s="127" t="s">
        <v>28</v>
      </c>
      <c r="F120" s="139">
        <v>47.5</v>
      </c>
      <c r="G120" s="130">
        <v>94.95</v>
      </c>
      <c r="H120" s="128"/>
      <c r="I120" s="129">
        <f t="shared" si="1"/>
        <v>0</v>
      </c>
    </row>
    <row r="121" spans="1:9" s="149" customFormat="1">
      <c r="A121" s="155" t="s">
        <v>867</v>
      </c>
      <c r="B121" s="152" t="s">
        <v>1213</v>
      </c>
      <c r="C121" s="127" t="s">
        <v>16</v>
      </c>
      <c r="D121" s="127" t="s">
        <v>802</v>
      </c>
      <c r="E121" s="127" t="s">
        <v>35</v>
      </c>
      <c r="F121" s="139">
        <v>47.5</v>
      </c>
      <c r="G121" s="130">
        <v>94.95</v>
      </c>
      <c r="H121" s="128"/>
      <c r="I121" s="129">
        <f t="shared" si="1"/>
        <v>0</v>
      </c>
    </row>
    <row r="122" spans="1:9" s="149" customFormat="1">
      <c r="A122" s="155" t="s">
        <v>868</v>
      </c>
      <c r="B122" s="153" t="s">
        <v>1320</v>
      </c>
      <c r="C122" s="127" t="s">
        <v>13</v>
      </c>
      <c r="D122" s="127" t="s">
        <v>802</v>
      </c>
      <c r="E122" s="127" t="s">
        <v>388</v>
      </c>
      <c r="F122" s="139">
        <v>42.5</v>
      </c>
      <c r="G122" s="130">
        <v>84.95</v>
      </c>
      <c r="H122" s="128"/>
      <c r="I122" s="129">
        <f t="shared" si="1"/>
        <v>0</v>
      </c>
    </row>
    <row r="123" spans="1:9" s="149" customFormat="1">
      <c r="A123" s="155" t="s">
        <v>869</v>
      </c>
      <c r="B123" s="153" t="s">
        <v>1321</v>
      </c>
      <c r="C123" s="127" t="s">
        <v>13</v>
      </c>
      <c r="D123" s="127" t="s">
        <v>802</v>
      </c>
      <c r="E123" s="127" t="s">
        <v>24</v>
      </c>
      <c r="F123" s="139">
        <v>42.5</v>
      </c>
      <c r="G123" s="130">
        <v>84.95</v>
      </c>
      <c r="H123" s="128"/>
      <c r="I123" s="129">
        <f t="shared" si="1"/>
        <v>0</v>
      </c>
    </row>
    <row r="124" spans="1:9" s="149" customFormat="1">
      <c r="A124" s="155" t="s">
        <v>870</v>
      </c>
      <c r="B124" s="153" t="s">
        <v>1322</v>
      </c>
      <c r="C124" s="127" t="s">
        <v>13</v>
      </c>
      <c r="D124" s="127" t="s">
        <v>802</v>
      </c>
      <c r="E124" s="127" t="s">
        <v>25</v>
      </c>
      <c r="F124" s="139">
        <v>42.5</v>
      </c>
      <c r="G124" s="130">
        <v>84.95</v>
      </c>
      <c r="H124" s="128"/>
      <c r="I124" s="129">
        <f t="shared" si="1"/>
        <v>0</v>
      </c>
    </row>
    <row r="125" spans="1:9" s="149" customFormat="1">
      <c r="A125" s="155" t="s">
        <v>871</v>
      </c>
      <c r="B125" s="153" t="s">
        <v>1323</v>
      </c>
      <c r="C125" s="127" t="s">
        <v>13</v>
      </c>
      <c r="D125" s="127" t="s">
        <v>802</v>
      </c>
      <c r="E125" s="127" t="s">
        <v>26</v>
      </c>
      <c r="F125" s="139">
        <v>42.5</v>
      </c>
      <c r="G125" s="130">
        <v>84.95</v>
      </c>
      <c r="H125" s="128"/>
      <c r="I125" s="129">
        <f t="shared" si="1"/>
        <v>0</v>
      </c>
    </row>
    <row r="126" spans="1:9" s="149" customFormat="1">
      <c r="A126" s="155" t="s">
        <v>872</v>
      </c>
      <c r="B126" s="153" t="s">
        <v>1324</v>
      </c>
      <c r="C126" s="127" t="s">
        <v>13</v>
      </c>
      <c r="D126" s="127" t="s">
        <v>802</v>
      </c>
      <c r="E126" s="127" t="s">
        <v>27</v>
      </c>
      <c r="F126" s="139">
        <v>42.5</v>
      </c>
      <c r="G126" s="130">
        <v>84.95</v>
      </c>
      <c r="H126" s="128"/>
      <c r="I126" s="129">
        <f t="shared" si="1"/>
        <v>0</v>
      </c>
    </row>
    <row r="127" spans="1:9" s="149" customFormat="1">
      <c r="A127" s="155" t="s">
        <v>873</v>
      </c>
      <c r="B127" s="153" t="s">
        <v>1325</v>
      </c>
      <c r="C127" s="127" t="s">
        <v>13</v>
      </c>
      <c r="D127" s="127" t="s">
        <v>802</v>
      </c>
      <c r="E127" s="127" t="s">
        <v>28</v>
      </c>
      <c r="F127" s="139">
        <v>42.5</v>
      </c>
      <c r="G127" s="130">
        <v>84.95</v>
      </c>
      <c r="H127" s="128"/>
      <c r="I127" s="129">
        <f t="shared" si="1"/>
        <v>0</v>
      </c>
    </row>
    <row r="128" spans="1:9" s="149" customFormat="1">
      <c r="A128" s="155" t="s">
        <v>874</v>
      </c>
      <c r="B128" s="153" t="s">
        <v>1326</v>
      </c>
      <c r="C128" s="127" t="s">
        <v>13</v>
      </c>
      <c r="D128" s="127" t="s">
        <v>802</v>
      </c>
      <c r="E128" s="127" t="s">
        <v>35</v>
      </c>
      <c r="F128" s="139">
        <v>42.5</v>
      </c>
      <c r="G128" s="130">
        <v>84.95</v>
      </c>
      <c r="H128" s="128"/>
      <c r="I128" s="129">
        <f t="shared" si="1"/>
        <v>0</v>
      </c>
    </row>
    <row r="129" spans="1:13" s="158" customFormat="1">
      <c r="A129" s="156">
        <v>7330057025279</v>
      </c>
      <c r="B129" s="229" t="s">
        <v>1737</v>
      </c>
      <c r="C129" s="147" t="s">
        <v>16</v>
      </c>
      <c r="D129" s="147" t="s">
        <v>39</v>
      </c>
      <c r="E129" s="147" t="s">
        <v>388</v>
      </c>
      <c r="F129" s="139">
        <v>47.5</v>
      </c>
      <c r="G129" s="130">
        <v>94.95</v>
      </c>
      <c r="H129" s="128"/>
      <c r="I129" s="129">
        <f t="shared" si="1"/>
        <v>0</v>
      </c>
      <c r="J129" s="157"/>
      <c r="K129" s="157"/>
      <c r="L129" s="157"/>
      <c r="M129" s="157"/>
    </row>
    <row r="130" spans="1:13" s="158" customFormat="1">
      <c r="A130" s="156">
        <v>7330057025286</v>
      </c>
      <c r="B130" s="229" t="s">
        <v>1738</v>
      </c>
      <c r="C130" s="147" t="s">
        <v>16</v>
      </c>
      <c r="D130" s="147" t="s">
        <v>39</v>
      </c>
      <c r="E130" s="147" t="s">
        <v>24</v>
      </c>
      <c r="F130" s="139">
        <v>47.5</v>
      </c>
      <c r="G130" s="130">
        <v>94.95</v>
      </c>
      <c r="H130" s="128"/>
      <c r="I130" s="129">
        <f t="shared" si="1"/>
        <v>0</v>
      </c>
      <c r="J130" s="157"/>
      <c r="K130" s="157"/>
      <c r="L130" s="157"/>
      <c r="M130" s="157"/>
    </row>
    <row r="131" spans="1:13" s="158" customFormat="1">
      <c r="A131" s="156">
        <v>7330057025293</v>
      </c>
      <c r="B131" s="229" t="s">
        <v>1739</v>
      </c>
      <c r="C131" s="147" t="s">
        <v>16</v>
      </c>
      <c r="D131" s="147" t="s">
        <v>39</v>
      </c>
      <c r="E131" s="147" t="s">
        <v>25</v>
      </c>
      <c r="F131" s="139">
        <v>47.5</v>
      </c>
      <c r="G131" s="130">
        <v>94.95</v>
      </c>
      <c r="H131" s="128"/>
      <c r="I131" s="129">
        <f t="shared" si="1"/>
        <v>0</v>
      </c>
      <c r="J131" s="157"/>
      <c r="K131" s="157"/>
      <c r="L131" s="157"/>
      <c r="M131" s="157"/>
    </row>
    <row r="132" spans="1:13" s="158" customFormat="1">
      <c r="A132" s="156">
        <v>7330057025309</v>
      </c>
      <c r="B132" s="229" t="s">
        <v>1740</v>
      </c>
      <c r="C132" s="147" t="s">
        <v>16</v>
      </c>
      <c r="D132" s="147" t="s">
        <v>39</v>
      </c>
      <c r="E132" s="147" t="s">
        <v>26</v>
      </c>
      <c r="F132" s="139">
        <v>47.5</v>
      </c>
      <c r="G132" s="130">
        <v>94.95</v>
      </c>
      <c r="H132" s="128"/>
      <c r="I132" s="129">
        <f t="shared" si="1"/>
        <v>0</v>
      </c>
      <c r="J132" s="157"/>
      <c r="K132" s="157"/>
      <c r="L132" s="157"/>
      <c r="M132" s="157"/>
    </row>
    <row r="133" spans="1:13" s="158" customFormat="1">
      <c r="A133" s="156">
        <v>7330057025316</v>
      </c>
      <c r="B133" s="229" t="s">
        <v>1741</v>
      </c>
      <c r="C133" s="147" t="s">
        <v>16</v>
      </c>
      <c r="D133" s="147" t="s">
        <v>39</v>
      </c>
      <c r="E133" s="147" t="s">
        <v>27</v>
      </c>
      <c r="F133" s="139">
        <v>47.5</v>
      </c>
      <c r="G133" s="130">
        <v>94.95</v>
      </c>
      <c r="H133" s="128"/>
      <c r="I133" s="129">
        <f t="shared" si="1"/>
        <v>0</v>
      </c>
      <c r="J133" s="157"/>
      <c r="K133" s="157"/>
      <c r="L133" s="157"/>
      <c r="M133" s="157"/>
    </row>
    <row r="134" spans="1:13" s="158" customFormat="1">
      <c r="A134" s="156">
        <v>7330057025323</v>
      </c>
      <c r="B134" s="229" t="s">
        <v>1742</v>
      </c>
      <c r="C134" s="147" t="s">
        <v>16</v>
      </c>
      <c r="D134" s="147" t="s">
        <v>39</v>
      </c>
      <c r="E134" s="147" t="s">
        <v>28</v>
      </c>
      <c r="F134" s="139">
        <v>47.5</v>
      </c>
      <c r="G134" s="130">
        <v>94.95</v>
      </c>
      <c r="H134" s="128"/>
      <c r="I134" s="129">
        <f t="shared" si="1"/>
        <v>0</v>
      </c>
      <c r="J134" s="157"/>
      <c r="K134" s="157"/>
      <c r="L134" s="157"/>
      <c r="M134" s="157"/>
    </row>
    <row r="135" spans="1:13" s="158" customFormat="1">
      <c r="A135" s="156">
        <v>7330057025330</v>
      </c>
      <c r="B135" s="229" t="s">
        <v>1743</v>
      </c>
      <c r="C135" s="147" t="s">
        <v>16</v>
      </c>
      <c r="D135" s="147" t="s">
        <v>39</v>
      </c>
      <c r="E135" s="147" t="s">
        <v>35</v>
      </c>
      <c r="F135" s="139">
        <v>47.5</v>
      </c>
      <c r="G135" s="130">
        <v>94.95</v>
      </c>
      <c r="H135" s="128"/>
      <c r="I135" s="129">
        <f t="shared" si="1"/>
        <v>0</v>
      </c>
      <c r="J135" s="157"/>
      <c r="K135" s="157"/>
      <c r="L135" s="157"/>
      <c r="M135" s="157"/>
    </row>
    <row r="136" spans="1:13" s="149" customFormat="1">
      <c r="A136" s="147" t="s">
        <v>114</v>
      </c>
      <c r="B136" s="151" t="s">
        <v>398</v>
      </c>
      <c r="C136" s="127" t="s">
        <v>13</v>
      </c>
      <c r="D136" s="127" t="s">
        <v>39</v>
      </c>
      <c r="E136" s="127" t="s">
        <v>388</v>
      </c>
      <c r="F136" s="139">
        <v>42.5</v>
      </c>
      <c r="G136" s="130">
        <v>84.95</v>
      </c>
      <c r="H136" s="128"/>
      <c r="I136" s="129">
        <f t="shared" si="1"/>
        <v>0</v>
      </c>
    </row>
    <row r="137" spans="1:13" s="149" customFormat="1">
      <c r="A137" s="147" t="s">
        <v>115</v>
      </c>
      <c r="B137" s="151" t="s">
        <v>399</v>
      </c>
      <c r="C137" s="127" t="s">
        <v>13</v>
      </c>
      <c r="D137" s="127" t="s">
        <v>39</v>
      </c>
      <c r="E137" s="127" t="s">
        <v>24</v>
      </c>
      <c r="F137" s="139">
        <v>42.5</v>
      </c>
      <c r="G137" s="130">
        <v>84.95</v>
      </c>
      <c r="H137" s="128"/>
      <c r="I137" s="129">
        <f t="shared" si="1"/>
        <v>0</v>
      </c>
    </row>
    <row r="138" spans="1:13" s="149" customFormat="1">
      <c r="A138" s="147" t="s">
        <v>116</v>
      </c>
      <c r="B138" s="151" t="s">
        <v>400</v>
      </c>
      <c r="C138" s="127" t="s">
        <v>13</v>
      </c>
      <c r="D138" s="127" t="s">
        <v>39</v>
      </c>
      <c r="E138" s="127" t="s">
        <v>25</v>
      </c>
      <c r="F138" s="139">
        <v>42.5</v>
      </c>
      <c r="G138" s="130">
        <v>84.95</v>
      </c>
      <c r="H138" s="128"/>
      <c r="I138" s="129">
        <f t="shared" ref="I138:I201" si="2">F138*H138</f>
        <v>0</v>
      </c>
    </row>
    <row r="139" spans="1:13" s="149" customFormat="1">
      <c r="A139" s="147" t="s">
        <v>117</v>
      </c>
      <c r="B139" s="151" t="s">
        <v>401</v>
      </c>
      <c r="C139" s="127" t="s">
        <v>13</v>
      </c>
      <c r="D139" s="127" t="s">
        <v>39</v>
      </c>
      <c r="E139" s="127" t="s">
        <v>26</v>
      </c>
      <c r="F139" s="139">
        <v>42.5</v>
      </c>
      <c r="G139" s="130">
        <v>84.95</v>
      </c>
      <c r="H139" s="128"/>
      <c r="I139" s="129">
        <f t="shared" si="2"/>
        <v>0</v>
      </c>
    </row>
    <row r="140" spans="1:13" s="149" customFormat="1">
      <c r="A140" s="147" t="s">
        <v>118</v>
      </c>
      <c r="B140" s="151" t="s">
        <v>402</v>
      </c>
      <c r="C140" s="127" t="s">
        <v>13</v>
      </c>
      <c r="D140" s="127" t="s">
        <v>39</v>
      </c>
      <c r="E140" s="127" t="s">
        <v>27</v>
      </c>
      <c r="F140" s="139">
        <v>42.5</v>
      </c>
      <c r="G140" s="130">
        <v>84.95</v>
      </c>
      <c r="H140" s="128"/>
      <c r="I140" s="129">
        <f t="shared" si="2"/>
        <v>0</v>
      </c>
    </row>
    <row r="141" spans="1:13" s="149" customFormat="1">
      <c r="A141" s="147" t="s">
        <v>119</v>
      </c>
      <c r="B141" s="151" t="s">
        <v>403</v>
      </c>
      <c r="C141" s="127" t="s">
        <v>13</v>
      </c>
      <c r="D141" s="127" t="s">
        <v>39</v>
      </c>
      <c r="E141" s="127" t="s">
        <v>28</v>
      </c>
      <c r="F141" s="139">
        <v>42.5</v>
      </c>
      <c r="G141" s="130">
        <v>84.95</v>
      </c>
      <c r="H141" s="128"/>
      <c r="I141" s="129">
        <f t="shared" si="2"/>
        <v>0</v>
      </c>
    </row>
    <row r="142" spans="1:13" s="149" customFormat="1">
      <c r="A142" s="147" t="s">
        <v>120</v>
      </c>
      <c r="B142" s="151" t="s">
        <v>404</v>
      </c>
      <c r="C142" s="127" t="s">
        <v>13</v>
      </c>
      <c r="D142" s="127" t="s">
        <v>39</v>
      </c>
      <c r="E142" s="127" t="s">
        <v>35</v>
      </c>
      <c r="F142" s="139">
        <v>42.5</v>
      </c>
      <c r="G142" s="130">
        <v>84.95</v>
      </c>
      <c r="H142" s="128"/>
      <c r="I142" s="129">
        <f t="shared" si="2"/>
        <v>0</v>
      </c>
    </row>
    <row r="143" spans="1:13" s="149" customFormat="1">
      <c r="A143" s="155" t="s">
        <v>875</v>
      </c>
      <c r="B143" s="152" t="s">
        <v>1214</v>
      </c>
      <c r="C143" s="127" t="s">
        <v>16</v>
      </c>
      <c r="D143" s="127" t="s">
        <v>803</v>
      </c>
      <c r="E143" s="127" t="s">
        <v>388</v>
      </c>
      <c r="F143" s="139">
        <v>47.5</v>
      </c>
      <c r="G143" s="130">
        <v>94.95</v>
      </c>
      <c r="H143" s="128"/>
      <c r="I143" s="129">
        <f t="shared" si="2"/>
        <v>0</v>
      </c>
    </row>
    <row r="144" spans="1:13" s="149" customFormat="1">
      <c r="A144" s="155" t="s">
        <v>876</v>
      </c>
      <c r="B144" s="152" t="s">
        <v>1215</v>
      </c>
      <c r="C144" s="127" t="s">
        <v>16</v>
      </c>
      <c r="D144" s="127" t="s">
        <v>803</v>
      </c>
      <c r="E144" s="127" t="s">
        <v>24</v>
      </c>
      <c r="F144" s="139">
        <v>47.5</v>
      </c>
      <c r="G144" s="130">
        <v>94.95</v>
      </c>
      <c r="H144" s="128"/>
      <c r="I144" s="129">
        <f t="shared" si="2"/>
        <v>0</v>
      </c>
    </row>
    <row r="145" spans="1:9" s="149" customFormat="1">
      <c r="A145" s="155" t="s">
        <v>877</v>
      </c>
      <c r="B145" s="152" t="s">
        <v>1216</v>
      </c>
      <c r="C145" s="127" t="s">
        <v>16</v>
      </c>
      <c r="D145" s="127" t="s">
        <v>803</v>
      </c>
      <c r="E145" s="127" t="s">
        <v>25</v>
      </c>
      <c r="F145" s="139">
        <v>47.5</v>
      </c>
      <c r="G145" s="130">
        <v>94.95</v>
      </c>
      <c r="H145" s="128"/>
      <c r="I145" s="129">
        <f t="shared" si="2"/>
        <v>0</v>
      </c>
    </row>
    <row r="146" spans="1:9" s="149" customFormat="1">
      <c r="A146" s="155" t="s">
        <v>878</v>
      </c>
      <c r="B146" s="152" t="s">
        <v>1217</v>
      </c>
      <c r="C146" s="127" t="s">
        <v>16</v>
      </c>
      <c r="D146" s="127" t="s">
        <v>803</v>
      </c>
      <c r="E146" s="127" t="s">
        <v>26</v>
      </c>
      <c r="F146" s="139">
        <v>47.5</v>
      </c>
      <c r="G146" s="130">
        <v>94.95</v>
      </c>
      <c r="H146" s="128"/>
      <c r="I146" s="129">
        <f t="shared" si="2"/>
        <v>0</v>
      </c>
    </row>
    <row r="147" spans="1:9" s="149" customFormat="1">
      <c r="A147" s="155" t="s">
        <v>879</v>
      </c>
      <c r="B147" s="152" t="s">
        <v>1218</v>
      </c>
      <c r="C147" s="127" t="s">
        <v>16</v>
      </c>
      <c r="D147" s="127" t="s">
        <v>803</v>
      </c>
      <c r="E147" s="127" t="s">
        <v>27</v>
      </c>
      <c r="F147" s="139">
        <v>47.5</v>
      </c>
      <c r="G147" s="130">
        <v>94.95</v>
      </c>
      <c r="H147" s="128"/>
      <c r="I147" s="129">
        <f t="shared" si="2"/>
        <v>0</v>
      </c>
    </row>
    <row r="148" spans="1:9" s="149" customFormat="1">
      <c r="A148" s="155" t="s">
        <v>880</v>
      </c>
      <c r="B148" s="152" t="s">
        <v>1219</v>
      </c>
      <c r="C148" s="127" t="s">
        <v>16</v>
      </c>
      <c r="D148" s="127" t="s">
        <v>803</v>
      </c>
      <c r="E148" s="127" t="s">
        <v>28</v>
      </c>
      <c r="F148" s="139">
        <v>47.5</v>
      </c>
      <c r="G148" s="130">
        <v>94.95</v>
      </c>
      <c r="H148" s="128"/>
      <c r="I148" s="129">
        <f t="shared" si="2"/>
        <v>0</v>
      </c>
    </row>
    <row r="149" spans="1:9" s="149" customFormat="1">
      <c r="A149" s="155" t="s">
        <v>881</v>
      </c>
      <c r="B149" s="152" t="s">
        <v>1220</v>
      </c>
      <c r="C149" s="127" t="s">
        <v>16</v>
      </c>
      <c r="D149" s="127" t="s">
        <v>803</v>
      </c>
      <c r="E149" s="127" t="s">
        <v>35</v>
      </c>
      <c r="F149" s="139">
        <v>47.5</v>
      </c>
      <c r="G149" s="130">
        <v>94.95</v>
      </c>
      <c r="H149" s="128"/>
      <c r="I149" s="129">
        <f t="shared" si="2"/>
        <v>0</v>
      </c>
    </row>
    <row r="150" spans="1:9" s="149" customFormat="1">
      <c r="A150" s="155" t="s">
        <v>882</v>
      </c>
      <c r="B150" s="153" t="s">
        <v>1327</v>
      </c>
      <c r="C150" s="127" t="s">
        <v>13</v>
      </c>
      <c r="D150" s="127" t="s">
        <v>803</v>
      </c>
      <c r="E150" s="127" t="s">
        <v>388</v>
      </c>
      <c r="F150" s="139">
        <v>42.5</v>
      </c>
      <c r="G150" s="130">
        <v>84.95</v>
      </c>
      <c r="H150" s="128"/>
      <c r="I150" s="129">
        <f t="shared" si="2"/>
        <v>0</v>
      </c>
    </row>
    <row r="151" spans="1:9" s="149" customFormat="1">
      <c r="A151" s="155" t="s">
        <v>883</v>
      </c>
      <c r="B151" s="153" t="s">
        <v>1328</v>
      </c>
      <c r="C151" s="127" t="s">
        <v>13</v>
      </c>
      <c r="D151" s="127" t="s">
        <v>803</v>
      </c>
      <c r="E151" s="127" t="s">
        <v>24</v>
      </c>
      <c r="F151" s="139">
        <v>42.5</v>
      </c>
      <c r="G151" s="130">
        <v>84.95</v>
      </c>
      <c r="H151" s="128"/>
      <c r="I151" s="129">
        <f t="shared" si="2"/>
        <v>0</v>
      </c>
    </row>
    <row r="152" spans="1:9" s="149" customFormat="1">
      <c r="A152" s="155" t="s">
        <v>884</v>
      </c>
      <c r="B152" s="153" t="s">
        <v>1329</v>
      </c>
      <c r="C152" s="127" t="s">
        <v>13</v>
      </c>
      <c r="D152" s="127" t="s">
        <v>803</v>
      </c>
      <c r="E152" s="127" t="s">
        <v>25</v>
      </c>
      <c r="F152" s="139">
        <v>42.5</v>
      </c>
      <c r="G152" s="130">
        <v>84.95</v>
      </c>
      <c r="H152" s="128"/>
      <c r="I152" s="129">
        <f t="shared" si="2"/>
        <v>0</v>
      </c>
    </row>
    <row r="153" spans="1:9" s="149" customFormat="1">
      <c r="A153" s="155" t="s">
        <v>885</v>
      </c>
      <c r="B153" s="153" t="s">
        <v>1330</v>
      </c>
      <c r="C153" s="127" t="s">
        <v>13</v>
      </c>
      <c r="D153" s="127" t="s">
        <v>803</v>
      </c>
      <c r="E153" s="127" t="s">
        <v>26</v>
      </c>
      <c r="F153" s="139">
        <v>42.5</v>
      </c>
      <c r="G153" s="130">
        <v>84.95</v>
      </c>
      <c r="H153" s="128"/>
      <c r="I153" s="129">
        <f t="shared" si="2"/>
        <v>0</v>
      </c>
    </row>
    <row r="154" spans="1:9" s="149" customFormat="1">
      <c r="A154" s="155" t="s">
        <v>886</v>
      </c>
      <c r="B154" s="153" t="s">
        <v>1331</v>
      </c>
      <c r="C154" s="127" t="s">
        <v>13</v>
      </c>
      <c r="D154" s="127" t="s">
        <v>803</v>
      </c>
      <c r="E154" s="127" t="s">
        <v>27</v>
      </c>
      <c r="F154" s="139">
        <v>42.5</v>
      </c>
      <c r="G154" s="130">
        <v>84.95</v>
      </c>
      <c r="H154" s="128"/>
      <c r="I154" s="129">
        <f t="shared" si="2"/>
        <v>0</v>
      </c>
    </row>
    <row r="155" spans="1:9" s="149" customFormat="1">
      <c r="A155" s="155" t="s">
        <v>887</v>
      </c>
      <c r="B155" s="153" t="s">
        <v>1332</v>
      </c>
      <c r="C155" s="127" t="s">
        <v>13</v>
      </c>
      <c r="D155" s="127" t="s">
        <v>803</v>
      </c>
      <c r="E155" s="127" t="s">
        <v>28</v>
      </c>
      <c r="F155" s="139">
        <v>42.5</v>
      </c>
      <c r="G155" s="130">
        <v>84.95</v>
      </c>
      <c r="H155" s="128"/>
      <c r="I155" s="129">
        <f t="shared" si="2"/>
        <v>0</v>
      </c>
    </row>
    <row r="156" spans="1:9" s="149" customFormat="1">
      <c r="A156" s="155" t="s">
        <v>888</v>
      </c>
      <c r="B156" s="153" t="s">
        <v>1333</v>
      </c>
      <c r="C156" s="127" t="s">
        <v>13</v>
      </c>
      <c r="D156" s="127" t="s">
        <v>803</v>
      </c>
      <c r="E156" s="127" t="s">
        <v>35</v>
      </c>
      <c r="F156" s="139">
        <v>42.5</v>
      </c>
      <c r="G156" s="130">
        <v>84.95</v>
      </c>
      <c r="H156" s="128"/>
      <c r="I156" s="129">
        <f t="shared" si="2"/>
        <v>0</v>
      </c>
    </row>
    <row r="157" spans="1:9" s="149" customFormat="1">
      <c r="A157" s="147" t="s">
        <v>163</v>
      </c>
      <c r="B157" s="148" t="s">
        <v>756</v>
      </c>
      <c r="C157" s="127" t="s">
        <v>16</v>
      </c>
      <c r="D157" s="127" t="s">
        <v>41</v>
      </c>
      <c r="E157" s="127" t="s">
        <v>388</v>
      </c>
      <c r="F157" s="139">
        <v>47.5</v>
      </c>
      <c r="G157" s="130">
        <v>94.95</v>
      </c>
      <c r="H157" s="128"/>
      <c r="I157" s="129">
        <f t="shared" si="2"/>
        <v>0</v>
      </c>
    </row>
    <row r="158" spans="1:9" s="149" customFormat="1">
      <c r="A158" s="147" t="s">
        <v>164</v>
      </c>
      <c r="B158" s="148" t="s">
        <v>757</v>
      </c>
      <c r="C158" s="127" t="s">
        <v>16</v>
      </c>
      <c r="D158" s="127" t="s">
        <v>41</v>
      </c>
      <c r="E158" s="127" t="s">
        <v>24</v>
      </c>
      <c r="F158" s="139">
        <v>47.5</v>
      </c>
      <c r="G158" s="130">
        <v>94.95</v>
      </c>
      <c r="H158" s="128"/>
      <c r="I158" s="129">
        <f t="shared" si="2"/>
        <v>0</v>
      </c>
    </row>
    <row r="159" spans="1:9" s="149" customFormat="1">
      <c r="A159" s="147" t="s">
        <v>165</v>
      </c>
      <c r="B159" s="148" t="s">
        <v>758</v>
      </c>
      <c r="C159" s="127" t="s">
        <v>16</v>
      </c>
      <c r="D159" s="127" t="s">
        <v>41</v>
      </c>
      <c r="E159" s="127" t="s">
        <v>25</v>
      </c>
      <c r="F159" s="139">
        <v>47.5</v>
      </c>
      <c r="G159" s="130">
        <v>94.95</v>
      </c>
      <c r="H159" s="128"/>
      <c r="I159" s="129">
        <f t="shared" si="2"/>
        <v>0</v>
      </c>
    </row>
    <row r="160" spans="1:9" s="149" customFormat="1">
      <c r="A160" s="147" t="s">
        <v>166</v>
      </c>
      <c r="B160" s="148" t="s">
        <v>759</v>
      </c>
      <c r="C160" s="127" t="s">
        <v>16</v>
      </c>
      <c r="D160" s="127" t="s">
        <v>41</v>
      </c>
      <c r="E160" s="127" t="s">
        <v>26</v>
      </c>
      <c r="F160" s="139">
        <v>47.5</v>
      </c>
      <c r="G160" s="130">
        <v>94.95</v>
      </c>
      <c r="H160" s="128"/>
      <c r="I160" s="129">
        <f t="shared" si="2"/>
        <v>0</v>
      </c>
    </row>
    <row r="161" spans="1:9" s="149" customFormat="1">
      <c r="A161" s="147" t="s">
        <v>167</v>
      </c>
      <c r="B161" s="148" t="s">
        <v>760</v>
      </c>
      <c r="C161" s="127" t="s">
        <v>16</v>
      </c>
      <c r="D161" s="127" t="s">
        <v>41</v>
      </c>
      <c r="E161" s="127" t="s">
        <v>27</v>
      </c>
      <c r="F161" s="139">
        <v>47.5</v>
      </c>
      <c r="G161" s="130">
        <v>94.95</v>
      </c>
      <c r="H161" s="128"/>
      <c r="I161" s="129">
        <f t="shared" si="2"/>
        <v>0</v>
      </c>
    </row>
    <row r="162" spans="1:9" s="149" customFormat="1">
      <c r="A162" s="147" t="s">
        <v>168</v>
      </c>
      <c r="B162" s="148" t="s">
        <v>761</v>
      </c>
      <c r="C162" s="127" t="s">
        <v>16</v>
      </c>
      <c r="D162" s="127" t="s">
        <v>41</v>
      </c>
      <c r="E162" s="127" t="s">
        <v>28</v>
      </c>
      <c r="F162" s="139">
        <v>47.5</v>
      </c>
      <c r="G162" s="130">
        <v>94.95</v>
      </c>
      <c r="H162" s="128"/>
      <c r="I162" s="129">
        <f t="shared" si="2"/>
        <v>0</v>
      </c>
    </row>
    <row r="163" spans="1:9" s="149" customFormat="1">
      <c r="A163" s="147" t="s">
        <v>169</v>
      </c>
      <c r="B163" s="148" t="s">
        <v>762</v>
      </c>
      <c r="C163" s="127" t="s">
        <v>16</v>
      </c>
      <c r="D163" s="127" t="s">
        <v>41</v>
      </c>
      <c r="E163" s="127" t="s">
        <v>35</v>
      </c>
      <c r="F163" s="139">
        <v>47.5</v>
      </c>
      <c r="G163" s="130">
        <v>94.95</v>
      </c>
      <c r="H163" s="128"/>
      <c r="I163" s="129">
        <f t="shared" si="2"/>
        <v>0</v>
      </c>
    </row>
    <row r="164" spans="1:9" s="149" customFormat="1">
      <c r="A164" s="147" t="s">
        <v>170</v>
      </c>
      <c r="B164" s="148" t="s">
        <v>426</v>
      </c>
      <c r="C164" s="127" t="s">
        <v>13</v>
      </c>
      <c r="D164" s="127" t="s">
        <v>41</v>
      </c>
      <c r="E164" s="127" t="s">
        <v>388</v>
      </c>
      <c r="F164" s="139">
        <v>42.5</v>
      </c>
      <c r="G164" s="130">
        <v>84.95</v>
      </c>
      <c r="H164" s="128"/>
      <c r="I164" s="129">
        <f t="shared" si="2"/>
        <v>0</v>
      </c>
    </row>
    <row r="165" spans="1:9" s="149" customFormat="1">
      <c r="A165" s="147" t="s">
        <v>171</v>
      </c>
      <c r="B165" s="148" t="s">
        <v>427</v>
      </c>
      <c r="C165" s="127" t="s">
        <v>13</v>
      </c>
      <c r="D165" s="127" t="s">
        <v>41</v>
      </c>
      <c r="E165" s="127" t="s">
        <v>24</v>
      </c>
      <c r="F165" s="139">
        <v>42.5</v>
      </c>
      <c r="G165" s="130">
        <v>84.95</v>
      </c>
      <c r="H165" s="128"/>
      <c r="I165" s="129">
        <f t="shared" si="2"/>
        <v>0</v>
      </c>
    </row>
    <row r="166" spans="1:9" s="149" customFormat="1">
      <c r="A166" s="147" t="s">
        <v>172</v>
      </c>
      <c r="B166" s="148" t="s">
        <v>428</v>
      </c>
      <c r="C166" s="127" t="s">
        <v>13</v>
      </c>
      <c r="D166" s="127" t="s">
        <v>41</v>
      </c>
      <c r="E166" s="127" t="s">
        <v>25</v>
      </c>
      <c r="F166" s="139">
        <v>42.5</v>
      </c>
      <c r="G166" s="130">
        <v>84.95</v>
      </c>
      <c r="H166" s="128"/>
      <c r="I166" s="129">
        <f t="shared" si="2"/>
        <v>0</v>
      </c>
    </row>
    <row r="167" spans="1:9" s="149" customFormat="1">
      <c r="A167" s="147" t="s">
        <v>173</v>
      </c>
      <c r="B167" s="148" t="s">
        <v>429</v>
      </c>
      <c r="C167" s="127" t="s">
        <v>13</v>
      </c>
      <c r="D167" s="127" t="s">
        <v>41</v>
      </c>
      <c r="E167" s="127" t="s">
        <v>26</v>
      </c>
      <c r="F167" s="139">
        <v>42.5</v>
      </c>
      <c r="G167" s="130">
        <v>84.95</v>
      </c>
      <c r="H167" s="128"/>
      <c r="I167" s="129">
        <f t="shared" si="2"/>
        <v>0</v>
      </c>
    </row>
    <row r="168" spans="1:9" s="149" customFormat="1">
      <c r="A168" s="147" t="s">
        <v>174</v>
      </c>
      <c r="B168" s="148" t="s">
        <v>430</v>
      </c>
      <c r="C168" s="127" t="s">
        <v>13</v>
      </c>
      <c r="D168" s="127" t="s">
        <v>41</v>
      </c>
      <c r="E168" s="127" t="s">
        <v>27</v>
      </c>
      <c r="F168" s="139">
        <v>42.5</v>
      </c>
      <c r="G168" s="130">
        <v>84.95</v>
      </c>
      <c r="H168" s="128"/>
      <c r="I168" s="129">
        <f t="shared" si="2"/>
        <v>0</v>
      </c>
    </row>
    <row r="169" spans="1:9" s="149" customFormat="1">
      <c r="A169" s="147" t="s">
        <v>175</v>
      </c>
      <c r="B169" s="148" t="s">
        <v>431</v>
      </c>
      <c r="C169" s="127" t="s">
        <v>13</v>
      </c>
      <c r="D169" s="127" t="s">
        <v>41</v>
      </c>
      <c r="E169" s="127" t="s">
        <v>28</v>
      </c>
      <c r="F169" s="139">
        <v>42.5</v>
      </c>
      <c r="G169" s="130">
        <v>84.95</v>
      </c>
      <c r="H169" s="128"/>
      <c r="I169" s="129">
        <f t="shared" si="2"/>
        <v>0</v>
      </c>
    </row>
    <row r="170" spans="1:9" s="149" customFormat="1">
      <c r="A170" s="147" t="s">
        <v>176</v>
      </c>
      <c r="B170" s="148" t="s">
        <v>432</v>
      </c>
      <c r="C170" s="127" t="s">
        <v>13</v>
      </c>
      <c r="D170" s="127" t="s">
        <v>41</v>
      </c>
      <c r="E170" s="127" t="s">
        <v>35</v>
      </c>
      <c r="F170" s="139">
        <v>42.5</v>
      </c>
      <c r="G170" s="130">
        <v>84.95</v>
      </c>
      <c r="H170" s="128"/>
      <c r="I170" s="129">
        <f t="shared" si="2"/>
        <v>0</v>
      </c>
    </row>
    <row r="171" spans="1:9" s="149" customFormat="1">
      <c r="A171" s="155" t="s">
        <v>889</v>
      </c>
      <c r="B171" s="152" t="s">
        <v>1221</v>
      </c>
      <c r="C171" s="127" t="s">
        <v>14</v>
      </c>
      <c r="D171" s="127" t="s">
        <v>9</v>
      </c>
      <c r="E171" s="127" t="s">
        <v>388</v>
      </c>
      <c r="F171" s="139">
        <v>47.5</v>
      </c>
      <c r="G171" s="130">
        <v>94.95</v>
      </c>
      <c r="H171" s="128"/>
      <c r="I171" s="129">
        <f t="shared" si="2"/>
        <v>0</v>
      </c>
    </row>
    <row r="172" spans="1:9" s="149" customFormat="1">
      <c r="A172" s="155" t="s">
        <v>890</v>
      </c>
      <c r="B172" s="152" t="s">
        <v>1222</v>
      </c>
      <c r="C172" s="127" t="s">
        <v>14</v>
      </c>
      <c r="D172" s="127" t="s">
        <v>9</v>
      </c>
      <c r="E172" s="127" t="s">
        <v>24</v>
      </c>
      <c r="F172" s="139">
        <v>47.5</v>
      </c>
      <c r="G172" s="130">
        <v>94.95</v>
      </c>
      <c r="H172" s="128"/>
      <c r="I172" s="129">
        <f t="shared" si="2"/>
        <v>0</v>
      </c>
    </row>
    <row r="173" spans="1:9" s="149" customFormat="1">
      <c r="A173" s="155" t="s">
        <v>891</v>
      </c>
      <c r="B173" s="152" t="s">
        <v>1223</v>
      </c>
      <c r="C173" s="127" t="s">
        <v>14</v>
      </c>
      <c r="D173" s="127" t="s">
        <v>9</v>
      </c>
      <c r="E173" s="127" t="s">
        <v>25</v>
      </c>
      <c r="F173" s="139">
        <v>47.5</v>
      </c>
      <c r="G173" s="130">
        <v>94.95</v>
      </c>
      <c r="H173" s="128"/>
      <c r="I173" s="129">
        <f t="shared" si="2"/>
        <v>0</v>
      </c>
    </row>
    <row r="174" spans="1:9" s="149" customFormat="1">
      <c r="A174" s="155" t="s">
        <v>892</v>
      </c>
      <c r="B174" s="152" t="s">
        <v>1224</v>
      </c>
      <c r="C174" s="127" t="s">
        <v>14</v>
      </c>
      <c r="D174" s="127" t="s">
        <v>9</v>
      </c>
      <c r="E174" s="127" t="s">
        <v>26</v>
      </c>
      <c r="F174" s="139">
        <v>47.5</v>
      </c>
      <c r="G174" s="130">
        <v>94.95</v>
      </c>
      <c r="H174" s="128"/>
      <c r="I174" s="129">
        <f t="shared" si="2"/>
        <v>0</v>
      </c>
    </row>
    <row r="175" spans="1:9" s="149" customFormat="1">
      <c r="A175" s="155" t="s">
        <v>893</v>
      </c>
      <c r="B175" s="152" t="s">
        <v>1225</v>
      </c>
      <c r="C175" s="127" t="s">
        <v>14</v>
      </c>
      <c r="D175" s="127" t="s">
        <v>9</v>
      </c>
      <c r="E175" s="127" t="s">
        <v>27</v>
      </c>
      <c r="F175" s="139">
        <v>47.5</v>
      </c>
      <c r="G175" s="130">
        <v>94.95</v>
      </c>
      <c r="H175" s="128"/>
      <c r="I175" s="129">
        <f t="shared" si="2"/>
        <v>0</v>
      </c>
    </row>
    <row r="176" spans="1:9" s="149" customFormat="1">
      <c r="A176" s="155" t="s">
        <v>894</v>
      </c>
      <c r="B176" s="152" t="s">
        <v>1226</v>
      </c>
      <c r="C176" s="127" t="s">
        <v>14</v>
      </c>
      <c r="D176" s="127" t="s">
        <v>9</v>
      </c>
      <c r="E176" s="127" t="s">
        <v>28</v>
      </c>
      <c r="F176" s="139">
        <v>47.5</v>
      </c>
      <c r="G176" s="130">
        <v>94.95</v>
      </c>
      <c r="H176" s="128"/>
      <c r="I176" s="129">
        <f t="shared" si="2"/>
        <v>0</v>
      </c>
    </row>
    <row r="177" spans="1:9" s="149" customFormat="1">
      <c r="A177" s="155" t="s">
        <v>895</v>
      </c>
      <c r="B177" s="152" t="s">
        <v>1227</v>
      </c>
      <c r="C177" s="127" t="s">
        <v>14</v>
      </c>
      <c r="D177" s="127" t="s">
        <v>9</v>
      </c>
      <c r="E177" s="127" t="s">
        <v>35</v>
      </c>
      <c r="F177" s="139">
        <v>47.5</v>
      </c>
      <c r="G177" s="130">
        <v>94.95</v>
      </c>
      <c r="H177" s="128"/>
      <c r="I177" s="129">
        <f t="shared" si="2"/>
        <v>0</v>
      </c>
    </row>
    <row r="178" spans="1:9" s="149" customFormat="1">
      <c r="A178" s="155" t="s">
        <v>896</v>
      </c>
      <c r="B178" s="153" t="s">
        <v>1306</v>
      </c>
      <c r="C178" s="127" t="s">
        <v>13</v>
      </c>
      <c r="D178" s="127" t="s">
        <v>9</v>
      </c>
      <c r="E178" s="127" t="s">
        <v>388</v>
      </c>
      <c r="F178" s="139">
        <v>42.5</v>
      </c>
      <c r="G178" s="130">
        <v>84.95</v>
      </c>
      <c r="H178" s="128"/>
      <c r="I178" s="129">
        <f t="shared" si="2"/>
        <v>0</v>
      </c>
    </row>
    <row r="179" spans="1:9" s="149" customFormat="1">
      <c r="A179" s="155" t="s">
        <v>897</v>
      </c>
      <c r="B179" s="153" t="s">
        <v>1307</v>
      </c>
      <c r="C179" s="127" t="s">
        <v>13</v>
      </c>
      <c r="D179" s="127" t="s">
        <v>9</v>
      </c>
      <c r="E179" s="127" t="s">
        <v>24</v>
      </c>
      <c r="F179" s="139">
        <v>42.5</v>
      </c>
      <c r="G179" s="130">
        <v>84.95</v>
      </c>
      <c r="H179" s="128"/>
      <c r="I179" s="129">
        <f t="shared" si="2"/>
        <v>0</v>
      </c>
    </row>
    <row r="180" spans="1:9" s="149" customFormat="1">
      <c r="A180" s="155" t="s">
        <v>898</v>
      </c>
      <c r="B180" s="153" t="s">
        <v>1308</v>
      </c>
      <c r="C180" s="127" t="s">
        <v>13</v>
      </c>
      <c r="D180" s="127" t="s">
        <v>9</v>
      </c>
      <c r="E180" s="127" t="s">
        <v>25</v>
      </c>
      <c r="F180" s="139">
        <v>42.5</v>
      </c>
      <c r="G180" s="130">
        <v>84.95</v>
      </c>
      <c r="H180" s="128"/>
      <c r="I180" s="129">
        <f t="shared" si="2"/>
        <v>0</v>
      </c>
    </row>
    <row r="181" spans="1:9" s="149" customFormat="1">
      <c r="A181" s="155" t="s">
        <v>899</v>
      </c>
      <c r="B181" s="153" t="s">
        <v>1309</v>
      </c>
      <c r="C181" s="127" t="s">
        <v>13</v>
      </c>
      <c r="D181" s="127" t="s">
        <v>9</v>
      </c>
      <c r="E181" s="127" t="s">
        <v>26</v>
      </c>
      <c r="F181" s="139">
        <v>42.5</v>
      </c>
      <c r="G181" s="130">
        <v>84.95</v>
      </c>
      <c r="H181" s="128"/>
      <c r="I181" s="129">
        <f t="shared" si="2"/>
        <v>0</v>
      </c>
    </row>
    <row r="182" spans="1:9" s="149" customFormat="1">
      <c r="A182" s="155" t="s">
        <v>900</v>
      </c>
      <c r="B182" s="153" t="s">
        <v>1310</v>
      </c>
      <c r="C182" s="127" t="s">
        <v>13</v>
      </c>
      <c r="D182" s="127" t="s">
        <v>9</v>
      </c>
      <c r="E182" s="127" t="s">
        <v>27</v>
      </c>
      <c r="F182" s="139">
        <v>42.5</v>
      </c>
      <c r="G182" s="130">
        <v>84.95</v>
      </c>
      <c r="H182" s="128"/>
      <c r="I182" s="129">
        <f t="shared" si="2"/>
        <v>0</v>
      </c>
    </row>
    <row r="183" spans="1:9" s="149" customFormat="1">
      <c r="A183" s="155" t="s">
        <v>901</v>
      </c>
      <c r="B183" s="153" t="s">
        <v>1311</v>
      </c>
      <c r="C183" s="127" t="s">
        <v>13</v>
      </c>
      <c r="D183" s="127" t="s">
        <v>9</v>
      </c>
      <c r="E183" s="127" t="s">
        <v>28</v>
      </c>
      <c r="F183" s="139">
        <v>42.5</v>
      </c>
      <c r="G183" s="130">
        <v>84.95</v>
      </c>
      <c r="H183" s="128"/>
      <c r="I183" s="129">
        <f t="shared" si="2"/>
        <v>0</v>
      </c>
    </row>
    <row r="184" spans="1:9" s="149" customFormat="1">
      <c r="A184" s="155" t="s">
        <v>902</v>
      </c>
      <c r="B184" s="153" t="s">
        <v>1312</v>
      </c>
      <c r="C184" s="127" t="s">
        <v>13</v>
      </c>
      <c r="D184" s="127" t="s">
        <v>9</v>
      </c>
      <c r="E184" s="127" t="s">
        <v>35</v>
      </c>
      <c r="F184" s="139">
        <v>42.5</v>
      </c>
      <c r="G184" s="130">
        <v>84.95</v>
      </c>
      <c r="H184" s="128"/>
      <c r="I184" s="129">
        <f t="shared" si="2"/>
        <v>0</v>
      </c>
    </row>
    <row r="185" spans="1:9" s="149" customFormat="1">
      <c r="A185" s="155" t="s">
        <v>903</v>
      </c>
      <c r="B185" s="152" t="s">
        <v>1334</v>
      </c>
      <c r="C185" s="127" t="s">
        <v>38</v>
      </c>
      <c r="D185" s="127" t="s">
        <v>9</v>
      </c>
      <c r="E185" s="127" t="s">
        <v>388</v>
      </c>
      <c r="F185" s="139">
        <v>42.5</v>
      </c>
      <c r="G185" s="130">
        <v>84.95</v>
      </c>
      <c r="H185" s="128"/>
      <c r="I185" s="129">
        <f t="shared" si="2"/>
        <v>0</v>
      </c>
    </row>
    <row r="186" spans="1:9" s="149" customFormat="1">
      <c r="A186" s="155" t="s">
        <v>904</v>
      </c>
      <c r="B186" s="152" t="s">
        <v>1335</v>
      </c>
      <c r="C186" s="127" t="s">
        <v>38</v>
      </c>
      <c r="D186" s="127" t="s">
        <v>9</v>
      </c>
      <c r="E186" s="127" t="s">
        <v>24</v>
      </c>
      <c r="F186" s="139">
        <v>42.5</v>
      </c>
      <c r="G186" s="130">
        <v>84.95</v>
      </c>
      <c r="H186" s="128"/>
      <c r="I186" s="129">
        <f t="shared" si="2"/>
        <v>0</v>
      </c>
    </row>
    <row r="187" spans="1:9" s="149" customFormat="1">
      <c r="A187" s="155" t="s">
        <v>905</v>
      </c>
      <c r="B187" s="152" t="s">
        <v>1336</v>
      </c>
      <c r="C187" s="127" t="s">
        <v>38</v>
      </c>
      <c r="D187" s="127" t="s">
        <v>9</v>
      </c>
      <c r="E187" s="127" t="s">
        <v>25</v>
      </c>
      <c r="F187" s="139">
        <v>42.5</v>
      </c>
      <c r="G187" s="130">
        <v>84.95</v>
      </c>
      <c r="H187" s="128"/>
      <c r="I187" s="129">
        <f t="shared" si="2"/>
        <v>0</v>
      </c>
    </row>
    <row r="188" spans="1:9" s="149" customFormat="1">
      <c r="A188" s="155" t="s">
        <v>906</v>
      </c>
      <c r="B188" s="152" t="s">
        <v>1337</v>
      </c>
      <c r="C188" s="127" t="s">
        <v>38</v>
      </c>
      <c r="D188" s="127" t="s">
        <v>9</v>
      </c>
      <c r="E188" s="127" t="s">
        <v>26</v>
      </c>
      <c r="F188" s="139">
        <v>42.5</v>
      </c>
      <c r="G188" s="130">
        <v>84.95</v>
      </c>
      <c r="H188" s="128"/>
      <c r="I188" s="129">
        <f t="shared" si="2"/>
        <v>0</v>
      </c>
    </row>
    <row r="189" spans="1:9" s="149" customFormat="1">
      <c r="A189" s="155" t="s">
        <v>907</v>
      </c>
      <c r="B189" s="152" t="s">
        <v>1338</v>
      </c>
      <c r="C189" s="127" t="s">
        <v>38</v>
      </c>
      <c r="D189" s="127" t="s">
        <v>9</v>
      </c>
      <c r="E189" s="127" t="s">
        <v>27</v>
      </c>
      <c r="F189" s="139">
        <v>42.5</v>
      </c>
      <c r="G189" s="130">
        <v>84.95</v>
      </c>
      <c r="H189" s="128"/>
      <c r="I189" s="129">
        <f t="shared" si="2"/>
        <v>0</v>
      </c>
    </row>
    <row r="190" spans="1:9" s="149" customFormat="1">
      <c r="A190" s="155" t="s">
        <v>908</v>
      </c>
      <c r="B190" s="152" t="s">
        <v>1339</v>
      </c>
      <c r="C190" s="127" t="s">
        <v>38</v>
      </c>
      <c r="D190" s="127" t="s">
        <v>9</v>
      </c>
      <c r="E190" s="127" t="s">
        <v>28</v>
      </c>
      <c r="F190" s="139">
        <v>42.5</v>
      </c>
      <c r="G190" s="130">
        <v>84.95</v>
      </c>
      <c r="H190" s="128"/>
      <c r="I190" s="129">
        <f t="shared" si="2"/>
        <v>0</v>
      </c>
    </row>
    <row r="191" spans="1:9" s="149" customFormat="1">
      <c r="A191" s="155" t="s">
        <v>909</v>
      </c>
      <c r="B191" s="152" t="s">
        <v>1340</v>
      </c>
      <c r="C191" s="127" t="s">
        <v>38</v>
      </c>
      <c r="D191" s="127" t="s">
        <v>9</v>
      </c>
      <c r="E191" s="127" t="s">
        <v>35</v>
      </c>
      <c r="F191" s="139">
        <v>42.5</v>
      </c>
      <c r="G191" s="130">
        <v>84.95</v>
      </c>
      <c r="H191" s="128"/>
      <c r="I191" s="129">
        <f t="shared" si="2"/>
        <v>0</v>
      </c>
    </row>
    <row r="192" spans="1:9" s="149" customFormat="1">
      <c r="A192" s="147" t="s">
        <v>100</v>
      </c>
      <c r="B192" s="148" t="s">
        <v>763</v>
      </c>
      <c r="C192" s="127" t="s">
        <v>14</v>
      </c>
      <c r="D192" s="127" t="s">
        <v>6</v>
      </c>
      <c r="E192" s="127" t="s">
        <v>388</v>
      </c>
      <c r="F192" s="139">
        <v>47.5</v>
      </c>
      <c r="G192" s="130">
        <v>94.95</v>
      </c>
      <c r="H192" s="128"/>
      <c r="I192" s="129">
        <f t="shared" si="2"/>
        <v>0</v>
      </c>
    </row>
    <row r="193" spans="1:9" s="149" customFormat="1">
      <c r="A193" s="147" t="s">
        <v>101</v>
      </c>
      <c r="B193" s="148" t="s">
        <v>764</v>
      </c>
      <c r="C193" s="127" t="s">
        <v>14</v>
      </c>
      <c r="D193" s="127" t="s">
        <v>6</v>
      </c>
      <c r="E193" s="127" t="s">
        <v>24</v>
      </c>
      <c r="F193" s="139">
        <v>47.5</v>
      </c>
      <c r="G193" s="130">
        <v>94.95</v>
      </c>
      <c r="H193" s="128"/>
      <c r="I193" s="129">
        <f t="shared" si="2"/>
        <v>0</v>
      </c>
    </row>
    <row r="194" spans="1:9" s="149" customFormat="1">
      <c r="A194" s="147" t="s">
        <v>102</v>
      </c>
      <c r="B194" s="148" t="s">
        <v>765</v>
      </c>
      <c r="C194" s="127" t="s">
        <v>14</v>
      </c>
      <c r="D194" s="127" t="s">
        <v>6</v>
      </c>
      <c r="E194" s="127" t="s">
        <v>25</v>
      </c>
      <c r="F194" s="139">
        <v>47.5</v>
      </c>
      <c r="G194" s="130">
        <v>94.95</v>
      </c>
      <c r="H194" s="128"/>
      <c r="I194" s="129">
        <f t="shared" si="2"/>
        <v>0</v>
      </c>
    </row>
    <row r="195" spans="1:9" s="149" customFormat="1">
      <c r="A195" s="147" t="s">
        <v>103</v>
      </c>
      <c r="B195" s="148" t="s">
        <v>766</v>
      </c>
      <c r="C195" s="127" t="s">
        <v>14</v>
      </c>
      <c r="D195" s="127" t="s">
        <v>6</v>
      </c>
      <c r="E195" s="127" t="s">
        <v>26</v>
      </c>
      <c r="F195" s="139">
        <v>47.5</v>
      </c>
      <c r="G195" s="130">
        <v>94.95</v>
      </c>
      <c r="H195" s="128"/>
      <c r="I195" s="129">
        <f t="shared" si="2"/>
        <v>0</v>
      </c>
    </row>
    <row r="196" spans="1:9" s="149" customFormat="1">
      <c r="A196" s="147" t="s">
        <v>104</v>
      </c>
      <c r="B196" s="148" t="s">
        <v>767</v>
      </c>
      <c r="C196" s="127" t="s">
        <v>14</v>
      </c>
      <c r="D196" s="127" t="s">
        <v>6</v>
      </c>
      <c r="E196" s="127" t="s">
        <v>27</v>
      </c>
      <c r="F196" s="139">
        <v>47.5</v>
      </c>
      <c r="G196" s="130">
        <v>94.95</v>
      </c>
      <c r="H196" s="128"/>
      <c r="I196" s="129">
        <f t="shared" si="2"/>
        <v>0</v>
      </c>
    </row>
    <row r="197" spans="1:9" s="149" customFormat="1">
      <c r="A197" s="147" t="s">
        <v>105</v>
      </c>
      <c r="B197" s="148" t="s">
        <v>768</v>
      </c>
      <c r="C197" s="127" t="s">
        <v>14</v>
      </c>
      <c r="D197" s="127" t="s">
        <v>6</v>
      </c>
      <c r="E197" s="127" t="s">
        <v>28</v>
      </c>
      <c r="F197" s="139">
        <v>47.5</v>
      </c>
      <c r="G197" s="130">
        <v>94.95</v>
      </c>
      <c r="H197" s="128"/>
      <c r="I197" s="129">
        <f t="shared" si="2"/>
        <v>0</v>
      </c>
    </row>
    <row r="198" spans="1:9" s="149" customFormat="1">
      <c r="A198" s="147" t="s">
        <v>106</v>
      </c>
      <c r="B198" s="148" t="s">
        <v>769</v>
      </c>
      <c r="C198" s="127" t="s">
        <v>14</v>
      </c>
      <c r="D198" s="127" t="s">
        <v>6</v>
      </c>
      <c r="E198" s="127" t="s">
        <v>35</v>
      </c>
      <c r="F198" s="139">
        <v>47.5</v>
      </c>
      <c r="G198" s="130">
        <v>94.95</v>
      </c>
      <c r="H198" s="128"/>
      <c r="I198" s="129">
        <f t="shared" si="2"/>
        <v>0</v>
      </c>
    </row>
    <row r="199" spans="1:9" s="149" customFormat="1">
      <c r="A199" s="155" t="s">
        <v>910</v>
      </c>
      <c r="B199" s="152" t="s">
        <v>1264</v>
      </c>
      <c r="C199" s="147" t="s">
        <v>804</v>
      </c>
      <c r="D199" s="127" t="s">
        <v>6</v>
      </c>
      <c r="E199" s="127" t="s">
        <v>388</v>
      </c>
      <c r="F199" s="139">
        <v>42.5</v>
      </c>
      <c r="G199" s="130">
        <v>84.95</v>
      </c>
      <c r="H199" s="128"/>
      <c r="I199" s="129">
        <f t="shared" si="2"/>
        <v>0</v>
      </c>
    </row>
    <row r="200" spans="1:9" s="149" customFormat="1">
      <c r="A200" s="155" t="s">
        <v>911</v>
      </c>
      <c r="B200" s="152" t="s">
        <v>1265</v>
      </c>
      <c r="C200" s="147" t="s">
        <v>804</v>
      </c>
      <c r="D200" s="127" t="s">
        <v>6</v>
      </c>
      <c r="E200" s="127" t="s">
        <v>24</v>
      </c>
      <c r="F200" s="139">
        <v>42.5</v>
      </c>
      <c r="G200" s="130">
        <v>84.95</v>
      </c>
      <c r="H200" s="128"/>
      <c r="I200" s="129">
        <f t="shared" si="2"/>
        <v>0</v>
      </c>
    </row>
    <row r="201" spans="1:9" s="149" customFormat="1">
      <c r="A201" s="155" t="s">
        <v>912</v>
      </c>
      <c r="B201" s="152" t="s">
        <v>1266</v>
      </c>
      <c r="C201" s="147" t="s">
        <v>804</v>
      </c>
      <c r="D201" s="127" t="s">
        <v>6</v>
      </c>
      <c r="E201" s="127" t="s">
        <v>25</v>
      </c>
      <c r="F201" s="139">
        <v>42.5</v>
      </c>
      <c r="G201" s="130">
        <v>84.95</v>
      </c>
      <c r="H201" s="128"/>
      <c r="I201" s="129">
        <f t="shared" si="2"/>
        <v>0</v>
      </c>
    </row>
    <row r="202" spans="1:9" s="149" customFormat="1">
      <c r="A202" s="155" t="s">
        <v>913</v>
      </c>
      <c r="B202" s="152" t="s">
        <v>1267</v>
      </c>
      <c r="C202" s="147" t="s">
        <v>804</v>
      </c>
      <c r="D202" s="127" t="s">
        <v>6</v>
      </c>
      <c r="E202" s="127" t="s">
        <v>26</v>
      </c>
      <c r="F202" s="139">
        <v>42.5</v>
      </c>
      <c r="G202" s="130">
        <v>84.95</v>
      </c>
      <c r="H202" s="128"/>
      <c r="I202" s="129">
        <f t="shared" ref="I202:I265" si="3">F202*H202</f>
        <v>0</v>
      </c>
    </row>
    <row r="203" spans="1:9" s="149" customFormat="1">
      <c r="A203" s="155" t="s">
        <v>914</v>
      </c>
      <c r="B203" s="152" t="s">
        <v>1268</v>
      </c>
      <c r="C203" s="147" t="s">
        <v>804</v>
      </c>
      <c r="D203" s="127" t="s">
        <v>6</v>
      </c>
      <c r="E203" s="127" t="s">
        <v>27</v>
      </c>
      <c r="F203" s="139">
        <v>42.5</v>
      </c>
      <c r="G203" s="130">
        <v>84.95</v>
      </c>
      <c r="H203" s="128"/>
      <c r="I203" s="129">
        <f t="shared" si="3"/>
        <v>0</v>
      </c>
    </row>
    <row r="204" spans="1:9" s="149" customFormat="1">
      <c r="A204" s="155" t="s">
        <v>915</v>
      </c>
      <c r="B204" s="152" t="s">
        <v>1269</v>
      </c>
      <c r="C204" s="147" t="s">
        <v>804</v>
      </c>
      <c r="D204" s="127" t="s">
        <v>6</v>
      </c>
      <c r="E204" s="127" t="s">
        <v>28</v>
      </c>
      <c r="F204" s="139">
        <v>42.5</v>
      </c>
      <c r="G204" s="130">
        <v>84.95</v>
      </c>
      <c r="H204" s="128"/>
      <c r="I204" s="129">
        <f t="shared" si="3"/>
        <v>0</v>
      </c>
    </row>
    <row r="205" spans="1:9" s="149" customFormat="1">
      <c r="A205" s="155" t="s">
        <v>916</v>
      </c>
      <c r="B205" s="152" t="s">
        <v>1270</v>
      </c>
      <c r="C205" s="147" t="s">
        <v>804</v>
      </c>
      <c r="D205" s="127" t="s">
        <v>6</v>
      </c>
      <c r="E205" s="127" t="s">
        <v>35</v>
      </c>
      <c r="F205" s="139">
        <v>42.5</v>
      </c>
      <c r="G205" s="130">
        <v>84.95</v>
      </c>
      <c r="H205" s="128"/>
      <c r="I205" s="129">
        <f t="shared" si="3"/>
        <v>0</v>
      </c>
    </row>
    <row r="206" spans="1:9" s="149" customFormat="1">
      <c r="A206" s="147" t="s">
        <v>86</v>
      </c>
      <c r="B206" s="151" t="s">
        <v>785</v>
      </c>
      <c r="C206" s="127" t="s">
        <v>13</v>
      </c>
      <c r="D206" s="154" t="s">
        <v>6</v>
      </c>
      <c r="E206" s="127" t="s">
        <v>388</v>
      </c>
      <c r="F206" s="139">
        <v>42.5</v>
      </c>
      <c r="G206" s="130">
        <v>84.95</v>
      </c>
      <c r="H206" s="128"/>
      <c r="I206" s="129">
        <f t="shared" si="3"/>
        <v>0</v>
      </c>
    </row>
    <row r="207" spans="1:9" s="149" customFormat="1">
      <c r="A207" s="147" t="s">
        <v>87</v>
      </c>
      <c r="B207" s="151" t="s">
        <v>786</v>
      </c>
      <c r="C207" s="127" t="s">
        <v>13</v>
      </c>
      <c r="D207" s="154" t="s">
        <v>6</v>
      </c>
      <c r="E207" s="127" t="s">
        <v>24</v>
      </c>
      <c r="F207" s="139">
        <v>42.5</v>
      </c>
      <c r="G207" s="130">
        <v>84.95</v>
      </c>
      <c r="H207" s="128"/>
      <c r="I207" s="129">
        <f t="shared" si="3"/>
        <v>0</v>
      </c>
    </row>
    <row r="208" spans="1:9" s="149" customFormat="1">
      <c r="A208" s="147" t="s">
        <v>88</v>
      </c>
      <c r="B208" s="151" t="s">
        <v>787</v>
      </c>
      <c r="C208" s="127" t="s">
        <v>13</v>
      </c>
      <c r="D208" s="154" t="s">
        <v>6</v>
      </c>
      <c r="E208" s="127" t="s">
        <v>25</v>
      </c>
      <c r="F208" s="139">
        <v>42.5</v>
      </c>
      <c r="G208" s="130">
        <v>84.95</v>
      </c>
      <c r="H208" s="128"/>
      <c r="I208" s="129">
        <f t="shared" si="3"/>
        <v>0</v>
      </c>
    </row>
    <row r="209" spans="1:9" s="149" customFormat="1">
      <c r="A209" s="147" t="s">
        <v>89</v>
      </c>
      <c r="B209" s="151" t="s">
        <v>788</v>
      </c>
      <c r="C209" s="127" t="s">
        <v>13</v>
      </c>
      <c r="D209" s="154" t="s">
        <v>6</v>
      </c>
      <c r="E209" s="127" t="s">
        <v>26</v>
      </c>
      <c r="F209" s="139">
        <v>42.5</v>
      </c>
      <c r="G209" s="130">
        <v>84.95</v>
      </c>
      <c r="H209" s="128"/>
      <c r="I209" s="129">
        <f t="shared" si="3"/>
        <v>0</v>
      </c>
    </row>
    <row r="210" spans="1:9" s="149" customFormat="1">
      <c r="A210" s="147" t="s">
        <v>90</v>
      </c>
      <c r="B210" s="151" t="s">
        <v>789</v>
      </c>
      <c r="C210" s="127" t="s">
        <v>13</v>
      </c>
      <c r="D210" s="154" t="s">
        <v>6</v>
      </c>
      <c r="E210" s="127" t="s">
        <v>27</v>
      </c>
      <c r="F210" s="139">
        <v>42.5</v>
      </c>
      <c r="G210" s="130">
        <v>84.95</v>
      </c>
      <c r="H210" s="128"/>
      <c r="I210" s="129">
        <f t="shared" si="3"/>
        <v>0</v>
      </c>
    </row>
    <row r="211" spans="1:9" s="149" customFormat="1">
      <c r="A211" s="147" t="s">
        <v>91</v>
      </c>
      <c r="B211" s="151" t="s">
        <v>790</v>
      </c>
      <c r="C211" s="127" t="s">
        <v>13</v>
      </c>
      <c r="D211" s="154" t="s">
        <v>6</v>
      </c>
      <c r="E211" s="127" t="s">
        <v>28</v>
      </c>
      <c r="F211" s="139">
        <v>42.5</v>
      </c>
      <c r="G211" s="130">
        <v>84.95</v>
      </c>
      <c r="H211" s="128"/>
      <c r="I211" s="129">
        <f t="shared" si="3"/>
        <v>0</v>
      </c>
    </row>
    <row r="212" spans="1:9" s="149" customFormat="1">
      <c r="A212" s="147" t="s">
        <v>92</v>
      </c>
      <c r="B212" s="151" t="s">
        <v>791</v>
      </c>
      <c r="C212" s="127" t="s">
        <v>13</v>
      </c>
      <c r="D212" s="154" t="s">
        <v>6</v>
      </c>
      <c r="E212" s="127" t="s">
        <v>35</v>
      </c>
      <c r="F212" s="139">
        <v>42.5</v>
      </c>
      <c r="G212" s="130">
        <v>84.95</v>
      </c>
      <c r="H212" s="128"/>
      <c r="I212" s="129">
        <f t="shared" si="3"/>
        <v>0</v>
      </c>
    </row>
    <row r="213" spans="1:9" s="149" customFormat="1">
      <c r="A213" s="147" t="s">
        <v>93</v>
      </c>
      <c r="B213" s="148" t="s">
        <v>602</v>
      </c>
      <c r="C213" s="127" t="s">
        <v>36</v>
      </c>
      <c r="D213" s="154" t="s">
        <v>6</v>
      </c>
      <c r="E213" s="127" t="s">
        <v>388</v>
      </c>
      <c r="F213" s="139">
        <v>25</v>
      </c>
      <c r="G213" s="130">
        <v>49.95</v>
      </c>
      <c r="H213" s="128"/>
      <c r="I213" s="129">
        <f t="shared" si="3"/>
        <v>0</v>
      </c>
    </row>
    <row r="214" spans="1:9" s="149" customFormat="1">
      <c r="A214" s="147" t="s">
        <v>94</v>
      </c>
      <c r="B214" s="148" t="s">
        <v>603</v>
      </c>
      <c r="C214" s="127" t="s">
        <v>36</v>
      </c>
      <c r="D214" s="154" t="s">
        <v>6</v>
      </c>
      <c r="E214" s="127" t="s">
        <v>24</v>
      </c>
      <c r="F214" s="139">
        <v>25</v>
      </c>
      <c r="G214" s="130">
        <v>49.95</v>
      </c>
      <c r="H214" s="128"/>
      <c r="I214" s="129">
        <f t="shared" si="3"/>
        <v>0</v>
      </c>
    </row>
    <row r="215" spans="1:9" s="149" customFormat="1">
      <c r="A215" s="147" t="s">
        <v>95</v>
      </c>
      <c r="B215" s="148" t="s">
        <v>604</v>
      </c>
      <c r="C215" s="127" t="s">
        <v>36</v>
      </c>
      <c r="D215" s="154" t="s">
        <v>6</v>
      </c>
      <c r="E215" s="127" t="s">
        <v>25</v>
      </c>
      <c r="F215" s="139">
        <v>25</v>
      </c>
      <c r="G215" s="130">
        <v>49.95</v>
      </c>
      <c r="H215" s="128"/>
      <c r="I215" s="129">
        <f t="shared" si="3"/>
        <v>0</v>
      </c>
    </row>
    <row r="216" spans="1:9" s="149" customFormat="1">
      <c r="A216" s="147" t="s">
        <v>96</v>
      </c>
      <c r="B216" s="148" t="s">
        <v>605</v>
      </c>
      <c r="C216" s="127" t="s">
        <v>36</v>
      </c>
      <c r="D216" s="154" t="s">
        <v>6</v>
      </c>
      <c r="E216" s="127" t="s">
        <v>26</v>
      </c>
      <c r="F216" s="139">
        <v>25</v>
      </c>
      <c r="G216" s="130">
        <v>49.95</v>
      </c>
      <c r="H216" s="128"/>
      <c r="I216" s="129">
        <f t="shared" si="3"/>
        <v>0</v>
      </c>
    </row>
    <row r="217" spans="1:9" s="149" customFormat="1">
      <c r="A217" s="147" t="s">
        <v>97</v>
      </c>
      <c r="B217" s="148" t="s">
        <v>606</v>
      </c>
      <c r="C217" s="127" t="s">
        <v>36</v>
      </c>
      <c r="D217" s="154" t="s">
        <v>6</v>
      </c>
      <c r="E217" s="127" t="s">
        <v>27</v>
      </c>
      <c r="F217" s="139">
        <v>25</v>
      </c>
      <c r="G217" s="130">
        <v>49.95</v>
      </c>
      <c r="H217" s="128"/>
      <c r="I217" s="129">
        <f t="shared" si="3"/>
        <v>0</v>
      </c>
    </row>
    <row r="218" spans="1:9" s="149" customFormat="1">
      <c r="A218" s="147" t="s">
        <v>98</v>
      </c>
      <c r="B218" s="148" t="s">
        <v>607</v>
      </c>
      <c r="C218" s="127" t="s">
        <v>36</v>
      </c>
      <c r="D218" s="154" t="s">
        <v>6</v>
      </c>
      <c r="E218" s="127" t="s">
        <v>28</v>
      </c>
      <c r="F218" s="139">
        <v>25</v>
      </c>
      <c r="G218" s="130">
        <v>49.95</v>
      </c>
      <c r="H218" s="128"/>
      <c r="I218" s="129">
        <f t="shared" si="3"/>
        <v>0</v>
      </c>
    </row>
    <row r="219" spans="1:9" s="149" customFormat="1">
      <c r="A219" s="147" t="s">
        <v>99</v>
      </c>
      <c r="B219" s="148" t="s">
        <v>608</v>
      </c>
      <c r="C219" s="127" t="s">
        <v>36</v>
      </c>
      <c r="D219" s="154" t="s">
        <v>6</v>
      </c>
      <c r="E219" s="127" t="s">
        <v>35</v>
      </c>
      <c r="F219" s="139">
        <v>25</v>
      </c>
      <c r="G219" s="130">
        <v>49.95</v>
      </c>
      <c r="H219" s="128"/>
      <c r="I219" s="129">
        <f t="shared" si="3"/>
        <v>0</v>
      </c>
    </row>
    <row r="220" spans="1:9" s="149" customFormat="1">
      <c r="A220" s="147" t="s">
        <v>107</v>
      </c>
      <c r="B220" s="148" t="s">
        <v>721</v>
      </c>
      <c r="C220" s="127" t="s">
        <v>38</v>
      </c>
      <c r="D220" s="127" t="s">
        <v>6</v>
      </c>
      <c r="E220" s="127" t="s">
        <v>388</v>
      </c>
      <c r="F220" s="139">
        <v>42.5</v>
      </c>
      <c r="G220" s="130">
        <v>84.95</v>
      </c>
      <c r="H220" s="128"/>
      <c r="I220" s="129">
        <f t="shared" si="3"/>
        <v>0</v>
      </c>
    </row>
    <row r="221" spans="1:9" s="149" customFormat="1">
      <c r="A221" s="147" t="s">
        <v>108</v>
      </c>
      <c r="B221" s="148" t="s">
        <v>722</v>
      </c>
      <c r="C221" s="127" t="s">
        <v>38</v>
      </c>
      <c r="D221" s="127" t="s">
        <v>6</v>
      </c>
      <c r="E221" s="127" t="s">
        <v>24</v>
      </c>
      <c r="F221" s="139">
        <v>42.5</v>
      </c>
      <c r="G221" s="130">
        <v>84.95</v>
      </c>
      <c r="H221" s="128"/>
      <c r="I221" s="129">
        <f t="shared" si="3"/>
        <v>0</v>
      </c>
    </row>
    <row r="222" spans="1:9" s="149" customFormat="1">
      <c r="A222" s="147" t="s">
        <v>109</v>
      </c>
      <c r="B222" s="148" t="s">
        <v>723</v>
      </c>
      <c r="C222" s="127" t="s">
        <v>38</v>
      </c>
      <c r="D222" s="127" t="s">
        <v>6</v>
      </c>
      <c r="E222" s="127" t="s">
        <v>25</v>
      </c>
      <c r="F222" s="139">
        <v>42.5</v>
      </c>
      <c r="G222" s="130">
        <v>84.95</v>
      </c>
      <c r="H222" s="128"/>
      <c r="I222" s="129">
        <f t="shared" si="3"/>
        <v>0</v>
      </c>
    </row>
    <row r="223" spans="1:9" s="149" customFormat="1">
      <c r="A223" s="147" t="s">
        <v>110</v>
      </c>
      <c r="B223" s="148" t="s">
        <v>724</v>
      </c>
      <c r="C223" s="127" t="s">
        <v>38</v>
      </c>
      <c r="D223" s="127" t="s">
        <v>6</v>
      </c>
      <c r="E223" s="127" t="s">
        <v>26</v>
      </c>
      <c r="F223" s="139">
        <v>42.5</v>
      </c>
      <c r="G223" s="130">
        <v>84.95</v>
      </c>
      <c r="H223" s="128"/>
      <c r="I223" s="129">
        <f t="shared" si="3"/>
        <v>0</v>
      </c>
    </row>
    <row r="224" spans="1:9" s="149" customFormat="1">
      <c r="A224" s="147" t="s">
        <v>111</v>
      </c>
      <c r="B224" s="148" t="s">
        <v>725</v>
      </c>
      <c r="C224" s="127" t="s">
        <v>38</v>
      </c>
      <c r="D224" s="127" t="s">
        <v>6</v>
      </c>
      <c r="E224" s="127" t="s">
        <v>27</v>
      </c>
      <c r="F224" s="139">
        <v>42.5</v>
      </c>
      <c r="G224" s="130">
        <v>84.95</v>
      </c>
      <c r="H224" s="128"/>
      <c r="I224" s="129">
        <f t="shared" si="3"/>
        <v>0</v>
      </c>
    </row>
    <row r="225" spans="1:9" s="149" customFormat="1">
      <c r="A225" s="147" t="s">
        <v>112</v>
      </c>
      <c r="B225" s="148" t="s">
        <v>726</v>
      </c>
      <c r="C225" s="127" t="s">
        <v>38</v>
      </c>
      <c r="D225" s="127" t="s">
        <v>6</v>
      </c>
      <c r="E225" s="127" t="s">
        <v>28</v>
      </c>
      <c r="F225" s="139">
        <v>42.5</v>
      </c>
      <c r="G225" s="130">
        <v>84.95</v>
      </c>
      <c r="H225" s="128"/>
      <c r="I225" s="129">
        <f t="shared" si="3"/>
        <v>0</v>
      </c>
    </row>
    <row r="226" spans="1:9" s="149" customFormat="1">
      <c r="A226" s="147" t="s">
        <v>113</v>
      </c>
      <c r="B226" s="148" t="s">
        <v>727</v>
      </c>
      <c r="C226" s="127" t="s">
        <v>38</v>
      </c>
      <c r="D226" s="127" t="s">
        <v>6</v>
      </c>
      <c r="E226" s="127" t="s">
        <v>35</v>
      </c>
      <c r="F226" s="139">
        <v>42.5</v>
      </c>
      <c r="G226" s="130">
        <v>84.95</v>
      </c>
      <c r="H226" s="128"/>
      <c r="I226" s="129">
        <f t="shared" si="3"/>
        <v>0</v>
      </c>
    </row>
    <row r="227" spans="1:9" s="149" customFormat="1">
      <c r="A227" s="147" t="s">
        <v>847</v>
      </c>
      <c r="B227" s="152" t="s">
        <v>1632</v>
      </c>
      <c r="C227" s="127" t="s">
        <v>14</v>
      </c>
      <c r="D227" s="127" t="s">
        <v>1631</v>
      </c>
      <c r="E227" s="127" t="s">
        <v>388</v>
      </c>
      <c r="F227" s="139">
        <v>47.5</v>
      </c>
      <c r="G227" s="130">
        <v>94.95</v>
      </c>
      <c r="H227" s="128"/>
      <c r="I227" s="129">
        <f t="shared" si="3"/>
        <v>0</v>
      </c>
    </row>
    <row r="228" spans="1:9" s="149" customFormat="1">
      <c r="A228" s="147" t="s">
        <v>848</v>
      </c>
      <c r="B228" s="152" t="s">
        <v>1633</v>
      </c>
      <c r="C228" s="127" t="s">
        <v>14</v>
      </c>
      <c r="D228" s="127" t="s">
        <v>1631</v>
      </c>
      <c r="E228" s="127" t="s">
        <v>24</v>
      </c>
      <c r="F228" s="139">
        <v>47.5</v>
      </c>
      <c r="G228" s="130">
        <v>94.95</v>
      </c>
      <c r="H228" s="128"/>
      <c r="I228" s="129">
        <f t="shared" si="3"/>
        <v>0</v>
      </c>
    </row>
    <row r="229" spans="1:9" s="149" customFormat="1">
      <c r="A229" s="147" t="s">
        <v>849</v>
      </c>
      <c r="B229" s="152" t="s">
        <v>1634</v>
      </c>
      <c r="C229" s="127" t="s">
        <v>14</v>
      </c>
      <c r="D229" s="127" t="s">
        <v>1631</v>
      </c>
      <c r="E229" s="127" t="s">
        <v>25</v>
      </c>
      <c r="F229" s="139">
        <v>47.5</v>
      </c>
      <c r="G229" s="130">
        <v>94.95</v>
      </c>
      <c r="H229" s="128"/>
      <c r="I229" s="129">
        <f t="shared" si="3"/>
        <v>0</v>
      </c>
    </row>
    <row r="230" spans="1:9" s="149" customFormat="1">
      <c r="A230" s="147" t="s">
        <v>850</v>
      </c>
      <c r="B230" s="152" t="s">
        <v>1635</v>
      </c>
      <c r="C230" s="127" t="s">
        <v>14</v>
      </c>
      <c r="D230" s="127" t="s">
        <v>1631</v>
      </c>
      <c r="E230" s="127" t="s">
        <v>26</v>
      </c>
      <c r="F230" s="139">
        <v>47.5</v>
      </c>
      <c r="G230" s="130">
        <v>94.95</v>
      </c>
      <c r="H230" s="128"/>
      <c r="I230" s="129">
        <f t="shared" si="3"/>
        <v>0</v>
      </c>
    </row>
    <row r="231" spans="1:9" s="149" customFormat="1">
      <c r="A231" s="147" t="s">
        <v>851</v>
      </c>
      <c r="B231" s="152" t="s">
        <v>1636</v>
      </c>
      <c r="C231" s="127" t="s">
        <v>14</v>
      </c>
      <c r="D231" s="127" t="s">
        <v>1631</v>
      </c>
      <c r="E231" s="127" t="s">
        <v>27</v>
      </c>
      <c r="F231" s="139">
        <v>47.5</v>
      </c>
      <c r="G231" s="130">
        <v>94.95</v>
      </c>
      <c r="H231" s="128"/>
      <c r="I231" s="129">
        <f t="shared" si="3"/>
        <v>0</v>
      </c>
    </row>
    <row r="232" spans="1:9" s="149" customFormat="1">
      <c r="A232" s="147" t="s">
        <v>852</v>
      </c>
      <c r="B232" s="152" t="s">
        <v>1637</v>
      </c>
      <c r="C232" s="127" t="s">
        <v>14</v>
      </c>
      <c r="D232" s="127" t="s">
        <v>1631</v>
      </c>
      <c r="E232" s="127" t="s">
        <v>28</v>
      </c>
      <c r="F232" s="139">
        <v>47.5</v>
      </c>
      <c r="G232" s="130">
        <v>94.95</v>
      </c>
      <c r="H232" s="128"/>
      <c r="I232" s="129">
        <f t="shared" si="3"/>
        <v>0</v>
      </c>
    </row>
    <row r="233" spans="1:9" s="149" customFormat="1">
      <c r="A233" s="147" t="s">
        <v>853</v>
      </c>
      <c r="B233" s="152" t="s">
        <v>1638</v>
      </c>
      <c r="C233" s="127" t="s">
        <v>14</v>
      </c>
      <c r="D233" s="127" t="s">
        <v>1631</v>
      </c>
      <c r="E233" s="127" t="s">
        <v>35</v>
      </c>
      <c r="F233" s="139">
        <v>47.5</v>
      </c>
      <c r="G233" s="130">
        <v>94.95</v>
      </c>
      <c r="H233" s="128"/>
      <c r="I233" s="129">
        <f t="shared" si="3"/>
        <v>0</v>
      </c>
    </row>
    <row r="234" spans="1:9" s="149" customFormat="1">
      <c r="A234" s="147" t="s">
        <v>854</v>
      </c>
      <c r="B234" s="152" t="s">
        <v>1639</v>
      </c>
      <c r="C234" s="127" t="s">
        <v>13</v>
      </c>
      <c r="D234" s="127" t="s">
        <v>1631</v>
      </c>
      <c r="E234" s="127" t="s">
        <v>388</v>
      </c>
      <c r="F234" s="139">
        <v>42.5</v>
      </c>
      <c r="G234" s="130">
        <v>84.95</v>
      </c>
      <c r="H234" s="128"/>
      <c r="I234" s="129">
        <f t="shared" si="3"/>
        <v>0</v>
      </c>
    </row>
    <row r="235" spans="1:9" s="149" customFormat="1">
      <c r="A235" s="147" t="s">
        <v>855</v>
      </c>
      <c r="B235" s="152" t="s">
        <v>1640</v>
      </c>
      <c r="C235" s="127" t="s">
        <v>13</v>
      </c>
      <c r="D235" s="127" t="s">
        <v>1631</v>
      </c>
      <c r="E235" s="127" t="s">
        <v>24</v>
      </c>
      <c r="F235" s="139">
        <v>42.5</v>
      </c>
      <c r="G235" s="130">
        <v>84.95</v>
      </c>
      <c r="H235" s="128"/>
      <c r="I235" s="129">
        <f t="shared" si="3"/>
        <v>0</v>
      </c>
    </row>
    <row r="236" spans="1:9" s="149" customFormat="1">
      <c r="A236" s="147" t="s">
        <v>856</v>
      </c>
      <c r="B236" s="152" t="s">
        <v>1641</v>
      </c>
      <c r="C236" s="127" t="s">
        <v>13</v>
      </c>
      <c r="D236" s="127" t="s">
        <v>1631</v>
      </c>
      <c r="E236" s="127" t="s">
        <v>25</v>
      </c>
      <c r="F236" s="139">
        <v>42.5</v>
      </c>
      <c r="G236" s="130">
        <v>84.95</v>
      </c>
      <c r="H236" s="128"/>
      <c r="I236" s="129">
        <f t="shared" si="3"/>
        <v>0</v>
      </c>
    </row>
    <row r="237" spans="1:9" s="149" customFormat="1">
      <c r="A237" s="147" t="s">
        <v>857</v>
      </c>
      <c r="B237" s="152" t="s">
        <v>1642</v>
      </c>
      <c r="C237" s="127" t="s">
        <v>13</v>
      </c>
      <c r="D237" s="127" t="s">
        <v>1631</v>
      </c>
      <c r="E237" s="127" t="s">
        <v>26</v>
      </c>
      <c r="F237" s="139">
        <v>42.5</v>
      </c>
      <c r="G237" s="130">
        <v>84.95</v>
      </c>
      <c r="H237" s="128"/>
      <c r="I237" s="129">
        <f t="shared" si="3"/>
        <v>0</v>
      </c>
    </row>
    <row r="238" spans="1:9" s="149" customFormat="1">
      <c r="A238" s="147" t="s">
        <v>858</v>
      </c>
      <c r="B238" s="152" t="s">
        <v>1643</v>
      </c>
      <c r="C238" s="127" t="s">
        <v>13</v>
      </c>
      <c r="D238" s="127" t="s">
        <v>1631</v>
      </c>
      <c r="E238" s="127" t="s">
        <v>27</v>
      </c>
      <c r="F238" s="139">
        <v>42.5</v>
      </c>
      <c r="G238" s="130">
        <v>84.95</v>
      </c>
      <c r="H238" s="128"/>
      <c r="I238" s="129">
        <f t="shared" si="3"/>
        <v>0</v>
      </c>
    </row>
    <row r="239" spans="1:9" s="149" customFormat="1">
      <c r="A239" s="147" t="s">
        <v>859</v>
      </c>
      <c r="B239" s="152" t="s">
        <v>1644</v>
      </c>
      <c r="C239" s="127" t="s">
        <v>13</v>
      </c>
      <c r="D239" s="127" t="s">
        <v>1631</v>
      </c>
      <c r="E239" s="127" t="s">
        <v>28</v>
      </c>
      <c r="F239" s="139">
        <v>42.5</v>
      </c>
      <c r="G239" s="130">
        <v>84.95</v>
      </c>
      <c r="H239" s="128"/>
      <c r="I239" s="129">
        <f t="shared" si="3"/>
        <v>0</v>
      </c>
    </row>
    <row r="240" spans="1:9" s="149" customFormat="1">
      <c r="A240" s="147" t="s">
        <v>860</v>
      </c>
      <c r="B240" s="152" t="s">
        <v>1645</v>
      </c>
      <c r="C240" s="127" t="s">
        <v>13</v>
      </c>
      <c r="D240" s="127" t="s">
        <v>1631</v>
      </c>
      <c r="E240" s="127" t="s">
        <v>35</v>
      </c>
      <c r="F240" s="139">
        <v>42.5</v>
      </c>
      <c r="G240" s="130">
        <v>84.95</v>
      </c>
      <c r="H240" s="128"/>
      <c r="I240" s="129">
        <f t="shared" si="3"/>
        <v>0</v>
      </c>
    </row>
    <row r="241" spans="1:9" s="149" customFormat="1">
      <c r="A241" s="155" t="s">
        <v>917</v>
      </c>
      <c r="B241" s="152" t="s">
        <v>1235</v>
      </c>
      <c r="C241" s="127" t="s">
        <v>21</v>
      </c>
      <c r="D241" s="127" t="s">
        <v>17</v>
      </c>
      <c r="E241" s="127" t="s">
        <v>388</v>
      </c>
      <c r="F241" s="139">
        <v>47.5</v>
      </c>
      <c r="G241" s="130">
        <v>94.95</v>
      </c>
      <c r="H241" s="128"/>
      <c r="I241" s="129">
        <f t="shared" si="3"/>
        <v>0</v>
      </c>
    </row>
    <row r="242" spans="1:9" s="149" customFormat="1">
      <c r="A242" s="155" t="s">
        <v>918</v>
      </c>
      <c r="B242" s="152" t="s">
        <v>1236</v>
      </c>
      <c r="C242" s="127" t="s">
        <v>21</v>
      </c>
      <c r="D242" s="127" t="s">
        <v>17</v>
      </c>
      <c r="E242" s="127" t="s">
        <v>24</v>
      </c>
      <c r="F242" s="139">
        <v>47.5</v>
      </c>
      <c r="G242" s="130">
        <v>94.95</v>
      </c>
      <c r="H242" s="128"/>
      <c r="I242" s="129">
        <f t="shared" si="3"/>
        <v>0</v>
      </c>
    </row>
    <row r="243" spans="1:9" s="149" customFormat="1">
      <c r="A243" s="155" t="s">
        <v>919</v>
      </c>
      <c r="B243" s="152" t="s">
        <v>1237</v>
      </c>
      <c r="C243" s="127" t="s">
        <v>21</v>
      </c>
      <c r="D243" s="127" t="s">
        <v>17</v>
      </c>
      <c r="E243" s="127" t="s">
        <v>25</v>
      </c>
      <c r="F243" s="139">
        <v>47.5</v>
      </c>
      <c r="G243" s="130">
        <v>94.95</v>
      </c>
      <c r="H243" s="128"/>
      <c r="I243" s="129">
        <f t="shared" si="3"/>
        <v>0</v>
      </c>
    </row>
    <row r="244" spans="1:9" s="149" customFormat="1">
      <c r="A244" s="155" t="s">
        <v>920</v>
      </c>
      <c r="B244" s="152" t="s">
        <v>1238</v>
      </c>
      <c r="C244" s="127" t="s">
        <v>21</v>
      </c>
      <c r="D244" s="127" t="s">
        <v>17</v>
      </c>
      <c r="E244" s="127" t="s">
        <v>26</v>
      </c>
      <c r="F244" s="139">
        <v>47.5</v>
      </c>
      <c r="G244" s="130">
        <v>94.95</v>
      </c>
      <c r="H244" s="128"/>
      <c r="I244" s="129">
        <f t="shared" si="3"/>
        <v>0</v>
      </c>
    </row>
    <row r="245" spans="1:9" s="149" customFormat="1">
      <c r="A245" s="155" t="s">
        <v>921</v>
      </c>
      <c r="B245" s="152" t="s">
        <v>1239</v>
      </c>
      <c r="C245" s="127" t="s">
        <v>21</v>
      </c>
      <c r="D245" s="127" t="s">
        <v>17</v>
      </c>
      <c r="E245" s="127" t="s">
        <v>27</v>
      </c>
      <c r="F245" s="139">
        <v>47.5</v>
      </c>
      <c r="G245" s="130">
        <v>94.95</v>
      </c>
      <c r="H245" s="128"/>
      <c r="I245" s="129">
        <f t="shared" si="3"/>
        <v>0</v>
      </c>
    </row>
    <row r="246" spans="1:9" s="149" customFormat="1">
      <c r="A246" s="155" t="s">
        <v>922</v>
      </c>
      <c r="B246" s="152" t="s">
        <v>1240</v>
      </c>
      <c r="C246" s="127" t="s">
        <v>21</v>
      </c>
      <c r="D246" s="127" t="s">
        <v>17</v>
      </c>
      <c r="E246" s="127" t="s">
        <v>28</v>
      </c>
      <c r="F246" s="139">
        <v>47.5</v>
      </c>
      <c r="G246" s="130">
        <v>94.95</v>
      </c>
      <c r="H246" s="128"/>
      <c r="I246" s="129">
        <f t="shared" si="3"/>
        <v>0</v>
      </c>
    </row>
    <row r="247" spans="1:9" s="149" customFormat="1">
      <c r="A247" s="155" t="s">
        <v>923</v>
      </c>
      <c r="B247" s="152" t="s">
        <v>1241</v>
      </c>
      <c r="C247" s="127" t="s">
        <v>21</v>
      </c>
      <c r="D247" s="127" t="s">
        <v>17</v>
      </c>
      <c r="E247" s="127" t="s">
        <v>35</v>
      </c>
      <c r="F247" s="139">
        <v>47.5</v>
      </c>
      <c r="G247" s="130">
        <v>94.95</v>
      </c>
      <c r="H247" s="128"/>
      <c r="I247" s="129">
        <f t="shared" si="3"/>
        <v>0</v>
      </c>
    </row>
    <row r="248" spans="1:9" s="149" customFormat="1">
      <c r="A248" s="155" t="s">
        <v>924</v>
      </c>
      <c r="B248" s="153" t="s">
        <v>1299</v>
      </c>
      <c r="C248" s="127" t="s">
        <v>13</v>
      </c>
      <c r="D248" s="127" t="s">
        <v>17</v>
      </c>
      <c r="E248" s="127" t="s">
        <v>388</v>
      </c>
      <c r="F248" s="139">
        <v>42.5</v>
      </c>
      <c r="G248" s="130">
        <v>84.95</v>
      </c>
      <c r="H248" s="128"/>
      <c r="I248" s="129">
        <f t="shared" si="3"/>
        <v>0</v>
      </c>
    </row>
    <row r="249" spans="1:9" s="149" customFormat="1">
      <c r="A249" s="155" t="s">
        <v>925</v>
      </c>
      <c r="B249" s="153" t="s">
        <v>1300</v>
      </c>
      <c r="C249" s="127" t="s">
        <v>13</v>
      </c>
      <c r="D249" s="127" t="s">
        <v>17</v>
      </c>
      <c r="E249" s="127" t="s">
        <v>24</v>
      </c>
      <c r="F249" s="139">
        <v>42.5</v>
      </c>
      <c r="G249" s="130">
        <v>84.95</v>
      </c>
      <c r="H249" s="128"/>
      <c r="I249" s="129">
        <f t="shared" si="3"/>
        <v>0</v>
      </c>
    </row>
    <row r="250" spans="1:9" s="149" customFormat="1">
      <c r="A250" s="155" t="s">
        <v>926</v>
      </c>
      <c r="B250" s="153" t="s">
        <v>1301</v>
      </c>
      <c r="C250" s="127" t="s">
        <v>13</v>
      </c>
      <c r="D250" s="127" t="s">
        <v>17</v>
      </c>
      <c r="E250" s="127" t="s">
        <v>25</v>
      </c>
      <c r="F250" s="139">
        <v>42.5</v>
      </c>
      <c r="G250" s="130">
        <v>84.95</v>
      </c>
      <c r="H250" s="128"/>
      <c r="I250" s="129">
        <f t="shared" si="3"/>
        <v>0</v>
      </c>
    </row>
    <row r="251" spans="1:9" s="149" customFormat="1">
      <c r="A251" s="155" t="s">
        <v>927</v>
      </c>
      <c r="B251" s="153" t="s">
        <v>1302</v>
      </c>
      <c r="C251" s="127" t="s">
        <v>13</v>
      </c>
      <c r="D251" s="127" t="s">
        <v>17</v>
      </c>
      <c r="E251" s="127" t="s">
        <v>26</v>
      </c>
      <c r="F251" s="139">
        <v>42.5</v>
      </c>
      <c r="G251" s="130">
        <v>84.95</v>
      </c>
      <c r="H251" s="128"/>
      <c r="I251" s="129">
        <f t="shared" si="3"/>
        <v>0</v>
      </c>
    </row>
    <row r="252" spans="1:9" s="149" customFormat="1">
      <c r="A252" s="155" t="s">
        <v>928</v>
      </c>
      <c r="B252" s="153" t="s">
        <v>1303</v>
      </c>
      <c r="C252" s="127" t="s">
        <v>13</v>
      </c>
      <c r="D252" s="127" t="s">
        <v>17</v>
      </c>
      <c r="E252" s="127" t="s">
        <v>27</v>
      </c>
      <c r="F252" s="139">
        <v>42.5</v>
      </c>
      <c r="G252" s="130">
        <v>84.95</v>
      </c>
      <c r="H252" s="128"/>
      <c r="I252" s="129">
        <f t="shared" si="3"/>
        <v>0</v>
      </c>
    </row>
    <row r="253" spans="1:9" s="149" customFormat="1">
      <c r="A253" s="155" t="s">
        <v>929</v>
      </c>
      <c r="B253" s="153" t="s">
        <v>1304</v>
      </c>
      <c r="C253" s="127" t="s">
        <v>13</v>
      </c>
      <c r="D253" s="127" t="s">
        <v>17</v>
      </c>
      <c r="E253" s="127" t="s">
        <v>28</v>
      </c>
      <c r="F253" s="139">
        <v>42.5</v>
      </c>
      <c r="G253" s="130">
        <v>84.95</v>
      </c>
      <c r="H253" s="128"/>
      <c r="I253" s="129">
        <f t="shared" si="3"/>
        <v>0</v>
      </c>
    </row>
    <row r="254" spans="1:9" s="149" customFormat="1">
      <c r="A254" s="155" t="s">
        <v>930</v>
      </c>
      <c r="B254" s="153" t="s">
        <v>1305</v>
      </c>
      <c r="C254" s="127" t="s">
        <v>13</v>
      </c>
      <c r="D254" s="127" t="s">
        <v>17</v>
      </c>
      <c r="E254" s="127" t="s">
        <v>35</v>
      </c>
      <c r="F254" s="139">
        <v>42.5</v>
      </c>
      <c r="G254" s="130">
        <v>84.95</v>
      </c>
      <c r="H254" s="128"/>
      <c r="I254" s="129">
        <f t="shared" si="3"/>
        <v>0</v>
      </c>
    </row>
    <row r="255" spans="1:9" s="149" customFormat="1">
      <c r="A255" s="147" t="s">
        <v>191</v>
      </c>
      <c r="B255" s="148" t="s">
        <v>748</v>
      </c>
      <c r="C255" s="127" t="s">
        <v>21</v>
      </c>
      <c r="D255" s="127" t="s">
        <v>20</v>
      </c>
      <c r="E255" s="127" t="s">
        <v>388</v>
      </c>
      <c r="F255" s="139">
        <v>47.5</v>
      </c>
      <c r="G255" s="130">
        <v>94.95</v>
      </c>
      <c r="H255" s="128"/>
      <c r="I255" s="129">
        <f t="shared" si="3"/>
        <v>0</v>
      </c>
    </row>
    <row r="256" spans="1:9" s="149" customFormat="1">
      <c r="A256" s="147" t="s">
        <v>192</v>
      </c>
      <c r="B256" s="148" t="s">
        <v>747</v>
      </c>
      <c r="C256" s="127" t="s">
        <v>21</v>
      </c>
      <c r="D256" s="127" t="s">
        <v>20</v>
      </c>
      <c r="E256" s="127" t="s">
        <v>24</v>
      </c>
      <c r="F256" s="139">
        <v>47.5</v>
      </c>
      <c r="G256" s="130">
        <v>94.95</v>
      </c>
      <c r="H256" s="128"/>
      <c r="I256" s="129">
        <f t="shared" si="3"/>
        <v>0</v>
      </c>
    </row>
    <row r="257" spans="1:9" s="149" customFormat="1">
      <c r="A257" s="147" t="s">
        <v>193</v>
      </c>
      <c r="B257" s="148" t="s">
        <v>746</v>
      </c>
      <c r="C257" s="127" t="s">
        <v>21</v>
      </c>
      <c r="D257" s="127" t="s">
        <v>20</v>
      </c>
      <c r="E257" s="127" t="s">
        <v>25</v>
      </c>
      <c r="F257" s="139">
        <v>47.5</v>
      </c>
      <c r="G257" s="130">
        <v>94.95</v>
      </c>
      <c r="H257" s="128"/>
      <c r="I257" s="129">
        <f t="shared" si="3"/>
        <v>0</v>
      </c>
    </row>
    <row r="258" spans="1:9" s="149" customFormat="1">
      <c r="A258" s="147" t="s">
        <v>194</v>
      </c>
      <c r="B258" s="148" t="s">
        <v>745</v>
      </c>
      <c r="C258" s="127" t="s">
        <v>21</v>
      </c>
      <c r="D258" s="127" t="s">
        <v>20</v>
      </c>
      <c r="E258" s="127" t="s">
        <v>26</v>
      </c>
      <c r="F258" s="139">
        <v>47.5</v>
      </c>
      <c r="G258" s="130">
        <v>94.95</v>
      </c>
      <c r="H258" s="128"/>
      <c r="I258" s="129">
        <f t="shared" si="3"/>
        <v>0</v>
      </c>
    </row>
    <row r="259" spans="1:9" s="149" customFormat="1">
      <c r="A259" s="147" t="s">
        <v>195</v>
      </c>
      <c r="B259" s="148" t="s">
        <v>744</v>
      </c>
      <c r="C259" s="127" t="s">
        <v>21</v>
      </c>
      <c r="D259" s="127" t="s">
        <v>20</v>
      </c>
      <c r="E259" s="127" t="s">
        <v>27</v>
      </c>
      <c r="F259" s="139">
        <v>47.5</v>
      </c>
      <c r="G259" s="130">
        <v>94.95</v>
      </c>
      <c r="H259" s="128"/>
      <c r="I259" s="129">
        <f t="shared" si="3"/>
        <v>0</v>
      </c>
    </row>
    <row r="260" spans="1:9" s="149" customFormat="1">
      <c r="A260" s="147" t="s">
        <v>196</v>
      </c>
      <c r="B260" s="148" t="s">
        <v>743</v>
      </c>
      <c r="C260" s="127" t="s">
        <v>21</v>
      </c>
      <c r="D260" s="127" t="s">
        <v>20</v>
      </c>
      <c r="E260" s="127" t="s">
        <v>28</v>
      </c>
      <c r="F260" s="139">
        <v>47.5</v>
      </c>
      <c r="G260" s="130">
        <v>94.95</v>
      </c>
      <c r="H260" s="128"/>
      <c r="I260" s="129">
        <f t="shared" si="3"/>
        <v>0</v>
      </c>
    </row>
    <row r="261" spans="1:9" s="149" customFormat="1">
      <c r="A261" s="147" t="s">
        <v>197</v>
      </c>
      <c r="B261" s="148" t="s">
        <v>742</v>
      </c>
      <c r="C261" s="127" t="s">
        <v>21</v>
      </c>
      <c r="D261" s="127" t="s">
        <v>20</v>
      </c>
      <c r="E261" s="127" t="s">
        <v>35</v>
      </c>
      <c r="F261" s="139">
        <v>47.5</v>
      </c>
      <c r="G261" s="130">
        <v>94.95</v>
      </c>
      <c r="H261" s="128"/>
      <c r="I261" s="129">
        <f t="shared" si="3"/>
        <v>0</v>
      </c>
    </row>
    <row r="262" spans="1:9" s="149" customFormat="1">
      <c r="A262" s="147" t="s">
        <v>198</v>
      </c>
      <c r="B262" s="148" t="s">
        <v>433</v>
      </c>
      <c r="C262" s="127" t="s">
        <v>13</v>
      </c>
      <c r="D262" s="127" t="s">
        <v>20</v>
      </c>
      <c r="E262" s="127" t="s">
        <v>388</v>
      </c>
      <c r="F262" s="139">
        <v>42.5</v>
      </c>
      <c r="G262" s="130">
        <v>84.95</v>
      </c>
      <c r="H262" s="128"/>
      <c r="I262" s="129">
        <f t="shared" si="3"/>
        <v>0</v>
      </c>
    </row>
    <row r="263" spans="1:9" s="149" customFormat="1">
      <c r="A263" s="147" t="s">
        <v>199</v>
      </c>
      <c r="B263" s="148" t="s">
        <v>434</v>
      </c>
      <c r="C263" s="127" t="s">
        <v>13</v>
      </c>
      <c r="D263" s="127" t="s">
        <v>20</v>
      </c>
      <c r="E263" s="127" t="s">
        <v>24</v>
      </c>
      <c r="F263" s="139">
        <v>42.5</v>
      </c>
      <c r="G263" s="130">
        <v>84.95</v>
      </c>
      <c r="H263" s="128"/>
      <c r="I263" s="129">
        <f t="shared" si="3"/>
        <v>0</v>
      </c>
    </row>
    <row r="264" spans="1:9" s="149" customFormat="1">
      <c r="A264" s="147" t="s">
        <v>200</v>
      </c>
      <c r="B264" s="148" t="s">
        <v>435</v>
      </c>
      <c r="C264" s="127" t="s">
        <v>13</v>
      </c>
      <c r="D264" s="127" t="s">
        <v>20</v>
      </c>
      <c r="E264" s="127" t="s">
        <v>25</v>
      </c>
      <c r="F264" s="139">
        <v>42.5</v>
      </c>
      <c r="G264" s="130">
        <v>84.95</v>
      </c>
      <c r="H264" s="128"/>
      <c r="I264" s="129">
        <f t="shared" si="3"/>
        <v>0</v>
      </c>
    </row>
    <row r="265" spans="1:9" s="149" customFormat="1">
      <c r="A265" s="147" t="s">
        <v>201</v>
      </c>
      <c r="B265" s="148" t="s">
        <v>436</v>
      </c>
      <c r="C265" s="127" t="s">
        <v>13</v>
      </c>
      <c r="D265" s="127" t="s">
        <v>20</v>
      </c>
      <c r="E265" s="127" t="s">
        <v>26</v>
      </c>
      <c r="F265" s="139">
        <v>42.5</v>
      </c>
      <c r="G265" s="130">
        <v>84.95</v>
      </c>
      <c r="H265" s="128"/>
      <c r="I265" s="129">
        <f t="shared" si="3"/>
        <v>0</v>
      </c>
    </row>
    <row r="266" spans="1:9" s="149" customFormat="1">
      <c r="A266" s="147" t="s">
        <v>202</v>
      </c>
      <c r="B266" s="148" t="s">
        <v>437</v>
      </c>
      <c r="C266" s="127" t="s">
        <v>13</v>
      </c>
      <c r="D266" s="127" t="s">
        <v>20</v>
      </c>
      <c r="E266" s="127" t="s">
        <v>27</v>
      </c>
      <c r="F266" s="139">
        <v>42.5</v>
      </c>
      <c r="G266" s="130">
        <v>84.95</v>
      </c>
      <c r="H266" s="128"/>
      <c r="I266" s="129">
        <f t="shared" ref="I266:I329" si="4">F266*H266</f>
        <v>0</v>
      </c>
    </row>
    <row r="267" spans="1:9" s="149" customFormat="1">
      <c r="A267" s="147" t="s">
        <v>203</v>
      </c>
      <c r="B267" s="148" t="s">
        <v>438</v>
      </c>
      <c r="C267" s="127" t="s">
        <v>13</v>
      </c>
      <c r="D267" s="127" t="s">
        <v>20</v>
      </c>
      <c r="E267" s="127" t="s">
        <v>28</v>
      </c>
      <c r="F267" s="139">
        <v>42.5</v>
      </c>
      <c r="G267" s="130">
        <v>84.95</v>
      </c>
      <c r="H267" s="128"/>
      <c r="I267" s="129">
        <f t="shared" si="4"/>
        <v>0</v>
      </c>
    </row>
    <row r="268" spans="1:9" s="149" customFormat="1">
      <c r="A268" s="147" t="s">
        <v>204</v>
      </c>
      <c r="B268" s="148" t="s">
        <v>439</v>
      </c>
      <c r="C268" s="127" t="s">
        <v>13</v>
      </c>
      <c r="D268" s="127" t="s">
        <v>20</v>
      </c>
      <c r="E268" s="127" t="s">
        <v>35</v>
      </c>
      <c r="F268" s="139">
        <v>42.5</v>
      </c>
      <c r="G268" s="130">
        <v>84.95</v>
      </c>
      <c r="H268" s="128"/>
      <c r="I268" s="129">
        <f t="shared" si="4"/>
        <v>0</v>
      </c>
    </row>
    <row r="269" spans="1:9" s="149" customFormat="1">
      <c r="A269" s="155" t="s">
        <v>938</v>
      </c>
      <c r="B269" s="148" t="s">
        <v>1646</v>
      </c>
      <c r="C269" s="147" t="s">
        <v>19</v>
      </c>
      <c r="D269" s="147" t="s">
        <v>31</v>
      </c>
      <c r="E269" s="127" t="s">
        <v>388</v>
      </c>
      <c r="F269" s="139">
        <v>47.5</v>
      </c>
      <c r="G269" s="130">
        <v>94.95</v>
      </c>
      <c r="H269" s="128"/>
      <c r="I269" s="129">
        <f t="shared" si="4"/>
        <v>0</v>
      </c>
    </row>
    <row r="270" spans="1:9" s="149" customFormat="1">
      <c r="A270" s="155" t="s">
        <v>939</v>
      </c>
      <c r="B270" s="148" t="s">
        <v>1647</v>
      </c>
      <c r="C270" s="147" t="s">
        <v>19</v>
      </c>
      <c r="D270" s="147" t="s">
        <v>31</v>
      </c>
      <c r="E270" s="127" t="s">
        <v>24</v>
      </c>
      <c r="F270" s="139">
        <v>47.5</v>
      </c>
      <c r="G270" s="130">
        <v>94.95</v>
      </c>
      <c r="H270" s="128"/>
      <c r="I270" s="129">
        <f t="shared" si="4"/>
        <v>0</v>
      </c>
    </row>
    <row r="271" spans="1:9" s="149" customFormat="1">
      <c r="A271" s="155" t="s">
        <v>940</v>
      </c>
      <c r="B271" s="148" t="s">
        <v>1648</v>
      </c>
      <c r="C271" s="147" t="s">
        <v>19</v>
      </c>
      <c r="D271" s="147" t="s">
        <v>31</v>
      </c>
      <c r="E271" s="127" t="s">
        <v>25</v>
      </c>
      <c r="F271" s="139">
        <v>47.5</v>
      </c>
      <c r="G271" s="130">
        <v>94.95</v>
      </c>
      <c r="H271" s="128"/>
      <c r="I271" s="129">
        <f t="shared" si="4"/>
        <v>0</v>
      </c>
    </row>
    <row r="272" spans="1:9" s="149" customFormat="1">
      <c r="A272" s="155" t="s">
        <v>941</v>
      </c>
      <c r="B272" s="148" t="s">
        <v>1649</v>
      </c>
      <c r="C272" s="147" t="s">
        <v>19</v>
      </c>
      <c r="D272" s="147" t="s">
        <v>31</v>
      </c>
      <c r="E272" s="127" t="s">
        <v>26</v>
      </c>
      <c r="F272" s="139">
        <v>47.5</v>
      </c>
      <c r="G272" s="130">
        <v>94.95</v>
      </c>
      <c r="H272" s="128"/>
      <c r="I272" s="129">
        <f t="shared" si="4"/>
        <v>0</v>
      </c>
    </row>
    <row r="273" spans="1:9" s="149" customFormat="1">
      <c r="A273" s="155" t="s">
        <v>942</v>
      </c>
      <c r="B273" s="148" t="s">
        <v>1650</v>
      </c>
      <c r="C273" s="147" t="s">
        <v>19</v>
      </c>
      <c r="D273" s="147" t="s">
        <v>31</v>
      </c>
      <c r="E273" s="127" t="s">
        <v>27</v>
      </c>
      <c r="F273" s="139">
        <v>47.5</v>
      </c>
      <c r="G273" s="130">
        <v>94.95</v>
      </c>
      <c r="H273" s="128"/>
      <c r="I273" s="129">
        <f t="shared" si="4"/>
        <v>0</v>
      </c>
    </row>
    <row r="274" spans="1:9" s="149" customFormat="1">
      <c r="A274" s="155" t="s">
        <v>943</v>
      </c>
      <c r="B274" s="148" t="s">
        <v>1651</v>
      </c>
      <c r="C274" s="147" t="s">
        <v>19</v>
      </c>
      <c r="D274" s="147" t="s">
        <v>31</v>
      </c>
      <c r="E274" s="127" t="s">
        <v>28</v>
      </c>
      <c r="F274" s="139">
        <v>47.5</v>
      </c>
      <c r="G274" s="130">
        <v>94.95</v>
      </c>
      <c r="H274" s="128"/>
      <c r="I274" s="129">
        <f t="shared" si="4"/>
        <v>0</v>
      </c>
    </row>
    <row r="275" spans="1:9" s="149" customFormat="1">
      <c r="A275" s="155" t="s">
        <v>944</v>
      </c>
      <c r="B275" s="148" t="s">
        <v>1652</v>
      </c>
      <c r="C275" s="147" t="s">
        <v>19</v>
      </c>
      <c r="D275" s="147" t="s">
        <v>31</v>
      </c>
      <c r="E275" s="127" t="s">
        <v>35</v>
      </c>
      <c r="F275" s="139">
        <v>47.5</v>
      </c>
      <c r="G275" s="130">
        <v>94.95</v>
      </c>
      <c r="H275" s="128"/>
      <c r="I275" s="129">
        <f t="shared" si="4"/>
        <v>0</v>
      </c>
    </row>
    <row r="276" spans="1:9" s="149" customFormat="1">
      <c r="A276" s="155" t="s">
        <v>931</v>
      </c>
      <c r="B276" s="152" t="s">
        <v>1271</v>
      </c>
      <c r="C276" s="147" t="s">
        <v>804</v>
      </c>
      <c r="D276" s="147" t="s">
        <v>31</v>
      </c>
      <c r="E276" s="127" t="s">
        <v>388</v>
      </c>
      <c r="F276" s="139">
        <v>42.5</v>
      </c>
      <c r="G276" s="130">
        <v>84.95</v>
      </c>
      <c r="H276" s="128"/>
      <c r="I276" s="129">
        <f t="shared" si="4"/>
        <v>0</v>
      </c>
    </row>
    <row r="277" spans="1:9" s="149" customFormat="1">
      <c r="A277" s="155" t="s">
        <v>932</v>
      </c>
      <c r="B277" s="152" t="s">
        <v>1272</v>
      </c>
      <c r="C277" s="147" t="s">
        <v>804</v>
      </c>
      <c r="D277" s="147" t="s">
        <v>31</v>
      </c>
      <c r="E277" s="127" t="s">
        <v>24</v>
      </c>
      <c r="F277" s="139">
        <v>42.5</v>
      </c>
      <c r="G277" s="130">
        <v>84.95</v>
      </c>
      <c r="H277" s="128"/>
      <c r="I277" s="129">
        <f t="shared" si="4"/>
        <v>0</v>
      </c>
    </row>
    <row r="278" spans="1:9" s="149" customFormat="1">
      <c r="A278" s="155" t="s">
        <v>933</v>
      </c>
      <c r="B278" s="152" t="s">
        <v>1273</v>
      </c>
      <c r="C278" s="147" t="s">
        <v>804</v>
      </c>
      <c r="D278" s="147" t="s">
        <v>31</v>
      </c>
      <c r="E278" s="127" t="s">
        <v>25</v>
      </c>
      <c r="F278" s="139">
        <v>42.5</v>
      </c>
      <c r="G278" s="130">
        <v>84.95</v>
      </c>
      <c r="H278" s="128"/>
      <c r="I278" s="129">
        <f t="shared" si="4"/>
        <v>0</v>
      </c>
    </row>
    <row r="279" spans="1:9" s="149" customFormat="1">
      <c r="A279" s="155" t="s">
        <v>934</v>
      </c>
      <c r="B279" s="152" t="s">
        <v>1274</v>
      </c>
      <c r="C279" s="147" t="s">
        <v>804</v>
      </c>
      <c r="D279" s="147" t="s">
        <v>31</v>
      </c>
      <c r="E279" s="127" t="s">
        <v>26</v>
      </c>
      <c r="F279" s="139">
        <v>42.5</v>
      </c>
      <c r="G279" s="130">
        <v>84.95</v>
      </c>
      <c r="H279" s="128"/>
      <c r="I279" s="129">
        <f t="shared" si="4"/>
        <v>0</v>
      </c>
    </row>
    <row r="280" spans="1:9" s="149" customFormat="1">
      <c r="A280" s="155" t="s">
        <v>935</v>
      </c>
      <c r="B280" s="152" t="s">
        <v>1275</v>
      </c>
      <c r="C280" s="147" t="s">
        <v>804</v>
      </c>
      <c r="D280" s="147" t="s">
        <v>31</v>
      </c>
      <c r="E280" s="127" t="s">
        <v>27</v>
      </c>
      <c r="F280" s="139">
        <v>42.5</v>
      </c>
      <c r="G280" s="130">
        <v>84.95</v>
      </c>
      <c r="H280" s="128"/>
      <c r="I280" s="129">
        <f t="shared" si="4"/>
        <v>0</v>
      </c>
    </row>
    <row r="281" spans="1:9" s="149" customFormat="1">
      <c r="A281" s="155" t="s">
        <v>936</v>
      </c>
      <c r="B281" s="152" t="s">
        <v>1276</v>
      </c>
      <c r="C281" s="147" t="s">
        <v>804</v>
      </c>
      <c r="D281" s="147" t="s">
        <v>31</v>
      </c>
      <c r="E281" s="127" t="s">
        <v>28</v>
      </c>
      <c r="F281" s="139">
        <v>42.5</v>
      </c>
      <c r="G281" s="130">
        <v>84.95</v>
      </c>
      <c r="H281" s="128"/>
      <c r="I281" s="129">
        <f t="shared" si="4"/>
        <v>0</v>
      </c>
    </row>
    <row r="282" spans="1:9" s="149" customFormat="1">
      <c r="A282" s="155" t="s">
        <v>937</v>
      </c>
      <c r="B282" s="152" t="s">
        <v>1277</v>
      </c>
      <c r="C282" s="147" t="s">
        <v>804</v>
      </c>
      <c r="D282" s="147" t="s">
        <v>31</v>
      </c>
      <c r="E282" s="127" t="s">
        <v>35</v>
      </c>
      <c r="F282" s="139">
        <v>42.5</v>
      </c>
      <c r="G282" s="130">
        <v>84.95</v>
      </c>
      <c r="H282" s="128"/>
      <c r="I282" s="129">
        <f t="shared" si="4"/>
        <v>0</v>
      </c>
    </row>
    <row r="283" spans="1:9" s="149" customFormat="1">
      <c r="A283" s="147" t="s">
        <v>86</v>
      </c>
      <c r="B283" s="151" t="s">
        <v>818</v>
      </c>
      <c r="C283" s="127" t="s">
        <v>13</v>
      </c>
      <c r="D283" s="147" t="s">
        <v>31</v>
      </c>
      <c r="E283" s="127" t="s">
        <v>388</v>
      </c>
      <c r="F283" s="139">
        <v>42.5</v>
      </c>
      <c r="G283" s="130">
        <v>84.95</v>
      </c>
      <c r="H283" s="128"/>
      <c r="I283" s="129">
        <f t="shared" si="4"/>
        <v>0</v>
      </c>
    </row>
    <row r="284" spans="1:9" s="149" customFormat="1">
      <c r="A284" s="147" t="s">
        <v>87</v>
      </c>
      <c r="B284" s="151" t="s">
        <v>819</v>
      </c>
      <c r="C284" s="127" t="s">
        <v>13</v>
      </c>
      <c r="D284" s="147" t="s">
        <v>31</v>
      </c>
      <c r="E284" s="127" t="s">
        <v>24</v>
      </c>
      <c r="F284" s="139">
        <v>42.5</v>
      </c>
      <c r="G284" s="130">
        <v>84.95</v>
      </c>
      <c r="H284" s="128"/>
      <c r="I284" s="129">
        <f t="shared" si="4"/>
        <v>0</v>
      </c>
    </row>
    <row r="285" spans="1:9" s="149" customFormat="1">
      <c r="A285" s="147" t="s">
        <v>88</v>
      </c>
      <c r="B285" s="151" t="s">
        <v>820</v>
      </c>
      <c r="C285" s="127" t="s">
        <v>13</v>
      </c>
      <c r="D285" s="147" t="s">
        <v>31</v>
      </c>
      <c r="E285" s="127" t="s">
        <v>25</v>
      </c>
      <c r="F285" s="139">
        <v>42.5</v>
      </c>
      <c r="G285" s="130">
        <v>84.95</v>
      </c>
      <c r="H285" s="128"/>
      <c r="I285" s="129">
        <f t="shared" si="4"/>
        <v>0</v>
      </c>
    </row>
    <row r="286" spans="1:9" s="149" customFormat="1">
      <c r="A286" s="147" t="s">
        <v>89</v>
      </c>
      <c r="B286" s="151" t="s">
        <v>821</v>
      </c>
      <c r="C286" s="127" t="s">
        <v>13</v>
      </c>
      <c r="D286" s="147" t="s">
        <v>31</v>
      </c>
      <c r="E286" s="127" t="s">
        <v>26</v>
      </c>
      <c r="F286" s="139">
        <v>42.5</v>
      </c>
      <c r="G286" s="130">
        <v>84.95</v>
      </c>
      <c r="H286" s="128"/>
      <c r="I286" s="129">
        <f t="shared" si="4"/>
        <v>0</v>
      </c>
    </row>
    <row r="287" spans="1:9" s="149" customFormat="1">
      <c r="A287" s="147" t="s">
        <v>90</v>
      </c>
      <c r="B287" s="151" t="s">
        <v>822</v>
      </c>
      <c r="C287" s="127" t="s">
        <v>13</v>
      </c>
      <c r="D287" s="147" t="s">
        <v>31</v>
      </c>
      <c r="E287" s="127" t="s">
        <v>27</v>
      </c>
      <c r="F287" s="139">
        <v>42.5</v>
      </c>
      <c r="G287" s="130">
        <v>84.95</v>
      </c>
      <c r="H287" s="128"/>
      <c r="I287" s="129">
        <f t="shared" si="4"/>
        <v>0</v>
      </c>
    </row>
    <row r="288" spans="1:9" s="149" customFormat="1">
      <c r="A288" s="147" t="s">
        <v>91</v>
      </c>
      <c r="B288" s="151" t="s">
        <v>823</v>
      </c>
      <c r="C288" s="127" t="s">
        <v>13</v>
      </c>
      <c r="D288" s="147" t="s">
        <v>31</v>
      </c>
      <c r="E288" s="127" t="s">
        <v>28</v>
      </c>
      <c r="F288" s="139">
        <v>42.5</v>
      </c>
      <c r="G288" s="130">
        <v>84.95</v>
      </c>
      <c r="H288" s="128"/>
      <c r="I288" s="129">
        <f t="shared" si="4"/>
        <v>0</v>
      </c>
    </row>
    <row r="289" spans="1:9" s="149" customFormat="1">
      <c r="A289" s="147" t="s">
        <v>92</v>
      </c>
      <c r="B289" s="151" t="s">
        <v>824</v>
      </c>
      <c r="C289" s="127" t="s">
        <v>13</v>
      </c>
      <c r="D289" s="147" t="s">
        <v>31</v>
      </c>
      <c r="E289" s="127" t="s">
        <v>35</v>
      </c>
      <c r="F289" s="139">
        <v>42.5</v>
      </c>
      <c r="G289" s="130">
        <v>84.95</v>
      </c>
      <c r="H289" s="128"/>
      <c r="I289" s="129">
        <f t="shared" si="4"/>
        <v>0</v>
      </c>
    </row>
    <row r="290" spans="1:9" s="149" customFormat="1">
      <c r="A290" s="147" t="s">
        <v>205</v>
      </c>
      <c r="B290" s="148" t="s">
        <v>741</v>
      </c>
      <c r="C290" s="147" t="s">
        <v>19</v>
      </c>
      <c r="D290" s="147" t="s">
        <v>43</v>
      </c>
      <c r="E290" s="127" t="s">
        <v>388</v>
      </c>
      <c r="F290" s="139">
        <v>47.5</v>
      </c>
      <c r="G290" s="130">
        <v>94.95</v>
      </c>
      <c r="H290" s="128"/>
      <c r="I290" s="129">
        <f t="shared" si="4"/>
        <v>0</v>
      </c>
    </row>
    <row r="291" spans="1:9" s="149" customFormat="1">
      <c r="A291" s="147" t="s">
        <v>206</v>
      </c>
      <c r="B291" s="148" t="s">
        <v>740</v>
      </c>
      <c r="C291" s="147" t="s">
        <v>19</v>
      </c>
      <c r="D291" s="147" t="s">
        <v>43</v>
      </c>
      <c r="E291" s="127" t="s">
        <v>24</v>
      </c>
      <c r="F291" s="139">
        <v>47.5</v>
      </c>
      <c r="G291" s="130">
        <v>94.95</v>
      </c>
      <c r="H291" s="128"/>
      <c r="I291" s="129">
        <f t="shared" si="4"/>
        <v>0</v>
      </c>
    </row>
    <row r="292" spans="1:9" s="149" customFormat="1">
      <c r="A292" s="147" t="s">
        <v>207</v>
      </c>
      <c r="B292" s="148" t="s">
        <v>739</v>
      </c>
      <c r="C292" s="147" t="s">
        <v>19</v>
      </c>
      <c r="D292" s="147" t="s">
        <v>43</v>
      </c>
      <c r="E292" s="127" t="s">
        <v>25</v>
      </c>
      <c r="F292" s="139">
        <v>47.5</v>
      </c>
      <c r="G292" s="130">
        <v>94.95</v>
      </c>
      <c r="H292" s="128"/>
      <c r="I292" s="129">
        <f t="shared" si="4"/>
        <v>0</v>
      </c>
    </row>
    <row r="293" spans="1:9" s="149" customFormat="1">
      <c r="A293" s="147" t="s">
        <v>208</v>
      </c>
      <c r="B293" s="148" t="s">
        <v>738</v>
      </c>
      <c r="C293" s="147" t="s">
        <v>19</v>
      </c>
      <c r="D293" s="147" t="s">
        <v>43</v>
      </c>
      <c r="E293" s="127" t="s">
        <v>26</v>
      </c>
      <c r="F293" s="139">
        <v>47.5</v>
      </c>
      <c r="G293" s="130">
        <v>94.95</v>
      </c>
      <c r="H293" s="128"/>
      <c r="I293" s="129">
        <f t="shared" si="4"/>
        <v>0</v>
      </c>
    </row>
    <row r="294" spans="1:9" s="149" customFormat="1">
      <c r="A294" s="147" t="s">
        <v>209</v>
      </c>
      <c r="B294" s="148" t="s">
        <v>737</v>
      </c>
      <c r="C294" s="147" t="s">
        <v>19</v>
      </c>
      <c r="D294" s="147" t="s">
        <v>43</v>
      </c>
      <c r="E294" s="127" t="s">
        <v>27</v>
      </c>
      <c r="F294" s="139">
        <v>47.5</v>
      </c>
      <c r="G294" s="130">
        <v>94.95</v>
      </c>
      <c r="H294" s="128"/>
      <c r="I294" s="129">
        <f t="shared" si="4"/>
        <v>0</v>
      </c>
    </row>
    <row r="295" spans="1:9" s="149" customFormat="1">
      <c r="A295" s="147" t="s">
        <v>210</v>
      </c>
      <c r="B295" s="148" t="s">
        <v>736</v>
      </c>
      <c r="C295" s="147" t="s">
        <v>19</v>
      </c>
      <c r="D295" s="147" t="s">
        <v>43</v>
      </c>
      <c r="E295" s="127" t="s">
        <v>28</v>
      </c>
      <c r="F295" s="139">
        <v>47.5</v>
      </c>
      <c r="G295" s="130">
        <v>94.95</v>
      </c>
      <c r="H295" s="128"/>
      <c r="I295" s="129">
        <f t="shared" si="4"/>
        <v>0</v>
      </c>
    </row>
    <row r="296" spans="1:9" s="149" customFormat="1">
      <c r="A296" s="147" t="s">
        <v>211</v>
      </c>
      <c r="B296" s="148" t="s">
        <v>735</v>
      </c>
      <c r="C296" s="147" t="s">
        <v>19</v>
      </c>
      <c r="D296" s="147" t="s">
        <v>43</v>
      </c>
      <c r="E296" s="127" t="s">
        <v>35</v>
      </c>
      <c r="F296" s="139">
        <v>47.5</v>
      </c>
      <c r="G296" s="130">
        <v>94.95</v>
      </c>
      <c r="H296" s="128"/>
      <c r="I296" s="129">
        <f t="shared" si="4"/>
        <v>0</v>
      </c>
    </row>
    <row r="297" spans="1:9" s="149" customFormat="1">
      <c r="A297" s="147" t="s">
        <v>212</v>
      </c>
      <c r="B297" s="148" t="s">
        <v>440</v>
      </c>
      <c r="C297" s="147" t="s">
        <v>13</v>
      </c>
      <c r="D297" s="147" t="s">
        <v>43</v>
      </c>
      <c r="E297" s="127" t="s">
        <v>388</v>
      </c>
      <c r="F297" s="139">
        <v>42.5</v>
      </c>
      <c r="G297" s="130">
        <v>84.95</v>
      </c>
      <c r="H297" s="128"/>
      <c r="I297" s="129">
        <f t="shared" si="4"/>
        <v>0</v>
      </c>
    </row>
    <row r="298" spans="1:9" s="149" customFormat="1">
      <c r="A298" s="147" t="s">
        <v>213</v>
      </c>
      <c r="B298" s="148" t="s">
        <v>441</v>
      </c>
      <c r="C298" s="147" t="s">
        <v>13</v>
      </c>
      <c r="D298" s="147" t="s">
        <v>43</v>
      </c>
      <c r="E298" s="127" t="s">
        <v>24</v>
      </c>
      <c r="F298" s="139">
        <v>42.5</v>
      </c>
      <c r="G298" s="130">
        <v>84.95</v>
      </c>
      <c r="H298" s="128"/>
      <c r="I298" s="129">
        <f t="shared" si="4"/>
        <v>0</v>
      </c>
    </row>
    <row r="299" spans="1:9" s="149" customFormat="1">
      <c r="A299" s="147" t="s">
        <v>214</v>
      </c>
      <c r="B299" s="148" t="s">
        <v>442</v>
      </c>
      <c r="C299" s="147" t="s">
        <v>13</v>
      </c>
      <c r="D299" s="147" t="s">
        <v>43</v>
      </c>
      <c r="E299" s="127" t="s">
        <v>25</v>
      </c>
      <c r="F299" s="139">
        <v>42.5</v>
      </c>
      <c r="G299" s="130">
        <v>84.95</v>
      </c>
      <c r="H299" s="128"/>
      <c r="I299" s="129">
        <f t="shared" si="4"/>
        <v>0</v>
      </c>
    </row>
    <row r="300" spans="1:9" s="149" customFormat="1">
      <c r="A300" s="147" t="s">
        <v>215</v>
      </c>
      <c r="B300" s="148" t="s">
        <v>443</v>
      </c>
      <c r="C300" s="147" t="s">
        <v>13</v>
      </c>
      <c r="D300" s="147" t="s">
        <v>43</v>
      </c>
      <c r="E300" s="127" t="s">
        <v>26</v>
      </c>
      <c r="F300" s="139">
        <v>42.5</v>
      </c>
      <c r="G300" s="130">
        <v>84.95</v>
      </c>
      <c r="H300" s="128"/>
      <c r="I300" s="129">
        <f t="shared" si="4"/>
        <v>0</v>
      </c>
    </row>
    <row r="301" spans="1:9" s="149" customFormat="1">
      <c r="A301" s="147" t="s">
        <v>216</v>
      </c>
      <c r="B301" s="148" t="s">
        <v>444</v>
      </c>
      <c r="C301" s="147" t="s">
        <v>13</v>
      </c>
      <c r="D301" s="147" t="s">
        <v>43</v>
      </c>
      <c r="E301" s="127" t="s">
        <v>27</v>
      </c>
      <c r="F301" s="139">
        <v>42.5</v>
      </c>
      <c r="G301" s="130">
        <v>84.95</v>
      </c>
      <c r="H301" s="128"/>
      <c r="I301" s="129">
        <f t="shared" si="4"/>
        <v>0</v>
      </c>
    </row>
    <row r="302" spans="1:9" s="149" customFormat="1">
      <c r="A302" s="147" t="s">
        <v>217</v>
      </c>
      <c r="B302" s="148" t="s">
        <v>445</v>
      </c>
      <c r="C302" s="147" t="s">
        <v>13</v>
      </c>
      <c r="D302" s="147" t="s">
        <v>43</v>
      </c>
      <c r="E302" s="127" t="s">
        <v>28</v>
      </c>
      <c r="F302" s="139">
        <v>42.5</v>
      </c>
      <c r="G302" s="130">
        <v>84.95</v>
      </c>
      <c r="H302" s="128"/>
      <c r="I302" s="129">
        <f t="shared" si="4"/>
        <v>0</v>
      </c>
    </row>
    <row r="303" spans="1:9" s="149" customFormat="1">
      <c r="A303" s="147" t="s">
        <v>218</v>
      </c>
      <c r="B303" s="148" t="s">
        <v>446</v>
      </c>
      <c r="C303" s="147" t="s">
        <v>13</v>
      </c>
      <c r="D303" s="147" t="s">
        <v>43</v>
      </c>
      <c r="E303" s="127" t="s">
        <v>35</v>
      </c>
      <c r="F303" s="139">
        <v>42.5</v>
      </c>
      <c r="G303" s="130">
        <v>84.95</v>
      </c>
      <c r="H303" s="128"/>
      <c r="I303" s="129">
        <f t="shared" si="4"/>
        <v>0</v>
      </c>
    </row>
    <row r="304" spans="1:9" s="149" customFormat="1">
      <c r="A304" s="155" t="s">
        <v>945</v>
      </c>
      <c r="B304" s="148" t="s">
        <v>1243</v>
      </c>
      <c r="C304" s="147" t="s">
        <v>799</v>
      </c>
      <c r="D304" s="147" t="s">
        <v>805</v>
      </c>
      <c r="E304" s="127" t="s">
        <v>388</v>
      </c>
      <c r="F304" s="139">
        <v>47.5</v>
      </c>
      <c r="G304" s="130">
        <v>94.95</v>
      </c>
      <c r="H304" s="128"/>
      <c r="I304" s="129">
        <f t="shared" si="4"/>
        <v>0</v>
      </c>
    </row>
    <row r="305" spans="1:9" s="149" customFormat="1">
      <c r="A305" s="155" t="s">
        <v>946</v>
      </c>
      <c r="B305" s="148" t="s">
        <v>1244</v>
      </c>
      <c r="C305" s="147" t="s">
        <v>799</v>
      </c>
      <c r="D305" s="147" t="s">
        <v>805</v>
      </c>
      <c r="E305" s="127" t="s">
        <v>24</v>
      </c>
      <c r="F305" s="139">
        <v>47.5</v>
      </c>
      <c r="G305" s="130">
        <v>94.95</v>
      </c>
      <c r="H305" s="128"/>
      <c r="I305" s="129">
        <f t="shared" si="4"/>
        <v>0</v>
      </c>
    </row>
    <row r="306" spans="1:9" s="149" customFormat="1">
      <c r="A306" s="155" t="s">
        <v>947</v>
      </c>
      <c r="B306" s="148" t="s">
        <v>1245</v>
      </c>
      <c r="C306" s="147" t="s">
        <v>799</v>
      </c>
      <c r="D306" s="147" t="s">
        <v>805</v>
      </c>
      <c r="E306" s="127" t="s">
        <v>25</v>
      </c>
      <c r="F306" s="139">
        <v>47.5</v>
      </c>
      <c r="G306" s="130">
        <v>94.95</v>
      </c>
      <c r="H306" s="128"/>
      <c r="I306" s="129">
        <f t="shared" si="4"/>
        <v>0</v>
      </c>
    </row>
    <row r="307" spans="1:9" s="149" customFormat="1">
      <c r="A307" s="155" t="s">
        <v>948</v>
      </c>
      <c r="B307" s="148" t="s">
        <v>1246</v>
      </c>
      <c r="C307" s="147" t="s">
        <v>799</v>
      </c>
      <c r="D307" s="147" t="s">
        <v>805</v>
      </c>
      <c r="E307" s="127" t="s">
        <v>26</v>
      </c>
      <c r="F307" s="139">
        <v>47.5</v>
      </c>
      <c r="G307" s="130">
        <v>94.95</v>
      </c>
      <c r="H307" s="128"/>
      <c r="I307" s="129">
        <f t="shared" si="4"/>
        <v>0</v>
      </c>
    </row>
    <row r="308" spans="1:9" s="149" customFormat="1">
      <c r="A308" s="155" t="s">
        <v>949</v>
      </c>
      <c r="B308" s="148" t="s">
        <v>1247</v>
      </c>
      <c r="C308" s="147" t="s">
        <v>799</v>
      </c>
      <c r="D308" s="147" t="s">
        <v>805</v>
      </c>
      <c r="E308" s="127" t="s">
        <v>27</v>
      </c>
      <c r="F308" s="139">
        <v>47.5</v>
      </c>
      <c r="G308" s="130">
        <v>94.95</v>
      </c>
      <c r="H308" s="128"/>
      <c r="I308" s="129">
        <f t="shared" si="4"/>
        <v>0</v>
      </c>
    </row>
    <row r="309" spans="1:9" s="149" customFormat="1">
      <c r="A309" s="155" t="s">
        <v>950</v>
      </c>
      <c r="B309" s="148" t="s">
        <v>1248</v>
      </c>
      <c r="C309" s="147" t="s">
        <v>799</v>
      </c>
      <c r="D309" s="147" t="s">
        <v>805</v>
      </c>
      <c r="E309" s="127" t="s">
        <v>28</v>
      </c>
      <c r="F309" s="139">
        <v>47.5</v>
      </c>
      <c r="G309" s="130">
        <v>94.95</v>
      </c>
      <c r="H309" s="128"/>
      <c r="I309" s="129">
        <f t="shared" si="4"/>
        <v>0</v>
      </c>
    </row>
    <row r="310" spans="1:9" s="149" customFormat="1">
      <c r="A310" s="155" t="s">
        <v>951</v>
      </c>
      <c r="B310" s="148" t="s">
        <v>1249</v>
      </c>
      <c r="C310" s="147" t="s">
        <v>799</v>
      </c>
      <c r="D310" s="147" t="s">
        <v>805</v>
      </c>
      <c r="E310" s="127" t="s">
        <v>35</v>
      </c>
      <c r="F310" s="139">
        <v>47.5</v>
      </c>
      <c r="G310" s="130">
        <v>94.95</v>
      </c>
      <c r="H310" s="128"/>
      <c r="I310" s="129">
        <f t="shared" si="4"/>
        <v>0</v>
      </c>
    </row>
    <row r="311" spans="1:9" s="149" customFormat="1">
      <c r="A311" s="155" t="s">
        <v>952</v>
      </c>
      <c r="B311" s="148" t="s">
        <v>1278</v>
      </c>
      <c r="C311" s="147" t="s">
        <v>804</v>
      </c>
      <c r="D311" s="147" t="s">
        <v>805</v>
      </c>
      <c r="E311" s="127" t="s">
        <v>388</v>
      </c>
      <c r="F311" s="139">
        <v>42.5</v>
      </c>
      <c r="G311" s="130">
        <v>84.95</v>
      </c>
      <c r="H311" s="128"/>
      <c r="I311" s="129">
        <f t="shared" si="4"/>
        <v>0</v>
      </c>
    </row>
    <row r="312" spans="1:9" s="149" customFormat="1">
      <c r="A312" s="155" t="s">
        <v>953</v>
      </c>
      <c r="B312" s="148" t="s">
        <v>1279</v>
      </c>
      <c r="C312" s="147" t="s">
        <v>804</v>
      </c>
      <c r="D312" s="147" t="s">
        <v>805</v>
      </c>
      <c r="E312" s="127" t="s">
        <v>24</v>
      </c>
      <c r="F312" s="139">
        <v>42.5</v>
      </c>
      <c r="G312" s="130">
        <v>84.95</v>
      </c>
      <c r="H312" s="128"/>
      <c r="I312" s="129">
        <f t="shared" si="4"/>
        <v>0</v>
      </c>
    </row>
    <row r="313" spans="1:9" s="149" customFormat="1">
      <c r="A313" s="155" t="s">
        <v>954</v>
      </c>
      <c r="B313" s="148" t="s">
        <v>1280</v>
      </c>
      <c r="C313" s="147" t="s">
        <v>804</v>
      </c>
      <c r="D313" s="147" t="s">
        <v>805</v>
      </c>
      <c r="E313" s="127" t="s">
        <v>25</v>
      </c>
      <c r="F313" s="139">
        <v>42.5</v>
      </c>
      <c r="G313" s="130">
        <v>84.95</v>
      </c>
      <c r="H313" s="128"/>
      <c r="I313" s="129">
        <f t="shared" si="4"/>
        <v>0</v>
      </c>
    </row>
    <row r="314" spans="1:9" s="149" customFormat="1">
      <c r="A314" s="155" t="s">
        <v>955</v>
      </c>
      <c r="B314" s="148" t="s">
        <v>1281</v>
      </c>
      <c r="C314" s="147" t="s">
        <v>804</v>
      </c>
      <c r="D314" s="147" t="s">
        <v>805</v>
      </c>
      <c r="E314" s="127" t="s">
        <v>26</v>
      </c>
      <c r="F314" s="139">
        <v>42.5</v>
      </c>
      <c r="G314" s="130">
        <v>84.95</v>
      </c>
      <c r="H314" s="128"/>
      <c r="I314" s="129">
        <f t="shared" si="4"/>
        <v>0</v>
      </c>
    </row>
    <row r="315" spans="1:9" s="149" customFormat="1">
      <c r="A315" s="155" t="s">
        <v>956</v>
      </c>
      <c r="B315" s="148" t="s">
        <v>1282</v>
      </c>
      <c r="C315" s="147" t="s">
        <v>804</v>
      </c>
      <c r="D315" s="147" t="s">
        <v>805</v>
      </c>
      <c r="E315" s="127" t="s">
        <v>27</v>
      </c>
      <c r="F315" s="139">
        <v>42.5</v>
      </c>
      <c r="G315" s="130">
        <v>84.95</v>
      </c>
      <c r="H315" s="128"/>
      <c r="I315" s="129">
        <f t="shared" si="4"/>
        <v>0</v>
      </c>
    </row>
    <row r="316" spans="1:9" s="149" customFormat="1">
      <c r="A316" s="155" t="s">
        <v>957</v>
      </c>
      <c r="B316" s="148" t="s">
        <v>1283</v>
      </c>
      <c r="C316" s="147" t="s">
        <v>804</v>
      </c>
      <c r="D316" s="147" t="s">
        <v>805</v>
      </c>
      <c r="E316" s="127" t="s">
        <v>28</v>
      </c>
      <c r="F316" s="139">
        <v>42.5</v>
      </c>
      <c r="G316" s="130">
        <v>84.95</v>
      </c>
      <c r="H316" s="128"/>
      <c r="I316" s="129">
        <f t="shared" si="4"/>
        <v>0</v>
      </c>
    </row>
    <row r="317" spans="1:9" s="149" customFormat="1">
      <c r="A317" s="155" t="s">
        <v>958</v>
      </c>
      <c r="B317" s="148" t="s">
        <v>1284</v>
      </c>
      <c r="C317" s="147" t="s">
        <v>804</v>
      </c>
      <c r="D317" s="147" t="s">
        <v>805</v>
      </c>
      <c r="E317" s="127" t="s">
        <v>35</v>
      </c>
      <c r="F317" s="139">
        <v>42.5</v>
      </c>
      <c r="G317" s="130">
        <v>84.95</v>
      </c>
      <c r="H317" s="128"/>
      <c r="I317" s="129">
        <f t="shared" si="4"/>
        <v>0</v>
      </c>
    </row>
    <row r="318" spans="1:9" s="149" customFormat="1">
      <c r="A318" s="155" t="s">
        <v>959</v>
      </c>
      <c r="B318" s="153" t="s">
        <v>1292</v>
      </c>
      <c r="C318" s="127" t="s">
        <v>13</v>
      </c>
      <c r="D318" s="147" t="s">
        <v>805</v>
      </c>
      <c r="E318" s="127" t="s">
        <v>388</v>
      </c>
      <c r="F318" s="139">
        <v>42.5</v>
      </c>
      <c r="G318" s="130">
        <v>84.95</v>
      </c>
      <c r="H318" s="128"/>
      <c r="I318" s="129">
        <f t="shared" si="4"/>
        <v>0</v>
      </c>
    </row>
    <row r="319" spans="1:9" s="149" customFormat="1">
      <c r="A319" s="155" t="s">
        <v>960</v>
      </c>
      <c r="B319" s="153" t="s">
        <v>1293</v>
      </c>
      <c r="C319" s="127" t="s">
        <v>13</v>
      </c>
      <c r="D319" s="147" t="s">
        <v>805</v>
      </c>
      <c r="E319" s="127" t="s">
        <v>24</v>
      </c>
      <c r="F319" s="139">
        <v>42.5</v>
      </c>
      <c r="G319" s="130">
        <v>84.95</v>
      </c>
      <c r="H319" s="128"/>
      <c r="I319" s="129">
        <f t="shared" si="4"/>
        <v>0</v>
      </c>
    </row>
    <row r="320" spans="1:9" s="149" customFormat="1">
      <c r="A320" s="155" t="s">
        <v>961</v>
      </c>
      <c r="B320" s="153" t="s">
        <v>1294</v>
      </c>
      <c r="C320" s="127" t="s">
        <v>13</v>
      </c>
      <c r="D320" s="147" t="s">
        <v>805</v>
      </c>
      <c r="E320" s="127" t="s">
        <v>25</v>
      </c>
      <c r="F320" s="139">
        <v>42.5</v>
      </c>
      <c r="G320" s="130">
        <v>84.95</v>
      </c>
      <c r="H320" s="128"/>
      <c r="I320" s="129">
        <f t="shared" si="4"/>
        <v>0</v>
      </c>
    </row>
    <row r="321" spans="1:9" s="149" customFormat="1">
      <c r="A321" s="155" t="s">
        <v>962</v>
      </c>
      <c r="B321" s="153" t="s">
        <v>1295</v>
      </c>
      <c r="C321" s="127" t="s">
        <v>13</v>
      </c>
      <c r="D321" s="147" t="s">
        <v>805</v>
      </c>
      <c r="E321" s="127" t="s">
        <v>26</v>
      </c>
      <c r="F321" s="139">
        <v>42.5</v>
      </c>
      <c r="G321" s="130">
        <v>84.95</v>
      </c>
      <c r="H321" s="128"/>
      <c r="I321" s="129">
        <f t="shared" si="4"/>
        <v>0</v>
      </c>
    </row>
    <row r="322" spans="1:9" s="149" customFormat="1">
      <c r="A322" s="155" t="s">
        <v>963</v>
      </c>
      <c r="B322" s="153" t="s">
        <v>1296</v>
      </c>
      <c r="C322" s="127" t="s">
        <v>13</v>
      </c>
      <c r="D322" s="147" t="s">
        <v>805</v>
      </c>
      <c r="E322" s="127" t="s">
        <v>27</v>
      </c>
      <c r="F322" s="139">
        <v>42.5</v>
      </c>
      <c r="G322" s="130">
        <v>84.95</v>
      </c>
      <c r="H322" s="128"/>
      <c r="I322" s="129">
        <f t="shared" si="4"/>
        <v>0</v>
      </c>
    </row>
    <row r="323" spans="1:9" s="149" customFormat="1">
      <c r="A323" s="155" t="s">
        <v>964</v>
      </c>
      <c r="B323" s="153" t="s">
        <v>1297</v>
      </c>
      <c r="C323" s="127" t="s">
        <v>13</v>
      </c>
      <c r="D323" s="147" t="s">
        <v>805</v>
      </c>
      <c r="E323" s="127" t="s">
        <v>28</v>
      </c>
      <c r="F323" s="139">
        <v>42.5</v>
      </c>
      <c r="G323" s="130">
        <v>84.95</v>
      </c>
      <c r="H323" s="128"/>
      <c r="I323" s="129">
        <f t="shared" si="4"/>
        <v>0</v>
      </c>
    </row>
    <row r="324" spans="1:9" s="149" customFormat="1">
      <c r="A324" s="155" t="s">
        <v>965</v>
      </c>
      <c r="B324" s="153" t="s">
        <v>1298</v>
      </c>
      <c r="C324" s="127" t="s">
        <v>13</v>
      </c>
      <c r="D324" s="147" t="s">
        <v>805</v>
      </c>
      <c r="E324" s="127" t="s">
        <v>35</v>
      </c>
      <c r="F324" s="139">
        <v>42.5</v>
      </c>
      <c r="G324" s="130">
        <v>84.95</v>
      </c>
      <c r="H324" s="128"/>
      <c r="I324" s="129">
        <f t="shared" si="4"/>
        <v>0</v>
      </c>
    </row>
    <row r="325" spans="1:9" s="149" customFormat="1">
      <c r="A325" s="155" t="s">
        <v>966</v>
      </c>
      <c r="B325" s="148" t="s">
        <v>1250</v>
      </c>
      <c r="C325" s="147" t="s">
        <v>1242</v>
      </c>
      <c r="D325" s="147" t="s">
        <v>806</v>
      </c>
      <c r="E325" s="127" t="s">
        <v>388</v>
      </c>
      <c r="F325" s="139">
        <v>47.5</v>
      </c>
      <c r="G325" s="130">
        <v>94.95</v>
      </c>
      <c r="H325" s="128"/>
      <c r="I325" s="129">
        <f t="shared" si="4"/>
        <v>0</v>
      </c>
    </row>
    <row r="326" spans="1:9" s="149" customFormat="1">
      <c r="A326" s="155" t="s">
        <v>967</v>
      </c>
      <c r="B326" s="148" t="s">
        <v>1251</v>
      </c>
      <c r="C326" s="147" t="s">
        <v>1242</v>
      </c>
      <c r="D326" s="147" t="s">
        <v>806</v>
      </c>
      <c r="E326" s="127" t="s">
        <v>24</v>
      </c>
      <c r="F326" s="139">
        <v>47.5</v>
      </c>
      <c r="G326" s="130">
        <v>94.95</v>
      </c>
      <c r="H326" s="128"/>
      <c r="I326" s="129">
        <f t="shared" si="4"/>
        <v>0</v>
      </c>
    </row>
    <row r="327" spans="1:9" s="149" customFormat="1">
      <c r="A327" s="155" t="s">
        <v>968</v>
      </c>
      <c r="B327" s="148" t="s">
        <v>1252</v>
      </c>
      <c r="C327" s="147" t="s">
        <v>1242</v>
      </c>
      <c r="D327" s="147" t="s">
        <v>806</v>
      </c>
      <c r="E327" s="127" t="s">
        <v>25</v>
      </c>
      <c r="F327" s="139">
        <v>47.5</v>
      </c>
      <c r="G327" s="130">
        <v>94.95</v>
      </c>
      <c r="H327" s="128"/>
      <c r="I327" s="129">
        <f t="shared" si="4"/>
        <v>0</v>
      </c>
    </row>
    <row r="328" spans="1:9" s="149" customFormat="1">
      <c r="A328" s="155" t="s">
        <v>969</v>
      </c>
      <c r="B328" s="148" t="s">
        <v>1253</v>
      </c>
      <c r="C328" s="147" t="s">
        <v>1242</v>
      </c>
      <c r="D328" s="147" t="s">
        <v>806</v>
      </c>
      <c r="E328" s="127" t="s">
        <v>26</v>
      </c>
      <c r="F328" s="139">
        <v>47.5</v>
      </c>
      <c r="G328" s="130">
        <v>94.95</v>
      </c>
      <c r="H328" s="128"/>
      <c r="I328" s="129">
        <f t="shared" si="4"/>
        <v>0</v>
      </c>
    </row>
    <row r="329" spans="1:9" s="149" customFormat="1">
      <c r="A329" s="155" t="s">
        <v>970</v>
      </c>
      <c r="B329" s="148" t="s">
        <v>1254</v>
      </c>
      <c r="C329" s="147" t="s">
        <v>1242</v>
      </c>
      <c r="D329" s="147" t="s">
        <v>806</v>
      </c>
      <c r="E329" s="127" t="s">
        <v>27</v>
      </c>
      <c r="F329" s="139">
        <v>47.5</v>
      </c>
      <c r="G329" s="130">
        <v>94.95</v>
      </c>
      <c r="H329" s="128"/>
      <c r="I329" s="129">
        <f t="shared" si="4"/>
        <v>0</v>
      </c>
    </row>
    <row r="330" spans="1:9" s="149" customFormat="1">
      <c r="A330" s="155" t="s">
        <v>971</v>
      </c>
      <c r="B330" s="148" t="s">
        <v>1255</v>
      </c>
      <c r="C330" s="147" t="s">
        <v>1242</v>
      </c>
      <c r="D330" s="147" t="s">
        <v>806</v>
      </c>
      <c r="E330" s="127" t="s">
        <v>28</v>
      </c>
      <c r="F330" s="139">
        <v>47.5</v>
      </c>
      <c r="G330" s="130">
        <v>94.95</v>
      </c>
      <c r="H330" s="128"/>
      <c r="I330" s="129">
        <f t="shared" ref="I330:I338" si="5">F330*H330</f>
        <v>0</v>
      </c>
    </row>
    <row r="331" spans="1:9" s="149" customFormat="1">
      <c r="A331" s="155" t="s">
        <v>972</v>
      </c>
      <c r="B331" s="148" t="s">
        <v>1256</v>
      </c>
      <c r="C331" s="147" t="s">
        <v>1242</v>
      </c>
      <c r="D331" s="147" t="s">
        <v>806</v>
      </c>
      <c r="E331" s="127" t="s">
        <v>35</v>
      </c>
      <c r="F331" s="139">
        <v>47.5</v>
      </c>
      <c r="G331" s="130">
        <v>94.95</v>
      </c>
      <c r="H331" s="128"/>
      <c r="I331" s="129">
        <f t="shared" si="5"/>
        <v>0</v>
      </c>
    </row>
    <row r="332" spans="1:9" s="149" customFormat="1">
      <c r="A332" s="155" t="s">
        <v>973</v>
      </c>
      <c r="B332" s="153" t="s">
        <v>1285</v>
      </c>
      <c r="C332" s="127" t="s">
        <v>13</v>
      </c>
      <c r="D332" s="147" t="s">
        <v>806</v>
      </c>
      <c r="E332" s="127" t="s">
        <v>388</v>
      </c>
      <c r="F332" s="139">
        <v>42.5</v>
      </c>
      <c r="G332" s="130">
        <v>84.95</v>
      </c>
      <c r="H332" s="128"/>
      <c r="I332" s="129">
        <f t="shared" si="5"/>
        <v>0</v>
      </c>
    </row>
    <row r="333" spans="1:9" s="149" customFormat="1">
      <c r="A333" s="155" t="s">
        <v>974</v>
      </c>
      <c r="B333" s="153" t="s">
        <v>1286</v>
      </c>
      <c r="C333" s="127" t="s">
        <v>13</v>
      </c>
      <c r="D333" s="147" t="s">
        <v>806</v>
      </c>
      <c r="E333" s="127" t="s">
        <v>24</v>
      </c>
      <c r="F333" s="139">
        <v>42.5</v>
      </c>
      <c r="G333" s="130">
        <v>84.95</v>
      </c>
      <c r="H333" s="128"/>
      <c r="I333" s="129">
        <f t="shared" si="5"/>
        <v>0</v>
      </c>
    </row>
    <row r="334" spans="1:9" s="149" customFormat="1">
      <c r="A334" s="155" t="s">
        <v>975</v>
      </c>
      <c r="B334" s="153" t="s">
        <v>1287</v>
      </c>
      <c r="C334" s="127" t="s">
        <v>13</v>
      </c>
      <c r="D334" s="147" t="s">
        <v>806</v>
      </c>
      <c r="E334" s="127" t="s">
        <v>25</v>
      </c>
      <c r="F334" s="139">
        <v>42.5</v>
      </c>
      <c r="G334" s="130">
        <v>84.95</v>
      </c>
      <c r="H334" s="128"/>
      <c r="I334" s="129">
        <f t="shared" si="5"/>
        <v>0</v>
      </c>
    </row>
    <row r="335" spans="1:9" s="149" customFormat="1">
      <c r="A335" s="155" t="s">
        <v>976</v>
      </c>
      <c r="B335" s="153" t="s">
        <v>1288</v>
      </c>
      <c r="C335" s="127" t="s">
        <v>13</v>
      </c>
      <c r="D335" s="147" t="s">
        <v>806</v>
      </c>
      <c r="E335" s="127" t="s">
        <v>26</v>
      </c>
      <c r="F335" s="139">
        <v>42.5</v>
      </c>
      <c r="G335" s="130">
        <v>84.95</v>
      </c>
      <c r="H335" s="128"/>
      <c r="I335" s="129">
        <f t="shared" si="5"/>
        <v>0</v>
      </c>
    </row>
    <row r="336" spans="1:9" s="149" customFormat="1">
      <c r="A336" s="155" t="s">
        <v>977</v>
      </c>
      <c r="B336" s="153" t="s">
        <v>1289</v>
      </c>
      <c r="C336" s="127" t="s">
        <v>13</v>
      </c>
      <c r="D336" s="147" t="s">
        <v>806</v>
      </c>
      <c r="E336" s="127" t="s">
        <v>27</v>
      </c>
      <c r="F336" s="139">
        <v>42.5</v>
      </c>
      <c r="G336" s="130">
        <v>84.95</v>
      </c>
      <c r="H336" s="128"/>
      <c r="I336" s="129">
        <f t="shared" si="5"/>
        <v>0</v>
      </c>
    </row>
    <row r="337" spans="1:13" s="149" customFormat="1">
      <c r="A337" s="155" t="s">
        <v>978</v>
      </c>
      <c r="B337" s="153" t="s">
        <v>1290</v>
      </c>
      <c r="C337" s="127" t="s">
        <v>13</v>
      </c>
      <c r="D337" s="147" t="s">
        <v>806</v>
      </c>
      <c r="E337" s="127" t="s">
        <v>28</v>
      </c>
      <c r="F337" s="139">
        <v>42.5</v>
      </c>
      <c r="G337" s="130">
        <v>84.95</v>
      </c>
      <c r="H337" s="128"/>
      <c r="I337" s="129">
        <f t="shared" si="5"/>
        <v>0</v>
      </c>
    </row>
    <row r="338" spans="1:13" s="149" customFormat="1">
      <c r="A338" s="155" t="s">
        <v>979</v>
      </c>
      <c r="B338" s="153" t="s">
        <v>1291</v>
      </c>
      <c r="C338" s="127" t="s">
        <v>13</v>
      </c>
      <c r="D338" s="147" t="s">
        <v>806</v>
      </c>
      <c r="E338" s="127" t="s">
        <v>35</v>
      </c>
      <c r="F338" s="139">
        <v>42.5</v>
      </c>
      <c r="G338" s="130">
        <v>84.95</v>
      </c>
      <c r="H338" s="128"/>
      <c r="I338" s="129">
        <f t="shared" si="5"/>
        <v>0</v>
      </c>
    </row>
    <row r="339" spans="1:13" s="98" customFormat="1" ht="17" customHeight="1">
      <c r="A339" s="90"/>
      <c r="B339" s="91"/>
      <c r="C339" s="92"/>
      <c r="D339" s="93"/>
      <c r="E339" s="93"/>
      <c r="F339" s="140"/>
      <c r="G339" s="131" t="s">
        <v>1711</v>
      </c>
      <c r="H339" s="96">
        <f>SUM(H3:H338)</f>
        <v>0</v>
      </c>
      <c r="I339" s="97">
        <f>SUM(I3:I338)</f>
        <v>0</v>
      </c>
    </row>
    <row r="340" spans="1:13" s="84" customFormat="1">
      <c r="A340" s="90"/>
      <c r="B340" s="91"/>
      <c r="C340" s="99"/>
      <c r="D340" s="93"/>
      <c r="E340" s="93"/>
      <c r="F340" s="141"/>
      <c r="G340" s="94"/>
      <c r="H340" s="93"/>
      <c r="I340" s="94"/>
    </row>
    <row r="341" spans="1:13" s="11" customFormat="1">
      <c r="A341" s="25" t="s">
        <v>1705</v>
      </c>
      <c r="B341" s="24"/>
      <c r="C341" s="24"/>
      <c r="D341" s="24"/>
      <c r="E341" s="24"/>
      <c r="F341" s="138"/>
      <c r="G341" s="20"/>
      <c r="H341" s="20"/>
      <c r="I341" s="20"/>
      <c r="J341" s="27"/>
      <c r="K341" s="27"/>
      <c r="L341" s="5"/>
      <c r="M341" s="5"/>
    </row>
    <row r="342" spans="1:13" s="4" customFormat="1">
      <c r="A342" s="26" t="s">
        <v>219</v>
      </c>
      <c r="B342" s="79" t="s">
        <v>713</v>
      </c>
      <c r="C342" s="26" t="s">
        <v>29</v>
      </c>
      <c r="D342" s="26" t="s">
        <v>34</v>
      </c>
      <c r="E342" s="78" t="s">
        <v>388</v>
      </c>
      <c r="F342" s="142">
        <v>47.5</v>
      </c>
      <c r="G342" s="132">
        <v>94.95</v>
      </c>
      <c r="H342" s="19"/>
      <c r="I342" s="19">
        <f t="shared" ref="I342:I373" si="6">F342*H342</f>
        <v>0</v>
      </c>
    </row>
    <row r="343" spans="1:13" s="4" customFormat="1">
      <c r="A343" s="26" t="s">
        <v>220</v>
      </c>
      <c r="B343" s="79" t="s">
        <v>712</v>
      </c>
      <c r="C343" s="26" t="s">
        <v>29</v>
      </c>
      <c r="D343" s="26" t="s">
        <v>34</v>
      </c>
      <c r="E343" s="78" t="s">
        <v>24</v>
      </c>
      <c r="F343" s="142">
        <v>47.5</v>
      </c>
      <c r="G343" s="132">
        <v>94.95</v>
      </c>
      <c r="H343" s="19"/>
      <c r="I343" s="19">
        <f t="shared" si="6"/>
        <v>0</v>
      </c>
    </row>
    <row r="344" spans="1:13" s="4" customFormat="1">
      <c r="A344" s="26" t="s">
        <v>221</v>
      </c>
      <c r="B344" s="79" t="s">
        <v>711</v>
      </c>
      <c r="C344" s="26" t="s">
        <v>29</v>
      </c>
      <c r="D344" s="26" t="s">
        <v>34</v>
      </c>
      <c r="E344" s="78" t="s">
        <v>25</v>
      </c>
      <c r="F344" s="142">
        <v>47.5</v>
      </c>
      <c r="G344" s="132">
        <v>94.95</v>
      </c>
      <c r="H344" s="19"/>
      <c r="I344" s="19">
        <f t="shared" si="6"/>
        <v>0</v>
      </c>
    </row>
    <row r="345" spans="1:13" s="4" customFormat="1">
      <c r="A345" s="26" t="s">
        <v>222</v>
      </c>
      <c r="B345" s="79" t="s">
        <v>710</v>
      </c>
      <c r="C345" s="26" t="s">
        <v>29</v>
      </c>
      <c r="D345" s="26" t="s">
        <v>34</v>
      </c>
      <c r="E345" s="78" t="s">
        <v>26</v>
      </c>
      <c r="F345" s="142">
        <v>47.5</v>
      </c>
      <c r="G345" s="132">
        <v>94.95</v>
      </c>
      <c r="H345" s="19"/>
      <c r="I345" s="19">
        <f t="shared" si="6"/>
        <v>0</v>
      </c>
    </row>
    <row r="346" spans="1:13" s="4" customFormat="1">
      <c r="A346" s="26" t="s">
        <v>223</v>
      </c>
      <c r="B346" s="79" t="s">
        <v>709</v>
      </c>
      <c r="C346" s="26" t="s">
        <v>29</v>
      </c>
      <c r="D346" s="26" t="s">
        <v>34</v>
      </c>
      <c r="E346" s="78" t="s">
        <v>27</v>
      </c>
      <c r="F346" s="142">
        <v>47.5</v>
      </c>
      <c r="G346" s="132">
        <v>94.95</v>
      </c>
      <c r="H346" s="19"/>
      <c r="I346" s="19">
        <f t="shared" si="6"/>
        <v>0</v>
      </c>
    </row>
    <row r="347" spans="1:13" s="4" customFormat="1">
      <c r="A347" s="26" t="s">
        <v>224</v>
      </c>
      <c r="B347" s="79" t="s">
        <v>708</v>
      </c>
      <c r="C347" s="26" t="s">
        <v>29</v>
      </c>
      <c r="D347" s="26" t="s">
        <v>34</v>
      </c>
      <c r="E347" s="78" t="s">
        <v>28</v>
      </c>
      <c r="F347" s="142">
        <v>47.5</v>
      </c>
      <c r="G347" s="132">
        <v>94.95</v>
      </c>
      <c r="H347" s="19"/>
      <c r="I347" s="19">
        <f t="shared" si="6"/>
        <v>0</v>
      </c>
    </row>
    <row r="348" spans="1:13" s="4" customFormat="1">
      <c r="A348" s="26" t="s">
        <v>225</v>
      </c>
      <c r="B348" s="79" t="s">
        <v>707</v>
      </c>
      <c r="C348" s="26" t="s">
        <v>29</v>
      </c>
      <c r="D348" s="26" t="s">
        <v>34</v>
      </c>
      <c r="E348" s="78" t="s">
        <v>35</v>
      </c>
      <c r="F348" s="142">
        <v>47.5</v>
      </c>
      <c r="G348" s="132">
        <v>94.95</v>
      </c>
      <c r="H348" s="19"/>
      <c r="I348" s="19">
        <f t="shared" si="6"/>
        <v>0</v>
      </c>
    </row>
    <row r="349" spans="1:13" s="4" customFormat="1">
      <c r="A349" s="81" t="s">
        <v>980</v>
      </c>
      <c r="B349" s="79" t="s">
        <v>1341</v>
      </c>
      <c r="C349" s="26" t="s">
        <v>29</v>
      </c>
      <c r="D349" s="26" t="s">
        <v>37</v>
      </c>
      <c r="E349" s="78" t="s">
        <v>388</v>
      </c>
      <c r="F349" s="142">
        <v>47.5</v>
      </c>
      <c r="G349" s="132">
        <v>94.95</v>
      </c>
      <c r="H349" s="19"/>
      <c r="I349" s="19">
        <f t="shared" si="6"/>
        <v>0</v>
      </c>
    </row>
    <row r="350" spans="1:13" s="4" customFormat="1">
      <c r="A350" s="81" t="s">
        <v>981</v>
      </c>
      <c r="B350" s="79" t="s">
        <v>1342</v>
      </c>
      <c r="C350" s="26" t="s">
        <v>29</v>
      </c>
      <c r="D350" s="26" t="s">
        <v>37</v>
      </c>
      <c r="E350" s="78" t="s">
        <v>24</v>
      </c>
      <c r="F350" s="142">
        <v>47.5</v>
      </c>
      <c r="G350" s="132">
        <v>94.95</v>
      </c>
      <c r="H350" s="19"/>
      <c r="I350" s="19">
        <f t="shared" si="6"/>
        <v>0</v>
      </c>
    </row>
    <row r="351" spans="1:13" s="4" customFormat="1">
      <c r="A351" s="81" t="s">
        <v>982</v>
      </c>
      <c r="B351" s="79" t="s">
        <v>1343</v>
      </c>
      <c r="C351" s="26" t="s">
        <v>29</v>
      </c>
      <c r="D351" s="26" t="s">
        <v>37</v>
      </c>
      <c r="E351" s="78" t="s">
        <v>25</v>
      </c>
      <c r="F351" s="142">
        <v>47.5</v>
      </c>
      <c r="G351" s="132">
        <v>94.95</v>
      </c>
      <c r="H351" s="19"/>
      <c r="I351" s="19">
        <f t="shared" si="6"/>
        <v>0</v>
      </c>
    </row>
    <row r="352" spans="1:13" s="4" customFormat="1">
      <c r="A352" s="81" t="s">
        <v>983</v>
      </c>
      <c r="B352" s="79" t="s">
        <v>1344</v>
      </c>
      <c r="C352" s="26" t="s">
        <v>29</v>
      </c>
      <c r="D352" s="26" t="s">
        <v>37</v>
      </c>
      <c r="E352" s="78" t="s">
        <v>26</v>
      </c>
      <c r="F352" s="142">
        <v>47.5</v>
      </c>
      <c r="G352" s="132">
        <v>94.95</v>
      </c>
      <c r="H352" s="19"/>
      <c r="I352" s="19">
        <f t="shared" si="6"/>
        <v>0</v>
      </c>
    </row>
    <row r="353" spans="1:9" s="4" customFormat="1">
      <c r="A353" s="81" t="s">
        <v>984</v>
      </c>
      <c r="B353" s="79" t="s">
        <v>1345</v>
      </c>
      <c r="C353" s="26" t="s">
        <v>29</v>
      </c>
      <c r="D353" s="26" t="s">
        <v>37</v>
      </c>
      <c r="E353" s="78" t="s">
        <v>27</v>
      </c>
      <c r="F353" s="142">
        <v>47.5</v>
      </c>
      <c r="G353" s="132">
        <v>94.95</v>
      </c>
      <c r="H353" s="19"/>
      <c r="I353" s="19">
        <f t="shared" si="6"/>
        <v>0</v>
      </c>
    </row>
    <row r="354" spans="1:9" s="4" customFormat="1">
      <c r="A354" s="81" t="s">
        <v>985</v>
      </c>
      <c r="B354" s="79" t="s">
        <v>1346</v>
      </c>
      <c r="C354" s="26" t="s">
        <v>29</v>
      </c>
      <c r="D354" s="26" t="s">
        <v>37</v>
      </c>
      <c r="E354" s="78" t="s">
        <v>28</v>
      </c>
      <c r="F354" s="142">
        <v>47.5</v>
      </c>
      <c r="G354" s="132">
        <v>94.95</v>
      </c>
      <c r="H354" s="19"/>
      <c r="I354" s="19">
        <f t="shared" si="6"/>
        <v>0</v>
      </c>
    </row>
    <row r="355" spans="1:9" s="4" customFormat="1">
      <c r="A355" s="81" t="s">
        <v>986</v>
      </c>
      <c r="B355" s="79" t="s">
        <v>1347</v>
      </c>
      <c r="C355" s="26" t="s">
        <v>29</v>
      </c>
      <c r="D355" s="26" t="s">
        <v>37</v>
      </c>
      <c r="E355" s="78" t="s">
        <v>35</v>
      </c>
      <c r="F355" s="142">
        <v>47.5</v>
      </c>
      <c r="G355" s="126">
        <v>94.95</v>
      </c>
      <c r="H355" s="19"/>
      <c r="I355" s="19">
        <f t="shared" si="6"/>
        <v>0</v>
      </c>
    </row>
    <row r="356" spans="1:9" s="4" customFormat="1">
      <c r="A356" s="81" t="s">
        <v>987</v>
      </c>
      <c r="B356" s="79" t="s">
        <v>1349</v>
      </c>
      <c r="C356" s="26" t="s">
        <v>46</v>
      </c>
      <c r="D356" s="26" t="s">
        <v>0</v>
      </c>
      <c r="E356" s="78" t="s">
        <v>388</v>
      </c>
      <c r="F356" s="143">
        <v>55</v>
      </c>
      <c r="G356" s="19">
        <v>109.95</v>
      </c>
      <c r="H356" s="19"/>
      <c r="I356" s="19">
        <f t="shared" si="6"/>
        <v>0</v>
      </c>
    </row>
    <row r="357" spans="1:9" s="4" customFormat="1">
      <c r="A357" s="81" t="s">
        <v>988</v>
      </c>
      <c r="B357" s="79" t="s">
        <v>1350</v>
      </c>
      <c r="C357" s="26" t="s">
        <v>46</v>
      </c>
      <c r="D357" s="26" t="s">
        <v>0</v>
      </c>
      <c r="E357" s="78" t="s">
        <v>24</v>
      </c>
      <c r="F357" s="143">
        <v>55</v>
      </c>
      <c r="G357" s="19">
        <v>109.95</v>
      </c>
      <c r="H357" s="19"/>
      <c r="I357" s="19">
        <f t="shared" si="6"/>
        <v>0</v>
      </c>
    </row>
    <row r="358" spans="1:9" s="4" customFormat="1">
      <c r="A358" s="81" t="s">
        <v>989</v>
      </c>
      <c r="B358" s="79" t="s">
        <v>1351</v>
      </c>
      <c r="C358" s="26" t="s">
        <v>46</v>
      </c>
      <c r="D358" s="26" t="s">
        <v>0</v>
      </c>
      <c r="E358" s="78" t="s">
        <v>25</v>
      </c>
      <c r="F358" s="143">
        <v>55</v>
      </c>
      <c r="G358" s="19">
        <v>109.95</v>
      </c>
      <c r="H358" s="19"/>
      <c r="I358" s="19">
        <f t="shared" si="6"/>
        <v>0</v>
      </c>
    </row>
    <row r="359" spans="1:9" s="4" customFormat="1">
      <c r="A359" s="81" t="s">
        <v>990</v>
      </c>
      <c r="B359" s="79" t="s">
        <v>1352</v>
      </c>
      <c r="C359" s="26" t="s">
        <v>46</v>
      </c>
      <c r="D359" s="26" t="s">
        <v>0</v>
      </c>
      <c r="E359" s="78" t="s">
        <v>26</v>
      </c>
      <c r="F359" s="143">
        <v>55</v>
      </c>
      <c r="G359" s="19">
        <v>109.95</v>
      </c>
      <c r="H359" s="19"/>
      <c r="I359" s="19">
        <f t="shared" si="6"/>
        <v>0</v>
      </c>
    </row>
    <row r="360" spans="1:9" s="4" customFormat="1">
      <c r="A360" s="81" t="s">
        <v>991</v>
      </c>
      <c r="B360" s="79" t="s">
        <v>1353</v>
      </c>
      <c r="C360" s="26" t="s">
        <v>46</v>
      </c>
      <c r="D360" s="26" t="s">
        <v>0</v>
      </c>
      <c r="E360" s="78" t="s">
        <v>27</v>
      </c>
      <c r="F360" s="143">
        <v>55</v>
      </c>
      <c r="G360" s="19">
        <v>109.95</v>
      </c>
      <c r="H360" s="19"/>
      <c r="I360" s="19">
        <f t="shared" si="6"/>
        <v>0</v>
      </c>
    </row>
    <row r="361" spans="1:9" s="4" customFormat="1">
      <c r="A361" s="81" t="s">
        <v>992</v>
      </c>
      <c r="B361" s="79" t="s">
        <v>1354</v>
      </c>
      <c r="C361" s="26" t="s">
        <v>46</v>
      </c>
      <c r="D361" s="26" t="s">
        <v>0</v>
      </c>
      <c r="E361" s="78" t="s">
        <v>28</v>
      </c>
      <c r="F361" s="143">
        <v>55</v>
      </c>
      <c r="G361" s="19">
        <v>109.95</v>
      </c>
      <c r="H361" s="19"/>
      <c r="I361" s="19">
        <f t="shared" si="6"/>
        <v>0</v>
      </c>
    </row>
    <row r="362" spans="1:9" s="4" customFormat="1">
      <c r="A362" s="81" t="s">
        <v>993</v>
      </c>
      <c r="B362" s="79" t="s">
        <v>1355</v>
      </c>
      <c r="C362" s="26" t="s">
        <v>46</v>
      </c>
      <c r="D362" s="26" t="s">
        <v>0</v>
      </c>
      <c r="E362" s="78" t="s">
        <v>35</v>
      </c>
      <c r="F362" s="143">
        <v>55</v>
      </c>
      <c r="G362" s="19">
        <v>109.95</v>
      </c>
      <c r="H362" s="19"/>
      <c r="I362" s="19">
        <f t="shared" si="6"/>
        <v>0</v>
      </c>
    </row>
    <row r="363" spans="1:9" s="4" customFormat="1">
      <c r="A363" s="81" t="s">
        <v>994</v>
      </c>
      <c r="B363" s="79" t="s">
        <v>1370</v>
      </c>
      <c r="C363" s="26" t="s">
        <v>46</v>
      </c>
      <c r="D363" s="26" t="s">
        <v>1348</v>
      </c>
      <c r="E363" s="78" t="s">
        <v>388</v>
      </c>
      <c r="F363" s="143">
        <v>55</v>
      </c>
      <c r="G363" s="19">
        <v>109.95</v>
      </c>
      <c r="H363" s="19"/>
      <c r="I363" s="19">
        <f t="shared" si="6"/>
        <v>0</v>
      </c>
    </row>
    <row r="364" spans="1:9" s="4" customFormat="1">
      <c r="A364" s="81" t="s">
        <v>995</v>
      </c>
      <c r="B364" s="79" t="s">
        <v>1371</v>
      </c>
      <c r="C364" s="26" t="s">
        <v>46</v>
      </c>
      <c r="D364" s="26" t="s">
        <v>1348</v>
      </c>
      <c r="E364" s="78" t="s">
        <v>24</v>
      </c>
      <c r="F364" s="143">
        <v>55</v>
      </c>
      <c r="G364" s="19">
        <v>109.95</v>
      </c>
      <c r="H364" s="19"/>
      <c r="I364" s="19">
        <f t="shared" si="6"/>
        <v>0</v>
      </c>
    </row>
    <row r="365" spans="1:9" s="4" customFormat="1">
      <c r="A365" s="81" t="s">
        <v>996</v>
      </c>
      <c r="B365" s="79" t="s">
        <v>1372</v>
      </c>
      <c r="C365" s="26" t="s">
        <v>46</v>
      </c>
      <c r="D365" s="26" t="s">
        <v>1348</v>
      </c>
      <c r="E365" s="78" t="s">
        <v>25</v>
      </c>
      <c r="F365" s="143">
        <v>55</v>
      </c>
      <c r="G365" s="19">
        <v>109.95</v>
      </c>
      <c r="H365" s="19"/>
      <c r="I365" s="19">
        <f t="shared" si="6"/>
        <v>0</v>
      </c>
    </row>
    <row r="366" spans="1:9" s="4" customFormat="1">
      <c r="A366" s="81" t="s">
        <v>997</v>
      </c>
      <c r="B366" s="79" t="s">
        <v>1373</v>
      </c>
      <c r="C366" s="26" t="s">
        <v>46</v>
      </c>
      <c r="D366" s="26" t="s">
        <v>1348</v>
      </c>
      <c r="E366" s="78" t="s">
        <v>26</v>
      </c>
      <c r="F366" s="143">
        <v>55</v>
      </c>
      <c r="G366" s="19">
        <v>109.95</v>
      </c>
      <c r="H366" s="19"/>
      <c r="I366" s="19">
        <f t="shared" si="6"/>
        <v>0</v>
      </c>
    </row>
    <row r="367" spans="1:9" s="4" customFormat="1">
      <c r="A367" s="81" t="s">
        <v>998</v>
      </c>
      <c r="B367" s="79" t="s">
        <v>1374</v>
      </c>
      <c r="C367" s="26" t="s">
        <v>46</v>
      </c>
      <c r="D367" s="26" t="s">
        <v>1348</v>
      </c>
      <c r="E367" s="78" t="s">
        <v>27</v>
      </c>
      <c r="F367" s="143">
        <v>55</v>
      </c>
      <c r="G367" s="19">
        <v>109.95</v>
      </c>
      <c r="H367" s="19"/>
      <c r="I367" s="19">
        <f t="shared" si="6"/>
        <v>0</v>
      </c>
    </row>
    <row r="368" spans="1:9" s="4" customFormat="1">
      <c r="A368" s="81" t="s">
        <v>999</v>
      </c>
      <c r="B368" s="79" t="s">
        <v>1375</v>
      </c>
      <c r="C368" s="26" t="s">
        <v>46</v>
      </c>
      <c r="D368" s="26" t="s">
        <v>1348</v>
      </c>
      <c r="E368" s="78" t="s">
        <v>28</v>
      </c>
      <c r="F368" s="143">
        <v>55</v>
      </c>
      <c r="G368" s="19">
        <v>109.95</v>
      </c>
      <c r="H368" s="19"/>
      <c r="I368" s="19">
        <f t="shared" si="6"/>
        <v>0</v>
      </c>
    </row>
    <row r="369" spans="1:9" s="4" customFormat="1">
      <c r="A369" s="81" t="s">
        <v>1000</v>
      </c>
      <c r="B369" s="79" t="s">
        <v>1376</v>
      </c>
      <c r="C369" s="26" t="s">
        <v>46</v>
      </c>
      <c r="D369" s="26" t="s">
        <v>1348</v>
      </c>
      <c r="E369" s="78" t="s">
        <v>35</v>
      </c>
      <c r="F369" s="143">
        <v>55</v>
      </c>
      <c r="G369" s="19">
        <v>109.95</v>
      </c>
      <c r="H369" s="19"/>
      <c r="I369" s="19">
        <f t="shared" si="6"/>
        <v>0</v>
      </c>
    </row>
    <row r="370" spans="1:9" s="4" customFormat="1">
      <c r="A370" s="81" t="s">
        <v>1001</v>
      </c>
      <c r="B370" s="79" t="s">
        <v>1356</v>
      </c>
      <c r="C370" s="26" t="s">
        <v>46</v>
      </c>
      <c r="D370" s="26" t="s">
        <v>803</v>
      </c>
      <c r="E370" s="78" t="s">
        <v>388</v>
      </c>
      <c r="F370" s="143">
        <v>55</v>
      </c>
      <c r="G370" s="19">
        <v>109.95</v>
      </c>
      <c r="H370" s="19"/>
      <c r="I370" s="19">
        <f t="shared" si="6"/>
        <v>0</v>
      </c>
    </row>
    <row r="371" spans="1:9" s="4" customFormat="1">
      <c r="A371" s="81" t="s">
        <v>1002</v>
      </c>
      <c r="B371" s="79" t="s">
        <v>1357</v>
      </c>
      <c r="C371" s="26" t="s">
        <v>46</v>
      </c>
      <c r="D371" s="26" t="s">
        <v>803</v>
      </c>
      <c r="E371" s="78" t="s">
        <v>24</v>
      </c>
      <c r="F371" s="143">
        <v>55</v>
      </c>
      <c r="G371" s="19">
        <v>109.95</v>
      </c>
      <c r="H371" s="19"/>
      <c r="I371" s="19">
        <f t="shared" si="6"/>
        <v>0</v>
      </c>
    </row>
    <row r="372" spans="1:9" s="4" customFormat="1">
      <c r="A372" s="81" t="s">
        <v>1003</v>
      </c>
      <c r="B372" s="79" t="s">
        <v>1358</v>
      </c>
      <c r="C372" s="26" t="s">
        <v>46</v>
      </c>
      <c r="D372" s="26" t="s">
        <v>803</v>
      </c>
      <c r="E372" s="78" t="s">
        <v>25</v>
      </c>
      <c r="F372" s="143">
        <v>55</v>
      </c>
      <c r="G372" s="19">
        <v>109.95</v>
      </c>
      <c r="H372" s="19"/>
      <c r="I372" s="19">
        <f t="shared" si="6"/>
        <v>0</v>
      </c>
    </row>
    <row r="373" spans="1:9" s="4" customFormat="1">
      <c r="A373" s="81" t="s">
        <v>1004</v>
      </c>
      <c r="B373" s="79" t="s">
        <v>1359</v>
      </c>
      <c r="C373" s="26" t="s">
        <v>46</v>
      </c>
      <c r="D373" s="26" t="s">
        <v>803</v>
      </c>
      <c r="E373" s="78" t="s">
        <v>26</v>
      </c>
      <c r="F373" s="143">
        <v>55</v>
      </c>
      <c r="G373" s="19">
        <v>109.95</v>
      </c>
      <c r="H373" s="19"/>
      <c r="I373" s="19">
        <f t="shared" si="6"/>
        <v>0</v>
      </c>
    </row>
    <row r="374" spans="1:9" s="4" customFormat="1">
      <c r="A374" s="81" t="s">
        <v>1005</v>
      </c>
      <c r="B374" s="79" t="s">
        <v>1360</v>
      </c>
      <c r="C374" s="26" t="s">
        <v>46</v>
      </c>
      <c r="D374" s="26" t="s">
        <v>803</v>
      </c>
      <c r="E374" s="78" t="s">
        <v>27</v>
      </c>
      <c r="F374" s="143">
        <v>55</v>
      </c>
      <c r="G374" s="19">
        <v>109.95</v>
      </c>
      <c r="H374" s="19"/>
      <c r="I374" s="19">
        <f t="shared" ref="I374:I405" si="7">F374*H374</f>
        <v>0</v>
      </c>
    </row>
    <row r="375" spans="1:9" s="4" customFormat="1">
      <c r="A375" s="81" t="s">
        <v>1006</v>
      </c>
      <c r="B375" s="79" t="s">
        <v>1361</v>
      </c>
      <c r="C375" s="26" t="s">
        <v>46</v>
      </c>
      <c r="D375" s="26" t="s">
        <v>803</v>
      </c>
      <c r="E375" s="78" t="s">
        <v>28</v>
      </c>
      <c r="F375" s="143">
        <v>55</v>
      </c>
      <c r="G375" s="19">
        <v>109.95</v>
      </c>
      <c r="H375" s="19"/>
      <c r="I375" s="19">
        <f t="shared" si="7"/>
        <v>0</v>
      </c>
    </row>
    <row r="376" spans="1:9" s="4" customFormat="1">
      <c r="A376" s="81" t="s">
        <v>1007</v>
      </c>
      <c r="B376" s="79" t="s">
        <v>1362</v>
      </c>
      <c r="C376" s="26" t="s">
        <v>46</v>
      </c>
      <c r="D376" s="26" t="s">
        <v>803</v>
      </c>
      <c r="E376" s="78" t="s">
        <v>35</v>
      </c>
      <c r="F376" s="143">
        <v>55</v>
      </c>
      <c r="G376" s="19">
        <v>109.95</v>
      </c>
      <c r="H376" s="19"/>
      <c r="I376" s="19">
        <f t="shared" si="7"/>
        <v>0</v>
      </c>
    </row>
    <row r="377" spans="1:9" s="4" customFormat="1">
      <c r="A377" s="81" t="s">
        <v>1008</v>
      </c>
      <c r="B377" s="79" t="s">
        <v>1363</v>
      </c>
      <c r="C377" s="26" t="s">
        <v>46</v>
      </c>
      <c r="D377" s="26" t="s">
        <v>805</v>
      </c>
      <c r="E377" s="78" t="s">
        <v>388</v>
      </c>
      <c r="F377" s="143">
        <v>55</v>
      </c>
      <c r="G377" s="19">
        <v>109.95</v>
      </c>
      <c r="H377" s="19"/>
      <c r="I377" s="19">
        <f t="shared" si="7"/>
        <v>0</v>
      </c>
    </row>
    <row r="378" spans="1:9" s="4" customFormat="1">
      <c r="A378" s="81" t="s">
        <v>1009</v>
      </c>
      <c r="B378" s="79" t="s">
        <v>1364</v>
      </c>
      <c r="C378" s="26" t="s">
        <v>46</v>
      </c>
      <c r="D378" s="26" t="s">
        <v>805</v>
      </c>
      <c r="E378" s="78" t="s">
        <v>24</v>
      </c>
      <c r="F378" s="143">
        <v>55</v>
      </c>
      <c r="G378" s="19">
        <v>109.95</v>
      </c>
      <c r="H378" s="19"/>
      <c r="I378" s="19">
        <f t="shared" si="7"/>
        <v>0</v>
      </c>
    </row>
    <row r="379" spans="1:9" s="4" customFormat="1">
      <c r="A379" s="81" t="s">
        <v>1010</v>
      </c>
      <c r="B379" s="79" t="s">
        <v>1365</v>
      </c>
      <c r="C379" s="26" t="s">
        <v>46</v>
      </c>
      <c r="D379" s="26" t="s">
        <v>805</v>
      </c>
      <c r="E379" s="78" t="s">
        <v>25</v>
      </c>
      <c r="F379" s="143">
        <v>55</v>
      </c>
      <c r="G379" s="19">
        <v>109.95</v>
      </c>
      <c r="H379" s="19"/>
      <c r="I379" s="19">
        <f t="shared" si="7"/>
        <v>0</v>
      </c>
    </row>
    <row r="380" spans="1:9" s="4" customFormat="1">
      <c r="A380" s="81" t="s">
        <v>1011</v>
      </c>
      <c r="B380" s="79" t="s">
        <v>1366</v>
      </c>
      <c r="C380" s="26" t="s">
        <v>46</v>
      </c>
      <c r="D380" s="26" t="s">
        <v>805</v>
      </c>
      <c r="E380" s="78" t="s">
        <v>26</v>
      </c>
      <c r="F380" s="143">
        <v>55</v>
      </c>
      <c r="G380" s="19">
        <v>109.95</v>
      </c>
      <c r="H380" s="19"/>
      <c r="I380" s="19">
        <f t="shared" si="7"/>
        <v>0</v>
      </c>
    </row>
    <row r="381" spans="1:9" s="4" customFormat="1">
      <c r="A381" s="81" t="s">
        <v>1012</v>
      </c>
      <c r="B381" s="79" t="s">
        <v>1367</v>
      </c>
      <c r="C381" s="26" t="s">
        <v>46</v>
      </c>
      <c r="D381" s="26" t="s">
        <v>805</v>
      </c>
      <c r="E381" s="78" t="s">
        <v>27</v>
      </c>
      <c r="F381" s="143">
        <v>55</v>
      </c>
      <c r="G381" s="19">
        <v>109.95</v>
      </c>
      <c r="H381" s="19"/>
      <c r="I381" s="19">
        <f t="shared" si="7"/>
        <v>0</v>
      </c>
    </row>
    <row r="382" spans="1:9" s="4" customFormat="1">
      <c r="A382" s="81" t="s">
        <v>1013</v>
      </c>
      <c r="B382" s="79" t="s">
        <v>1368</v>
      </c>
      <c r="C382" s="26" t="s">
        <v>46</v>
      </c>
      <c r="D382" s="26" t="s">
        <v>805</v>
      </c>
      <c r="E382" s="78" t="s">
        <v>28</v>
      </c>
      <c r="F382" s="143">
        <v>55</v>
      </c>
      <c r="G382" s="19">
        <v>109.95</v>
      </c>
      <c r="H382" s="19"/>
      <c r="I382" s="19">
        <f t="shared" si="7"/>
        <v>0</v>
      </c>
    </row>
    <row r="383" spans="1:9" s="4" customFormat="1">
      <c r="A383" s="81" t="s">
        <v>1014</v>
      </c>
      <c r="B383" s="79" t="s">
        <v>1369</v>
      </c>
      <c r="C383" s="26" t="s">
        <v>46</v>
      </c>
      <c r="D383" s="26" t="s">
        <v>805</v>
      </c>
      <c r="E383" s="78" t="s">
        <v>35</v>
      </c>
      <c r="F383" s="143">
        <v>55</v>
      </c>
      <c r="G383" s="19">
        <v>109.95</v>
      </c>
      <c r="H383" s="19"/>
      <c r="I383" s="19">
        <f t="shared" si="7"/>
        <v>0</v>
      </c>
    </row>
    <row r="384" spans="1:9" s="4" customFormat="1">
      <c r="A384" s="26" t="s">
        <v>226</v>
      </c>
      <c r="B384" s="79" t="s">
        <v>706</v>
      </c>
      <c r="C384" s="26" t="s">
        <v>46</v>
      </c>
      <c r="D384" s="26" t="s">
        <v>41</v>
      </c>
      <c r="E384" s="78" t="s">
        <v>388</v>
      </c>
      <c r="F384" s="143">
        <v>55</v>
      </c>
      <c r="G384" s="19">
        <v>109.95</v>
      </c>
      <c r="H384" s="19"/>
      <c r="I384" s="19">
        <f t="shared" si="7"/>
        <v>0</v>
      </c>
    </row>
    <row r="385" spans="1:9" s="4" customFormat="1">
      <c r="A385" s="26" t="s">
        <v>227</v>
      </c>
      <c r="B385" s="79" t="s">
        <v>705</v>
      </c>
      <c r="C385" s="26" t="s">
        <v>46</v>
      </c>
      <c r="D385" s="26" t="s">
        <v>41</v>
      </c>
      <c r="E385" s="78" t="s">
        <v>24</v>
      </c>
      <c r="F385" s="143">
        <v>55</v>
      </c>
      <c r="G385" s="19">
        <v>109.95</v>
      </c>
      <c r="H385" s="19"/>
      <c r="I385" s="19">
        <f t="shared" si="7"/>
        <v>0</v>
      </c>
    </row>
    <row r="386" spans="1:9" s="4" customFormat="1">
      <c r="A386" s="26" t="s">
        <v>228</v>
      </c>
      <c r="B386" s="79" t="s">
        <v>704</v>
      </c>
      <c r="C386" s="26" t="s">
        <v>46</v>
      </c>
      <c r="D386" s="26" t="s">
        <v>41</v>
      </c>
      <c r="E386" s="78" t="s">
        <v>25</v>
      </c>
      <c r="F386" s="143">
        <v>55</v>
      </c>
      <c r="G386" s="19">
        <v>109.95</v>
      </c>
      <c r="H386" s="19"/>
      <c r="I386" s="19">
        <f t="shared" si="7"/>
        <v>0</v>
      </c>
    </row>
    <row r="387" spans="1:9" s="4" customFormat="1">
      <c r="A387" s="26" t="s">
        <v>229</v>
      </c>
      <c r="B387" s="79" t="s">
        <v>703</v>
      </c>
      <c r="C387" s="26" t="s">
        <v>46</v>
      </c>
      <c r="D387" s="26" t="s">
        <v>41</v>
      </c>
      <c r="E387" s="78" t="s">
        <v>26</v>
      </c>
      <c r="F387" s="143">
        <v>55</v>
      </c>
      <c r="G387" s="19">
        <v>109.95</v>
      </c>
      <c r="H387" s="19"/>
      <c r="I387" s="19">
        <f t="shared" si="7"/>
        <v>0</v>
      </c>
    </row>
    <row r="388" spans="1:9" s="4" customFormat="1">
      <c r="A388" s="26" t="s">
        <v>230</v>
      </c>
      <c r="B388" s="79" t="s">
        <v>702</v>
      </c>
      <c r="C388" s="26" t="s">
        <v>46</v>
      </c>
      <c r="D388" s="26" t="s">
        <v>41</v>
      </c>
      <c r="E388" s="78" t="s">
        <v>27</v>
      </c>
      <c r="F388" s="143">
        <v>55</v>
      </c>
      <c r="G388" s="19">
        <v>109.95</v>
      </c>
      <c r="H388" s="19"/>
      <c r="I388" s="19">
        <f t="shared" si="7"/>
        <v>0</v>
      </c>
    </row>
    <row r="389" spans="1:9" s="4" customFormat="1">
      <c r="A389" s="26" t="s">
        <v>231</v>
      </c>
      <c r="B389" s="79" t="s">
        <v>701</v>
      </c>
      <c r="C389" s="26" t="s">
        <v>46</v>
      </c>
      <c r="D389" s="26" t="s">
        <v>41</v>
      </c>
      <c r="E389" s="78" t="s">
        <v>28</v>
      </c>
      <c r="F389" s="143">
        <v>55</v>
      </c>
      <c r="G389" s="19">
        <v>109.95</v>
      </c>
      <c r="H389" s="19"/>
      <c r="I389" s="19">
        <f t="shared" si="7"/>
        <v>0</v>
      </c>
    </row>
    <row r="390" spans="1:9" s="4" customFormat="1">
      <c r="A390" s="26" t="s">
        <v>232</v>
      </c>
      <c r="B390" s="79" t="s">
        <v>700</v>
      </c>
      <c r="C390" s="26" t="s">
        <v>46</v>
      </c>
      <c r="D390" s="26" t="s">
        <v>41</v>
      </c>
      <c r="E390" s="78" t="s">
        <v>35</v>
      </c>
      <c r="F390" s="143">
        <v>55</v>
      </c>
      <c r="G390" s="19">
        <v>109.95</v>
      </c>
      <c r="H390" s="19"/>
      <c r="I390" s="19">
        <f t="shared" si="7"/>
        <v>0</v>
      </c>
    </row>
    <row r="391" spans="1:9" s="4" customFormat="1">
      <c r="A391" s="80" t="s">
        <v>1015</v>
      </c>
      <c r="B391" s="79" t="s">
        <v>1377</v>
      </c>
      <c r="C391" s="26" t="s">
        <v>11</v>
      </c>
      <c r="D391" s="26" t="s">
        <v>805</v>
      </c>
      <c r="E391" s="78" t="s">
        <v>388</v>
      </c>
      <c r="F391" s="143">
        <v>60</v>
      </c>
      <c r="G391" s="19">
        <v>119.95</v>
      </c>
      <c r="H391" s="19"/>
      <c r="I391" s="19">
        <f t="shared" si="7"/>
        <v>0</v>
      </c>
    </row>
    <row r="392" spans="1:9" s="4" customFormat="1">
      <c r="A392" s="80" t="s">
        <v>1016</v>
      </c>
      <c r="B392" s="79" t="s">
        <v>1378</v>
      </c>
      <c r="C392" s="26" t="s">
        <v>11</v>
      </c>
      <c r="D392" s="26" t="s">
        <v>805</v>
      </c>
      <c r="E392" s="78" t="s">
        <v>24</v>
      </c>
      <c r="F392" s="143">
        <v>60</v>
      </c>
      <c r="G392" s="19">
        <v>119.95</v>
      </c>
      <c r="H392" s="19"/>
      <c r="I392" s="19">
        <f t="shared" si="7"/>
        <v>0</v>
      </c>
    </row>
    <row r="393" spans="1:9" s="4" customFormat="1">
      <c r="A393" s="80" t="s">
        <v>1017</v>
      </c>
      <c r="B393" s="79" t="s">
        <v>1379</v>
      </c>
      <c r="C393" s="26" t="s">
        <v>11</v>
      </c>
      <c r="D393" s="26" t="s">
        <v>805</v>
      </c>
      <c r="E393" s="78" t="s">
        <v>25</v>
      </c>
      <c r="F393" s="143">
        <v>60</v>
      </c>
      <c r="G393" s="19">
        <v>119.95</v>
      </c>
      <c r="H393" s="19"/>
      <c r="I393" s="19">
        <f t="shared" si="7"/>
        <v>0</v>
      </c>
    </row>
    <row r="394" spans="1:9" s="4" customFormat="1">
      <c r="A394" s="80" t="s">
        <v>1018</v>
      </c>
      <c r="B394" s="79" t="s">
        <v>1380</v>
      </c>
      <c r="C394" s="26" t="s">
        <v>11</v>
      </c>
      <c r="D394" s="26" t="s">
        <v>805</v>
      </c>
      <c r="E394" s="78" t="s">
        <v>26</v>
      </c>
      <c r="F394" s="143">
        <v>60</v>
      </c>
      <c r="G394" s="19">
        <v>119.95</v>
      </c>
      <c r="H394" s="19"/>
      <c r="I394" s="19">
        <f t="shared" si="7"/>
        <v>0</v>
      </c>
    </row>
    <row r="395" spans="1:9" s="4" customFormat="1">
      <c r="A395" s="80" t="s">
        <v>1019</v>
      </c>
      <c r="B395" s="79" t="s">
        <v>1381</v>
      </c>
      <c r="C395" s="26" t="s">
        <v>11</v>
      </c>
      <c r="D395" s="26" t="s">
        <v>805</v>
      </c>
      <c r="E395" s="78" t="s">
        <v>27</v>
      </c>
      <c r="F395" s="143">
        <v>60</v>
      </c>
      <c r="G395" s="19">
        <v>119.95</v>
      </c>
      <c r="H395" s="19"/>
      <c r="I395" s="19">
        <f t="shared" si="7"/>
        <v>0</v>
      </c>
    </row>
    <row r="396" spans="1:9" s="4" customFormat="1">
      <c r="A396" s="80" t="s">
        <v>1020</v>
      </c>
      <c r="B396" s="79" t="s">
        <v>1382</v>
      </c>
      <c r="C396" s="26" t="s">
        <v>11</v>
      </c>
      <c r="D396" s="26" t="s">
        <v>805</v>
      </c>
      <c r="E396" s="78" t="s">
        <v>28</v>
      </c>
      <c r="F396" s="143">
        <v>60</v>
      </c>
      <c r="G396" s="19">
        <v>119.95</v>
      </c>
      <c r="H396" s="19"/>
      <c r="I396" s="19">
        <f t="shared" si="7"/>
        <v>0</v>
      </c>
    </row>
    <row r="397" spans="1:9" s="4" customFormat="1">
      <c r="A397" s="80" t="s">
        <v>1021</v>
      </c>
      <c r="B397" s="79" t="s">
        <v>1383</v>
      </c>
      <c r="C397" s="26" t="s">
        <v>11</v>
      </c>
      <c r="D397" s="26" t="s">
        <v>805</v>
      </c>
      <c r="E397" s="78" t="s">
        <v>35</v>
      </c>
      <c r="F397" s="143">
        <v>60</v>
      </c>
      <c r="G397" s="19">
        <v>119.95</v>
      </c>
      <c r="H397" s="19"/>
      <c r="I397" s="19">
        <f t="shared" si="7"/>
        <v>0</v>
      </c>
    </row>
    <row r="398" spans="1:9" s="4" customFormat="1">
      <c r="A398" s="80" t="s">
        <v>1022</v>
      </c>
      <c r="B398" s="79" t="s">
        <v>1384</v>
      </c>
      <c r="C398" s="26" t="s">
        <v>11</v>
      </c>
      <c r="D398" s="26" t="s">
        <v>806</v>
      </c>
      <c r="E398" s="78" t="s">
        <v>388</v>
      </c>
      <c r="F398" s="143">
        <v>60</v>
      </c>
      <c r="G398" s="19">
        <v>119.95</v>
      </c>
      <c r="H398" s="19"/>
      <c r="I398" s="19">
        <f t="shared" si="7"/>
        <v>0</v>
      </c>
    </row>
    <row r="399" spans="1:9" s="4" customFormat="1">
      <c r="A399" s="80" t="s">
        <v>1023</v>
      </c>
      <c r="B399" s="79" t="s">
        <v>1385</v>
      </c>
      <c r="C399" s="26" t="s">
        <v>11</v>
      </c>
      <c r="D399" s="26" t="s">
        <v>806</v>
      </c>
      <c r="E399" s="78" t="s">
        <v>24</v>
      </c>
      <c r="F399" s="143">
        <v>60</v>
      </c>
      <c r="G399" s="19">
        <v>119.95</v>
      </c>
      <c r="H399" s="19"/>
      <c r="I399" s="19">
        <f t="shared" si="7"/>
        <v>0</v>
      </c>
    </row>
    <row r="400" spans="1:9" s="4" customFormat="1">
      <c r="A400" s="80" t="s">
        <v>1024</v>
      </c>
      <c r="B400" s="79" t="s">
        <v>1386</v>
      </c>
      <c r="C400" s="26" t="s">
        <v>11</v>
      </c>
      <c r="D400" s="26" t="s">
        <v>806</v>
      </c>
      <c r="E400" s="78" t="s">
        <v>25</v>
      </c>
      <c r="F400" s="143">
        <v>60</v>
      </c>
      <c r="G400" s="19">
        <v>119.95</v>
      </c>
      <c r="H400" s="19"/>
      <c r="I400" s="19">
        <f t="shared" si="7"/>
        <v>0</v>
      </c>
    </row>
    <row r="401" spans="1:9" s="4" customFormat="1">
      <c r="A401" s="80" t="s">
        <v>1025</v>
      </c>
      <c r="B401" s="79" t="s">
        <v>1387</v>
      </c>
      <c r="C401" s="26" t="s">
        <v>11</v>
      </c>
      <c r="D401" s="26" t="s">
        <v>806</v>
      </c>
      <c r="E401" s="78" t="s">
        <v>26</v>
      </c>
      <c r="F401" s="143">
        <v>60</v>
      </c>
      <c r="G401" s="19">
        <v>119.95</v>
      </c>
      <c r="H401" s="19"/>
      <c r="I401" s="19">
        <f t="shared" si="7"/>
        <v>0</v>
      </c>
    </row>
    <row r="402" spans="1:9" s="4" customFormat="1">
      <c r="A402" s="80" t="s">
        <v>1026</v>
      </c>
      <c r="B402" s="79" t="s">
        <v>1388</v>
      </c>
      <c r="C402" s="26" t="s">
        <v>11</v>
      </c>
      <c r="D402" s="26" t="s">
        <v>806</v>
      </c>
      <c r="E402" s="78" t="s">
        <v>27</v>
      </c>
      <c r="F402" s="143">
        <v>60</v>
      </c>
      <c r="G402" s="19">
        <v>119.95</v>
      </c>
      <c r="H402" s="19"/>
      <c r="I402" s="19">
        <f t="shared" si="7"/>
        <v>0</v>
      </c>
    </row>
    <row r="403" spans="1:9" s="4" customFormat="1">
      <c r="A403" s="80" t="s">
        <v>1027</v>
      </c>
      <c r="B403" s="79" t="s">
        <v>1389</v>
      </c>
      <c r="C403" s="26" t="s">
        <v>11</v>
      </c>
      <c r="D403" s="26" t="s">
        <v>806</v>
      </c>
      <c r="E403" s="78" t="s">
        <v>28</v>
      </c>
      <c r="F403" s="143">
        <v>60</v>
      </c>
      <c r="G403" s="19">
        <v>119.95</v>
      </c>
      <c r="H403" s="19"/>
      <c r="I403" s="19">
        <f t="shared" si="7"/>
        <v>0</v>
      </c>
    </row>
    <row r="404" spans="1:9" s="4" customFormat="1">
      <c r="A404" s="80" t="s">
        <v>1028</v>
      </c>
      <c r="B404" s="79" t="s">
        <v>1390</v>
      </c>
      <c r="C404" s="26" t="s">
        <v>11</v>
      </c>
      <c r="D404" s="26" t="s">
        <v>806</v>
      </c>
      <c r="E404" s="78" t="s">
        <v>35</v>
      </c>
      <c r="F404" s="143">
        <v>60</v>
      </c>
      <c r="G404" s="19">
        <v>119.95</v>
      </c>
      <c r="H404" s="19"/>
      <c r="I404" s="19">
        <f t="shared" si="7"/>
        <v>0</v>
      </c>
    </row>
    <row r="405" spans="1:9" s="4" customFormat="1">
      <c r="A405" s="26" t="s">
        <v>233</v>
      </c>
      <c r="B405" s="79" t="s">
        <v>699</v>
      </c>
      <c r="C405" s="26" t="s">
        <v>47</v>
      </c>
      <c r="D405" s="26" t="s">
        <v>0</v>
      </c>
      <c r="E405" s="78" t="s">
        <v>388</v>
      </c>
      <c r="F405" s="143">
        <v>60</v>
      </c>
      <c r="G405" s="19">
        <v>119.95</v>
      </c>
      <c r="H405" s="19"/>
      <c r="I405" s="19">
        <f t="shared" si="7"/>
        <v>0</v>
      </c>
    </row>
    <row r="406" spans="1:9" s="4" customFormat="1">
      <c r="A406" s="26" t="s">
        <v>234</v>
      </c>
      <c r="B406" s="79" t="s">
        <v>698</v>
      </c>
      <c r="C406" s="26" t="s">
        <v>47</v>
      </c>
      <c r="D406" s="26" t="s">
        <v>0</v>
      </c>
      <c r="E406" s="78" t="s">
        <v>24</v>
      </c>
      <c r="F406" s="143">
        <v>60</v>
      </c>
      <c r="G406" s="19">
        <v>119.95</v>
      </c>
      <c r="H406" s="19"/>
      <c r="I406" s="19">
        <f t="shared" ref="I406:I437" si="8">F406*H406</f>
        <v>0</v>
      </c>
    </row>
    <row r="407" spans="1:9" s="4" customFormat="1">
      <c r="A407" s="26" t="s">
        <v>235</v>
      </c>
      <c r="B407" s="79" t="s">
        <v>697</v>
      </c>
      <c r="C407" s="26" t="s">
        <v>47</v>
      </c>
      <c r="D407" s="26" t="s">
        <v>0</v>
      </c>
      <c r="E407" s="78" t="s">
        <v>25</v>
      </c>
      <c r="F407" s="143">
        <v>60</v>
      </c>
      <c r="G407" s="19">
        <v>119.95</v>
      </c>
      <c r="H407" s="19"/>
      <c r="I407" s="19">
        <f t="shared" si="8"/>
        <v>0</v>
      </c>
    </row>
    <row r="408" spans="1:9" s="4" customFormat="1">
      <c r="A408" s="26" t="s">
        <v>236</v>
      </c>
      <c r="B408" s="79" t="s">
        <v>696</v>
      </c>
      <c r="C408" s="26" t="s">
        <v>47</v>
      </c>
      <c r="D408" s="26" t="s">
        <v>0</v>
      </c>
      <c r="E408" s="78" t="s">
        <v>26</v>
      </c>
      <c r="F408" s="143">
        <v>60</v>
      </c>
      <c r="G408" s="19">
        <v>119.95</v>
      </c>
      <c r="H408" s="19"/>
      <c r="I408" s="19">
        <f t="shared" si="8"/>
        <v>0</v>
      </c>
    </row>
    <row r="409" spans="1:9" s="4" customFormat="1">
      <c r="A409" s="26" t="s">
        <v>237</v>
      </c>
      <c r="B409" s="79" t="s">
        <v>695</v>
      </c>
      <c r="C409" s="26" t="s">
        <v>47</v>
      </c>
      <c r="D409" s="26" t="s">
        <v>0</v>
      </c>
      <c r="E409" s="78" t="s">
        <v>27</v>
      </c>
      <c r="F409" s="143">
        <v>60</v>
      </c>
      <c r="G409" s="19">
        <v>119.95</v>
      </c>
      <c r="H409" s="19"/>
      <c r="I409" s="19">
        <f t="shared" si="8"/>
        <v>0</v>
      </c>
    </row>
    <row r="410" spans="1:9" s="4" customFormat="1">
      <c r="A410" s="26" t="s">
        <v>238</v>
      </c>
      <c r="B410" s="79" t="s">
        <v>694</v>
      </c>
      <c r="C410" s="26" t="s">
        <v>47</v>
      </c>
      <c r="D410" s="26" t="s">
        <v>0</v>
      </c>
      <c r="E410" s="78" t="s">
        <v>28</v>
      </c>
      <c r="F410" s="143">
        <v>60</v>
      </c>
      <c r="G410" s="19">
        <v>119.95</v>
      </c>
      <c r="H410" s="19"/>
      <c r="I410" s="19">
        <f t="shared" si="8"/>
        <v>0</v>
      </c>
    </row>
    <row r="411" spans="1:9" s="4" customFormat="1">
      <c r="A411" s="26" t="s">
        <v>239</v>
      </c>
      <c r="B411" s="79" t="s">
        <v>693</v>
      </c>
      <c r="C411" s="26" t="s">
        <v>47</v>
      </c>
      <c r="D411" s="26" t="s">
        <v>0</v>
      </c>
      <c r="E411" s="78" t="s">
        <v>35</v>
      </c>
      <c r="F411" s="143">
        <v>60</v>
      </c>
      <c r="G411" s="19">
        <v>119.95</v>
      </c>
      <c r="H411" s="19"/>
      <c r="I411" s="19">
        <f t="shared" si="8"/>
        <v>0</v>
      </c>
    </row>
    <row r="412" spans="1:9" s="4" customFormat="1">
      <c r="A412" s="26" t="s">
        <v>247</v>
      </c>
      <c r="B412" s="79" t="s">
        <v>685</v>
      </c>
      <c r="C412" s="26" t="s">
        <v>47</v>
      </c>
      <c r="D412" s="26" t="s">
        <v>33</v>
      </c>
      <c r="E412" s="78" t="s">
        <v>388</v>
      </c>
      <c r="F412" s="143">
        <v>60</v>
      </c>
      <c r="G412" s="19">
        <v>119.95</v>
      </c>
      <c r="H412" s="19"/>
      <c r="I412" s="19">
        <f t="shared" si="8"/>
        <v>0</v>
      </c>
    </row>
    <row r="413" spans="1:9" s="4" customFormat="1">
      <c r="A413" s="26" t="s">
        <v>248</v>
      </c>
      <c r="B413" s="79" t="s">
        <v>684</v>
      </c>
      <c r="C413" s="26" t="s">
        <v>47</v>
      </c>
      <c r="D413" s="26" t="s">
        <v>33</v>
      </c>
      <c r="E413" s="78" t="s">
        <v>24</v>
      </c>
      <c r="F413" s="143">
        <v>60</v>
      </c>
      <c r="G413" s="19">
        <v>119.95</v>
      </c>
      <c r="H413" s="19"/>
      <c r="I413" s="19">
        <f t="shared" si="8"/>
        <v>0</v>
      </c>
    </row>
    <row r="414" spans="1:9" s="4" customFormat="1">
      <c r="A414" s="26" t="s">
        <v>249</v>
      </c>
      <c r="B414" s="79" t="s">
        <v>683</v>
      </c>
      <c r="C414" s="26" t="s">
        <v>47</v>
      </c>
      <c r="D414" s="26" t="s">
        <v>33</v>
      </c>
      <c r="E414" s="78" t="s">
        <v>25</v>
      </c>
      <c r="F414" s="143">
        <v>60</v>
      </c>
      <c r="G414" s="19">
        <v>119.95</v>
      </c>
      <c r="H414" s="19"/>
      <c r="I414" s="19">
        <f t="shared" si="8"/>
        <v>0</v>
      </c>
    </row>
    <row r="415" spans="1:9" s="4" customFormat="1">
      <c r="A415" s="26" t="s">
        <v>250</v>
      </c>
      <c r="B415" s="79" t="s">
        <v>682</v>
      </c>
      <c r="C415" s="26" t="s">
        <v>47</v>
      </c>
      <c r="D415" s="26" t="s">
        <v>33</v>
      </c>
      <c r="E415" s="78" t="s">
        <v>26</v>
      </c>
      <c r="F415" s="143">
        <v>60</v>
      </c>
      <c r="G415" s="19">
        <v>119.95</v>
      </c>
      <c r="H415" s="19"/>
      <c r="I415" s="19">
        <f t="shared" si="8"/>
        <v>0</v>
      </c>
    </row>
    <row r="416" spans="1:9" s="4" customFormat="1">
      <c r="A416" s="26" t="s">
        <v>251</v>
      </c>
      <c r="B416" s="79" t="s">
        <v>681</v>
      </c>
      <c r="C416" s="26" t="s">
        <v>47</v>
      </c>
      <c r="D416" s="26" t="s">
        <v>33</v>
      </c>
      <c r="E416" s="78" t="s">
        <v>27</v>
      </c>
      <c r="F416" s="143">
        <v>60</v>
      </c>
      <c r="G416" s="19">
        <v>119.95</v>
      </c>
      <c r="H416" s="19"/>
      <c r="I416" s="19">
        <f t="shared" si="8"/>
        <v>0</v>
      </c>
    </row>
    <row r="417" spans="1:9" s="4" customFormat="1">
      <c r="A417" s="26" t="s">
        <v>252</v>
      </c>
      <c r="B417" s="79" t="s">
        <v>680</v>
      </c>
      <c r="C417" s="26" t="s">
        <v>47</v>
      </c>
      <c r="D417" s="26" t="s">
        <v>33</v>
      </c>
      <c r="E417" s="78" t="s">
        <v>28</v>
      </c>
      <c r="F417" s="143">
        <v>60</v>
      </c>
      <c r="G417" s="19">
        <v>119.95</v>
      </c>
      <c r="H417" s="19"/>
      <c r="I417" s="19">
        <f t="shared" si="8"/>
        <v>0</v>
      </c>
    </row>
    <row r="418" spans="1:9" s="4" customFormat="1">
      <c r="A418" s="26" t="s">
        <v>253</v>
      </c>
      <c r="B418" s="79" t="s">
        <v>679</v>
      </c>
      <c r="C418" s="26" t="s">
        <v>47</v>
      </c>
      <c r="D418" s="26" t="s">
        <v>33</v>
      </c>
      <c r="E418" s="78" t="s">
        <v>35</v>
      </c>
      <c r="F418" s="143">
        <v>60</v>
      </c>
      <c r="G418" s="19">
        <v>119.95</v>
      </c>
      <c r="H418" s="19"/>
      <c r="I418" s="19">
        <f t="shared" si="8"/>
        <v>0</v>
      </c>
    </row>
    <row r="419" spans="1:9" s="4" customFormat="1">
      <c r="A419" s="80" t="s">
        <v>1029</v>
      </c>
      <c r="B419" s="79" t="s">
        <v>1624</v>
      </c>
      <c r="C419" s="26" t="s">
        <v>47</v>
      </c>
      <c r="D419" s="26" t="s">
        <v>807</v>
      </c>
      <c r="E419" s="78" t="s">
        <v>388</v>
      </c>
      <c r="F419" s="143">
        <v>60</v>
      </c>
      <c r="G419" s="19">
        <v>119.95</v>
      </c>
      <c r="H419" s="19"/>
      <c r="I419" s="19">
        <f t="shared" si="8"/>
        <v>0</v>
      </c>
    </row>
    <row r="420" spans="1:9" s="4" customFormat="1">
      <c r="A420" s="80" t="s">
        <v>1030</v>
      </c>
      <c r="B420" s="79" t="s">
        <v>1625</v>
      </c>
      <c r="C420" s="26" t="s">
        <v>47</v>
      </c>
      <c r="D420" s="26" t="s">
        <v>807</v>
      </c>
      <c r="E420" s="78" t="s">
        <v>24</v>
      </c>
      <c r="F420" s="143">
        <v>60</v>
      </c>
      <c r="G420" s="19">
        <v>119.95</v>
      </c>
      <c r="H420" s="19"/>
      <c r="I420" s="19">
        <f t="shared" si="8"/>
        <v>0</v>
      </c>
    </row>
    <row r="421" spans="1:9" s="4" customFormat="1">
      <c r="A421" s="80" t="s">
        <v>1031</v>
      </c>
      <c r="B421" s="79" t="s">
        <v>1626</v>
      </c>
      <c r="C421" s="26" t="s">
        <v>47</v>
      </c>
      <c r="D421" s="26" t="s">
        <v>807</v>
      </c>
      <c r="E421" s="78" t="s">
        <v>25</v>
      </c>
      <c r="F421" s="143">
        <v>60</v>
      </c>
      <c r="G421" s="19">
        <v>119.95</v>
      </c>
      <c r="H421" s="19"/>
      <c r="I421" s="19">
        <f t="shared" si="8"/>
        <v>0</v>
      </c>
    </row>
    <row r="422" spans="1:9" s="4" customFormat="1">
      <c r="A422" s="80" t="s">
        <v>1032</v>
      </c>
      <c r="B422" s="79" t="s">
        <v>1627</v>
      </c>
      <c r="C422" s="26" t="s">
        <v>47</v>
      </c>
      <c r="D422" s="26" t="s">
        <v>807</v>
      </c>
      <c r="E422" s="78" t="s">
        <v>26</v>
      </c>
      <c r="F422" s="143">
        <v>60</v>
      </c>
      <c r="G422" s="19">
        <v>119.95</v>
      </c>
      <c r="H422" s="19"/>
      <c r="I422" s="19">
        <f t="shared" si="8"/>
        <v>0</v>
      </c>
    </row>
    <row r="423" spans="1:9" s="4" customFormat="1">
      <c r="A423" s="80" t="s">
        <v>1033</v>
      </c>
      <c r="B423" s="79" t="s">
        <v>1628</v>
      </c>
      <c r="C423" s="26" t="s">
        <v>47</v>
      </c>
      <c r="D423" s="26" t="s">
        <v>807</v>
      </c>
      <c r="E423" s="78" t="s">
        <v>27</v>
      </c>
      <c r="F423" s="143">
        <v>60</v>
      </c>
      <c r="G423" s="19">
        <v>119.95</v>
      </c>
      <c r="H423" s="19"/>
      <c r="I423" s="19">
        <f t="shared" si="8"/>
        <v>0</v>
      </c>
    </row>
    <row r="424" spans="1:9" s="4" customFormat="1">
      <c r="A424" s="80" t="s">
        <v>1034</v>
      </c>
      <c r="B424" s="79" t="s">
        <v>1629</v>
      </c>
      <c r="C424" s="26" t="s">
        <v>47</v>
      </c>
      <c r="D424" s="26" t="s">
        <v>807</v>
      </c>
      <c r="E424" s="78" t="s">
        <v>28</v>
      </c>
      <c r="F424" s="143">
        <v>60</v>
      </c>
      <c r="G424" s="19">
        <v>119.95</v>
      </c>
      <c r="H424" s="19"/>
      <c r="I424" s="19">
        <f t="shared" si="8"/>
        <v>0</v>
      </c>
    </row>
    <row r="425" spans="1:9" s="4" customFormat="1">
      <c r="A425" s="80" t="s">
        <v>1035</v>
      </c>
      <c r="B425" s="79" t="s">
        <v>1630</v>
      </c>
      <c r="C425" s="26" t="s">
        <v>47</v>
      </c>
      <c r="D425" s="26" t="s">
        <v>807</v>
      </c>
      <c r="E425" s="78" t="s">
        <v>35</v>
      </c>
      <c r="F425" s="143">
        <v>60</v>
      </c>
      <c r="G425" s="19">
        <v>119.95</v>
      </c>
      <c r="H425" s="19"/>
      <c r="I425" s="19">
        <f t="shared" si="8"/>
        <v>0</v>
      </c>
    </row>
    <row r="426" spans="1:9" s="4" customFormat="1">
      <c r="A426" s="26" t="s">
        <v>240</v>
      </c>
      <c r="B426" s="79" t="s">
        <v>692</v>
      </c>
      <c r="C426" s="26" t="s">
        <v>47</v>
      </c>
      <c r="D426" s="26" t="s">
        <v>6</v>
      </c>
      <c r="E426" s="78" t="s">
        <v>388</v>
      </c>
      <c r="F426" s="143">
        <v>60</v>
      </c>
      <c r="G426" s="19">
        <v>119.95</v>
      </c>
      <c r="H426" s="19"/>
      <c r="I426" s="19">
        <f t="shared" si="8"/>
        <v>0</v>
      </c>
    </row>
    <row r="427" spans="1:9" s="4" customFormat="1">
      <c r="A427" s="26" t="s">
        <v>241</v>
      </c>
      <c r="B427" s="79" t="s">
        <v>691</v>
      </c>
      <c r="C427" s="26" t="s">
        <v>47</v>
      </c>
      <c r="D427" s="26" t="s">
        <v>6</v>
      </c>
      <c r="E427" s="78" t="s">
        <v>24</v>
      </c>
      <c r="F427" s="143">
        <v>60</v>
      </c>
      <c r="G427" s="19">
        <v>119.95</v>
      </c>
      <c r="H427" s="19"/>
      <c r="I427" s="19">
        <f t="shared" si="8"/>
        <v>0</v>
      </c>
    </row>
    <row r="428" spans="1:9" s="4" customFormat="1">
      <c r="A428" s="26" t="s">
        <v>242</v>
      </c>
      <c r="B428" s="79" t="s">
        <v>690</v>
      </c>
      <c r="C428" s="26" t="s">
        <v>47</v>
      </c>
      <c r="D428" s="26" t="s">
        <v>6</v>
      </c>
      <c r="E428" s="78" t="s">
        <v>25</v>
      </c>
      <c r="F428" s="143">
        <v>60</v>
      </c>
      <c r="G428" s="19">
        <v>119.95</v>
      </c>
      <c r="H428" s="19"/>
      <c r="I428" s="19">
        <f t="shared" si="8"/>
        <v>0</v>
      </c>
    </row>
    <row r="429" spans="1:9" s="4" customFormat="1">
      <c r="A429" s="26" t="s">
        <v>243</v>
      </c>
      <c r="B429" s="79" t="s">
        <v>689</v>
      </c>
      <c r="C429" s="26" t="s">
        <v>47</v>
      </c>
      <c r="D429" s="26" t="s">
        <v>6</v>
      </c>
      <c r="E429" s="78" t="s">
        <v>26</v>
      </c>
      <c r="F429" s="143">
        <v>60</v>
      </c>
      <c r="G429" s="19">
        <v>119.95</v>
      </c>
      <c r="H429" s="19"/>
      <c r="I429" s="19">
        <f t="shared" si="8"/>
        <v>0</v>
      </c>
    </row>
    <row r="430" spans="1:9" s="4" customFormat="1">
      <c r="A430" s="26" t="s">
        <v>244</v>
      </c>
      <c r="B430" s="79" t="s">
        <v>688</v>
      </c>
      <c r="C430" s="26" t="s">
        <v>47</v>
      </c>
      <c r="D430" s="26" t="s">
        <v>6</v>
      </c>
      <c r="E430" s="78" t="s">
        <v>27</v>
      </c>
      <c r="F430" s="143">
        <v>60</v>
      </c>
      <c r="G430" s="19">
        <v>119.95</v>
      </c>
      <c r="H430" s="19"/>
      <c r="I430" s="19">
        <f t="shared" si="8"/>
        <v>0</v>
      </c>
    </row>
    <row r="431" spans="1:9" s="4" customFormat="1">
      <c r="A431" s="26" t="s">
        <v>245</v>
      </c>
      <c r="B431" s="79" t="s">
        <v>687</v>
      </c>
      <c r="C431" s="26" t="s">
        <v>47</v>
      </c>
      <c r="D431" s="26" t="s">
        <v>6</v>
      </c>
      <c r="E431" s="78" t="s">
        <v>28</v>
      </c>
      <c r="F431" s="143">
        <v>60</v>
      </c>
      <c r="G431" s="19">
        <v>119.95</v>
      </c>
      <c r="H431" s="19"/>
      <c r="I431" s="19">
        <f t="shared" si="8"/>
        <v>0</v>
      </c>
    </row>
    <row r="432" spans="1:9" s="4" customFormat="1">
      <c r="A432" s="26" t="s">
        <v>246</v>
      </c>
      <c r="B432" s="79" t="s">
        <v>686</v>
      </c>
      <c r="C432" s="26" t="s">
        <v>47</v>
      </c>
      <c r="D432" s="26" t="s">
        <v>6</v>
      </c>
      <c r="E432" s="78" t="s">
        <v>35</v>
      </c>
      <c r="F432" s="143">
        <v>60</v>
      </c>
      <c r="G432" s="19">
        <v>119.95</v>
      </c>
      <c r="H432" s="19"/>
      <c r="I432" s="19">
        <f t="shared" si="8"/>
        <v>0</v>
      </c>
    </row>
    <row r="433" spans="1:9" s="4" customFormat="1">
      <c r="A433" s="26" t="s">
        <v>254</v>
      </c>
      <c r="B433" s="79" t="s">
        <v>678</v>
      </c>
      <c r="C433" s="26" t="s">
        <v>10</v>
      </c>
      <c r="D433" s="26" t="s">
        <v>0</v>
      </c>
      <c r="E433" s="78" t="s">
        <v>388</v>
      </c>
      <c r="F433" s="143">
        <v>60</v>
      </c>
      <c r="G433" s="19">
        <v>119.95</v>
      </c>
      <c r="H433" s="19"/>
      <c r="I433" s="19">
        <f t="shared" si="8"/>
        <v>0</v>
      </c>
    </row>
    <row r="434" spans="1:9" s="4" customFormat="1">
      <c r="A434" s="26" t="s">
        <v>255</v>
      </c>
      <c r="B434" s="79" t="s">
        <v>677</v>
      </c>
      <c r="C434" s="26" t="s">
        <v>10</v>
      </c>
      <c r="D434" s="26" t="s">
        <v>0</v>
      </c>
      <c r="E434" s="78" t="s">
        <v>24</v>
      </c>
      <c r="F434" s="143">
        <v>60</v>
      </c>
      <c r="G434" s="19">
        <v>119.95</v>
      </c>
      <c r="H434" s="19"/>
      <c r="I434" s="19">
        <f t="shared" si="8"/>
        <v>0</v>
      </c>
    </row>
    <row r="435" spans="1:9" s="4" customFormat="1">
      <c r="A435" s="26" t="s">
        <v>256</v>
      </c>
      <c r="B435" s="79" t="s">
        <v>676</v>
      </c>
      <c r="C435" s="26" t="s">
        <v>10</v>
      </c>
      <c r="D435" s="26" t="s">
        <v>0</v>
      </c>
      <c r="E435" s="78" t="s">
        <v>25</v>
      </c>
      <c r="F435" s="143">
        <v>60</v>
      </c>
      <c r="G435" s="19">
        <v>119.95</v>
      </c>
      <c r="H435" s="19"/>
      <c r="I435" s="19">
        <f t="shared" si="8"/>
        <v>0</v>
      </c>
    </row>
    <row r="436" spans="1:9" s="4" customFormat="1">
      <c r="A436" s="26" t="s">
        <v>257</v>
      </c>
      <c r="B436" s="79" t="s">
        <v>675</v>
      </c>
      <c r="C436" s="26" t="s">
        <v>10</v>
      </c>
      <c r="D436" s="26" t="s">
        <v>0</v>
      </c>
      <c r="E436" s="78" t="s">
        <v>26</v>
      </c>
      <c r="F436" s="143">
        <v>60</v>
      </c>
      <c r="G436" s="19">
        <v>119.95</v>
      </c>
      <c r="H436" s="19"/>
      <c r="I436" s="19">
        <f t="shared" si="8"/>
        <v>0</v>
      </c>
    </row>
    <row r="437" spans="1:9" s="4" customFormat="1">
      <c r="A437" s="26" t="s">
        <v>258</v>
      </c>
      <c r="B437" s="79" t="s">
        <v>674</v>
      </c>
      <c r="C437" s="26" t="s">
        <v>10</v>
      </c>
      <c r="D437" s="26" t="s">
        <v>0</v>
      </c>
      <c r="E437" s="78" t="s">
        <v>27</v>
      </c>
      <c r="F437" s="143">
        <v>60</v>
      </c>
      <c r="G437" s="19">
        <v>119.95</v>
      </c>
      <c r="H437" s="19"/>
      <c r="I437" s="19">
        <f t="shared" si="8"/>
        <v>0</v>
      </c>
    </row>
    <row r="438" spans="1:9" s="4" customFormat="1">
      <c r="A438" s="26" t="s">
        <v>259</v>
      </c>
      <c r="B438" s="79" t="s">
        <v>673</v>
      </c>
      <c r="C438" s="26" t="s">
        <v>10</v>
      </c>
      <c r="D438" s="26" t="s">
        <v>0</v>
      </c>
      <c r="E438" s="78" t="s">
        <v>28</v>
      </c>
      <c r="F438" s="143">
        <v>60</v>
      </c>
      <c r="G438" s="19">
        <v>119.95</v>
      </c>
      <c r="H438" s="19"/>
      <c r="I438" s="19">
        <f t="shared" ref="I438:I469" si="9">F438*H438</f>
        <v>0</v>
      </c>
    </row>
    <row r="439" spans="1:9" s="4" customFormat="1">
      <c r="A439" s="26" t="s">
        <v>260</v>
      </c>
      <c r="B439" s="79" t="s">
        <v>672</v>
      </c>
      <c r="C439" s="26" t="s">
        <v>10</v>
      </c>
      <c r="D439" s="26" t="s">
        <v>0</v>
      </c>
      <c r="E439" s="78" t="s">
        <v>35</v>
      </c>
      <c r="F439" s="143">
        <v>60</v>
      </c>
      <c r="G439" s="19">
        <v>119.95</v>
      </c>
      <c r="H439" s="19"/>
      <c r="I439" s="19">
        <f t="shared" si="9"/>
        <v>0</v>
      </c>
    </row>
    <row r="440" spans="1:9" s="4" customFormat="1">
      <c r="A440" s="26" t="s">
        <v>261</v>
      </c>
      <c r="B440" s="79" t="s">
        <v>664</v>
      </c>
      <c r="C440" s="26" t="s">
        <v>10</v>
      </c>
      <c r="D440" s="26" t="s">
        <v>17</v>
      </c>
      <c r="E440" s="78" t="s">
        <v>388</v>
      </c>
      <c r="F440" s="143">
        <v>60</v>
      </c>
      <c r="G440" s="19">
        <v>119.95</v>
      </c>
      <c r="H440" s="19"/>
      <c r="I440" s="19">
        <f t="shared" si="9"/>
        <v>0</v>
      </c>
    </row>
    <row r="441" spans="1:9" s="4" customFormat="1">
      <c r="A441" s="26" t="s">
        <v>262</v>
      </c>
      <c r="B441" s="79" t="s">
        <v>663</v>
      </c>
      <c r="C441" s="26" t="s">
        <v>10</v>
      </c>
      <c r="D441" s="26" t="s">
        <v>17</v>
      </c>
      <c r="E441" s="78" t="s">
        <v>24</v>
      </c>
      <c r="F441" s="143">
        <v>60</v>
      </c>
      <c r="G441" s="19">
        <v>119.95</v>
      </c>
      <c r="H441" s="19"/>
      <c r="I441" s="19">
        <f t="shared" si="9"/>
        <v>0</v>
      </c>
    </row>
    <row r="442" spans="1:9" s="4" customFormat="1">
      <c r="A442" s="26" t="s">
        <v>263</v>
      </c>
      <c r="B442" s="79" t="s">
        <v>662</v>
      </c>
      <c r="C442" s="26" t="s">
        <v>10</v>
      </c>
      <c r="D442" s="26" t="s">
        <v>17</v>
      </c>
      <c r="E442" s="78" t="s">
        <v>25</v>
      </c>
      <c r="F442" s="143">
        <v>60</v>
      </c>
      <c r="G442" s="19">
        <v>119.95</v>
      </c>
      <c r="H442" s="19"/>
      <c r="I442" s="19">
        <f t="shared" si="9"/>
        <v>0</v>
      </c>
    </row>
    <row r="443" spans="1:9" s="4" customFormat="1">
      <c r="A443" s="26" t="s">
        <v>264</v>
      </c>
      <c r="B443" s="79" t="s">
        <v>661</v>
      </c>
      <c r="C443" s="26" t="s">
        <v>10</v>
      </c>
      <c r="D443" s="26" t="s">
        <v>17</v>
      </c>
      <c r="E443" s="78" t="s">
        <v>26</v>
      </c>
      <c r="F443" s="143">
        <v>60</v>
      </c>
      <c r="G443" s="19">
        <v>119.95</v>
      </c>
      <c r="H443" s="19"/>
      <c r="I443" s="19">
        <f t="shared" si="9"/>
        <v>0</v>
      </c>
    </row>
    <row r="444" spans="1:9" s="4" customFormat="1">
      <c r="A444" s="26" t="s">
        <v>265</v>
      </c>
      <c r="B444" s="79" t="s">
        <v>660</v>
      </c>
      <c r="C444" s="26" t="s">
        <v>10</v>
      </c>
      <c r="D444" s="26" t="s">
        <v>17</v>
      </c>
      <c r="E444" s="78" t="s">
        <v>27</v>
      </c>
      <c r="F444" s="143">
        <v>60</v>
      </c>
      <c r="G444" s="19">
        <v>119.95</v>
      </c>
      <c r="H444" s="19"/>
      <c r="I444" s="19">
        <f t="shared" si="9"/>
        <v>0</v>
      </c>
    </row>
    <row r="445" spans="1:9" s="4" customFormat="1">
      <c r="A445" s="26" t="s">
        <v>266</v>
      </c>
      <c r="B445" s="79" t="s">
        <v>659</v>
      </c>
      <c r="C445" s="26" t="s">
        <v>10</v>
      </c>
      <c r="D445" s="26" t="s">
        <v>17</v>
      </c>
      <c r="E445" s="78" t="s">
        <v>28</v>
      </c>
      <c r="F445" s="143">
        <v>60</v>
      </c>
      <c r="G445" s="19">
        <v>119.95</v>
      </c>
      <c r="H445" s="19"/>
      <c r="I445" s="19">
        <f t="shared" si="9"/>
        <v>0</v>
      </c>
    </row>
    <row r="446" spans="1:9" s="4" customFormat="1">
      <c r="A446" s="26" t="s">
        <v>267</v>
      </c>
      <c r="B446" s="79" t="s">
        <v>658</v>
      </c>
      <c r="C446" s="26" t="s">
        <v>10</v>
      </c>
      <c r="D446" s="26" t="s">
        <v>17</v>
      </c>
      <c r="E446" s="78" t="s">
        <v>35</v>
      </c>
      <c r="F446" s="143">
        <v>60</v>
      </c>
      <c r="G446" s="19">
        <v>119.95</v>
      </c>
      <c r="H446" s="19"/>
      <c r="I446" s="19">
        <f t="shared" si="9"/>
        <v>0</v>
      </c>
    </row>
    <row r="447" spans="1:9" s="4" customFormat="1">
      <c r="A447" s="80" t="s">
        <v>1036</v>
      </c>
      <c r="B447" s="79" t="s">
        <v>1391</v>
      </c>
      <c r="C447" s="26" t="s">
        <v>10</v>
      </c>
      <c r="D447" s="26" t="s">
        <v>31</v>
      </c>
      <c r="E447" s="78" t="s">
        <v>388</v>
      </c>
      <c r="F447" s="143">
        <v>60</v>
      </c>
      <c r="G447" s="19">
        <v>119.95</v>
      </c>
      <c r="H447" s="19"/>
      <c r="I447" s="19">
        <f t="shared" si="9"/>
        <v>0</v>
      </c>
    </row>
    <row r="448" spans="1:9" s="4" customFormat="1">
      <c r="A448" s="80" t="s">
        <v>1037</v>
      </c>
      <c r="B448" s="79" t="s">
        <v>1392</v>
      </c>
      <c r="C448" s="26" t="s">
        <v>10</v>
      </c>
      <c r="D448" s="26" t="s">
        <v>31</v>
      </c>
      <c r="E448" s="78" t="s">
        <v>24</v>
      </c>
      <c r="F448" s="143">
        <v>60</v>
      </c>
      <c r="G448" s="19">
        <v>119.95</v>
      </c>
      <c r="H448" s="19"/>
      <c r="I448" s="19">
        <f t="shared" si="9"/>
        <v>0</v>
      </c>
    </row>
    <row r="449" spans="1:9" s="4" customFormat="1">
      <c r="A449" s="80" t="s">
        <v>1038</v>
      </c>
      <c r="B449" s="79" t="s">
        <v>1393</v>
      </c>
      <c r="C449" s="26" t="s">
        <v>10</v>
      </c>
      <c r="D449" s="26" t="s">
        <v>31</v>
      </c>
      <c r="E449" s="78" t="s">
        <v>25</v>
      </c>
      <c r="F449" s="143">
        <v>60</v>
      </c>
      <c r="G449" s="19">
        <v>119.95</v>
      </c>
      <c r="H449" s="19"/>
      <c r="I449" s="19">
        <f t="shared" si="9"/>
        <v>0</v>
      </c>
    </row>
    <row r="450" spans="1:9" s="4" customFormat="1">
      <c r="A450" s="80" t="s">
        <v>1039</v>
      </c>
      <c r="B450" s="79" t="s">
        <v>1394</v>
      </c>
      <c r="C450" s="26" t="s">
        <v>10</v>
      </c>
      <c r="D450" s="26" t="s">
        <v>31</v>
      </c>
      <c r="E450" s="78" t="s">
        <v>26</v>
      </c>
      <c r="F450" s="143">
        <v>60</v>
      </c>
      <c r="G450" s="19">
        <v>119.95</v>
      </c>
      <c r="H450" s="19"/>
      <c r="I450" s="19">
        <f t="shared" si="9"/>
        <v>0</v>
      </c>
    </row>
    <row r="451" spans="1:9" s="4" customFormat="1">
      <c r="A451" s="80" t="s">
        <v>1040</v>
      </c>
      <c r="B451" s="79" t="s">
        <v>1395</v>
      </c>
      <c r="C451" s="26" t="s">
        <v>10</v>
      </c>
      <c r="D451" s="26" t="s">
        <v>31</v>
      </c>
      <c r="E451" s="78" t="s">
        <v>27</v>
      </c>
      <c r="F451" s="143">
        <v>60</v>
      </c>
      <c r="G451" s="19">
        <v>119.95</v>
      </c>
      <c r="H451" s="19"/>
      <c r="I451" s="19">
        <f t="shared" si="9"/>
        <v>0</v>
      </c>
    </row>
    <row r="452" spans="1:9" s="4" customFormat="1">
      <c r="A452" s="80" t="s">
        <v>1041</v>
      </c>
      <c r="B452" s="79" t="s">
        <v>1396</v>
      </c>
      <c r="C452" s="26" t="s">
        <v>10</v>
      </c>
      <c r="D452" s="26" t="s">
        <v>31</v>
      </c>
      <c r="E452" s="78" t="s">
        <v>28</v>
      </c>
      <c r="F452" s="143">
        <v>60</v>
      </c>
      <c r="G452" s="19">
        <v>119.95</v>
      </c>
      <c r="H452" s="19"/>
      <c r="I452" s="19">
        <f t="shared" si="9"/>
        <v>0</v>
      </c>
    </row>
    <row r="453" spans="1:9" s="4" customFormat="1">
      <c r="A453" s="80" t="s">
        <v>1042</v>
      </c>
      <c r="B453" s="79" t="s">
        <v>1397</v>
      </c>
      <c r="C453" s="26" t="s">
        <v>10</v>
      </c>
      <c r="D453" s="26" t="s">
        <v>31</v>
      </c>
      <c r="E453" s="78" t="s">
        <v>35</v>
      </c>
      <c r="F453" s="143">
        <v>60</v>
      </c>
      <c r="G453" s="19">
        <v>119.95</v>
      </c>
      <c r="H453" s="19"/>
      <c r="I453" s="19">
        <f t="shared" si="9"/>
        <v>0</v>
      </c>
    </row>
    <row r="454" spans="1:9" s="4" customFormat="1">
      <c r="A454" s="80" t="s">
        <v>1043</v>
      </c>
      <c r="B454" s="79" t="s">
        <v>1398</v>
      </c>
      <c r="C454" s="26" t="s">
        <v>10</v>
      </c>
      <c r="D454" s="26" t="s">
        <v>9</v>
      </c>
      <c r="E454" s="78" t="s">
        <v>388</v>
      </c>
      <c r="F454" s="143">
        <v>60</v>
      </c>
      <c r="G454" s="19">
        <v>119.95</v>
      </c>
      <c r="H454" s="19"/>
      <c r="I454" s="19">
        <f t="shared" si="9"/>
        <v>0</v>
      </c>
    </row>
    <row r="455" spans="1:9" s="4" customFormat="1">
      <c r="A455" s="80" t="s">
        <v>1044</v>
      </c>
      <c r="B455" s="79" t="s">
        <v>1399</v>
      </c>
      <c r="C455" s="26" t="s">
        <v>10</v>
      </c>
      <c r="D455" s="26" t="s">
        <v>9</v>
      </c>
      <c r="E455" s="78" t="s">
        <v>24</v>
      </c>
      <c r="F455" s="143">
        <v>60</v>
      </c>
      <c r="G455" s="19">
        <v>119.95</v>
      </c>
      <c r="H455" s="19"/>
      <c r="I455" s="19">
        <f t="shared" si="9"/>
        <v>0</v>
      </c>
    </row>
    <row r="456" spans="1:9" s="4" customFormat="1">
      <c r="A456" s="80" t="s">
        <v>1045</v>
      </c>
      <c r="B456" s="79" t="s">
        <v>1400</v>
      </c>
      <c r="C456" s="26" t="s">
        <v>10</v>
      </c>
      <c r="D456" s="26" t="s">
        <v>9</v>
      </c>
      <c r="E456" s="78" t="s">
        <v>25</v>
      </c>
      <c r="F456" s="143">
        <v>60</v>
      </c>
      <c r="G456" s="19">
        <v>119.95</v>
      </c>
      <c r="H456" s="19"/>
      <c r="I456" s="19">
        <f t="shared" si="9"/>
        <v>0</v>
      </c>
    </row>
    <row r="457" spans="1:9" s="4" customFormat="1">
      <c r="A457" s="80" t="s">
        <v>1046</v>
      </c>
      <c r="B457" s="79" t="s">
        <v>1401</v>
      </c>
      <c r="C457" s="26" t="s">
        <v>10</v>
      </c>
      <c r="D457" s="26" t="s">
        <v>9</v>
      </c>
      <c r="E457" s="78" t="s">
        <v>26</v>
      </c>
      <c r="F457" s="143">
        <v>60</v>
      </c>
      <c r="G457" s="19">
        <v>119.95</v>
      </c>
      <c r="H457" s="19"/>
      <c r="I457" s="19">
        <f t="shared" si="9"/>
        <v>0</v>
      </c>
    </row>
    <row r="458" spans="1:9" s="4" customFormat="1">
      <c r="A458" s="80" t="s">
        <v>1047</v>
      </c>
      <c r="B458" s="79" t="s">
        <v>1402</v>
      </c>
      <c r="C458" s="26" t="s">
        <v>10</v>
      </c>
      <c r="D458" s="26" t="s">
        <v>9</v>
      </c>
      <c r="E458" s="78" t="s">
        <v>27</v>
      </c>
      <c r="F458" s="143">
        <v>60</v>
      </c>
      <c r="G458" s="19">
        <v>119.95</v>
      </c>
      <c r="H458" s="19"/>
      <c r="I458" s="19">
        <f t="shared" si="9"/>
        <v>0</v>
      </c>
    </row>
    <row r="459" spans="1:9" s="4" customFormat="1">
      <c r="A459" s="80" t="s">
        <v>1048</v>
      </c>
      <c r="B459" s="79" t="s">
        <v>1403</v>
      </c>
      <c r="C459" s="26" t="s">
        <v>10</v>
      </c>
      <c r="D459" s="26" t="s">
        <v>9</v>
      </c>
      <c r="E459" s="78" t="s">
        <v>28</v>
      </c>
      <c r="F459" s="143">
        <v>60</v>
      </c>
      <c r="G459" s="19">
        <v>119.95</v>
      </c>
      <c r="H459" s="19"/>
      <c r="I459" s="19">
        <f t="shared" si="9"/>
        <v>0</v>
      </c>
    </row>
    <row r="460" spans="1:9" s="4" customFormat="1">
      <c r="A460" s="80" t="s">
        <v>1049</v>
      </c>
      <c r="B460" s="79" t="s">
        <v>1404</v>
      </c>
      <c r="C460" s="26" t="s">
        <v>10</v>
      </c>
      <c r="D460" s="26" t="s">
        <v>9</v>
      </c>
      <c r="E460" s="78" t="s">
        <v>35</v>
      </c>
      <c r="F460" s="143">
        <v>60</v>
      </c>
      <c r="G460" s="19">
        <v>119.95</v>
      </c>
      <c r="H460" s="19"/>
      <c r="I460" s="19">
        <f t="shared" si="9"/>
        <v>0</v>
      </c>
    </row>
    <row r="461" spans="1:9" s="4" customFormat="1">
      <c r="A461" s="26" t="s">
        <v>268</v>
      </c>
      <c r="B461" s="79" t="s">
        <v>671</v>
      </c>
      <c r="C461" s="26" t="s">
        <v>10</v>
      </c>
      <c r="D461" s="26" t="s">
        <v>6</v>
      </c>
      <c r="E461" s="78" t="s">
        <v>388</v>
      </c>
      <c r="F461" s="143">
        <v>60</v>
      </c>
      <c r="G461" s="19">
        <v>119.95</v>
      </c>
      <c r="H461" s="19"/>
      <c r="I461" s="19">
        <f t="shared" si="9"/>
        <v>0</v>
      </c>
    </row>
    <row r="462" spans="1:9" s="4" customFormat="1">
      <c r="A462" s="26" t="s">
        <v>269</v>
      </c>
      <c r="B462" s="79" t="s">
        <v>670</v>
      </c>
      <c r="C462" s="26" t="s">
        <v>10</v>
      </c>
      <c r="D462" s="26" t="s">
        <v>6</v>
      </c>
      <c r="E462" s="78" t="s">
        <v>24</v>
      </c>
      <c r="F462" s="143">
        <v>60</v>
      </c>
      <c r="G462" s="19">
        <v>119.95</v>
      </c>
      <c r="H462" s="19"/>
      <c r="I462" s="19">
        <f t="shared" si="9"/>
        <v>0</v>
      </c>
    </row>
    <row r="463" spans="1:9" s="4" customFormat="1">
      <c r="A463" s="26" t="s">
        <v>270</v>
      </c>
      <c r="B463" s="79" t="s">
        <v>669</v>
      </c>
      <c r="C463" s="26" t="s">
        <v>10</v>
      </c>
      <c r="D463" s="26" t="s">
        <v>6</v>
      </c>
      <c r="E463" s="78" t="s">
        <v>25</v>
      </c>
      <c r="F463" s="143">
        <v>60</v>
      </c>
      <c r="G463" s="19">
        <v>119.95</v>
      </c>
      <c r="H463" s="19"/>
      <c r="I463" s="19">
        <f t="shared" si="9"/>
        <v>0</v>
      </c>
    </row>
    <row r="464" spans="1:9" s="4" customFormat="1">
      <c r="A464" s="26" t="s">
        <v>271</v>
      </c>
      <c r="B464" s="79" t="s">
        <v>668</v>
      </c>
      <c r="C464" s="26" t="s">
        <v>10</v>
      </c>
      <c r="D464" s="26" t="s">
        <v>6</v>
      </c>
      <c r="E464" s="78" t="s">
        <v>26</v>
      </c>
      <c r="F464" s="143">
        <v>60</v>
      </c>
      <c r="G464" s="19">
        <v>119.95</v>
      </c>
      <c r="H464" s="19"/>
      <c r="I464" s="19">
        <f t="shared" si="9"/>
        <v>0</v>
      </c>
    </row>
    <row r="465" spans="1:9" s="4" customFormat="1">
      <c r="A465" s="26" t="s">
        <v>272</v>
      </c>
      <c r="B465" s="79" t="s">
        <v>667</v>
      </c>
      <c r="C465" s="26" t="s">
        <v>10</v>
      </c>
      <c r="D465" s="26" t="s">
        <v>6</v>
      </c>
      <c r="E465" s="78" t="s">
        <v>27</v>
      </c>
      <c r="F465" s="143">
        <v>60</v>
      </c>
      <c r="G465" s="19">
        <v>119.95</v>
      </c>
      <c r="H465" s="19"/>
      <c r="I465" s="19">
        <f t="shared" si="9"/>
        <v>0</v>
      </c>
    </row>
    <row r="466" spans="1:9" s="4" customFormat="1">
      <c r="A466" s="26" t="s">
        <v>273</v>
      </c>
      <c r="B466" s="79" t="s">
        <v>666</v>
      </c>
      <c r="C466" s="26" t="s">
        <v>10</v>
      </c>
      <c r="D466" s="26" t="s">
        <v>6</v>
      </c>
      <c r="E466" s="78" t="s">
        <v>28</v>
      </c>
      <c r="F466" s="143">
        <v>60</v>
      </c>
      <c r="G466" s="19">
        <v>119.95</v>
      </c>
      <c r="H466" s="19"/>
      <c r="I466" s="19">
        <f t="shared" si="9"/>
        <v>0</v>
      </c>
    </row>
    <row r="467" spans="1:9" s="4" customFormat="1">
      <c r="A467" s="26" t="s">
        <v>274</v>
      </c>
      <c r="B467" s="79" t="s">
        <v>665</v>
      </c>
      <c r="C467" s="26" t="s">
        <v>10</v>
      </c>
      <c r="D467" s="26" t="s">
        <v>6</v>
      </c>
      <c r="E467" s="78" t="s">
        <v>35</v>
      </c>
      <c r="F467" s="143">
        <v>60</v>
      </c>
      <c r="G467" s="19">
        <v>119.95</v>
      </c>
      <c r="H467" s="19"/>
      <c r="I467" s="19">
        <f t="shared" si="9"/>
        <v>0</v>
      </c>
    </row>
    <row r="468" spans="1:9" s="4" customFormat="1">
      <c r="A468" s="26" t="s">
        <v>275</v>
      </c>
      <c r="B468" s="79" t="s">
        <v>657</v>
      </c>
      <c r="C468" s="26" t="s">
        <v>23</v>
      </c>
      <c r="D468" s="26" t="s">
        <v>0</v>
      </c>
      <c r="E468" s="78" t="s">
        <v>388</v>
      </c>
      <c r="F468" s="143">
        <v>80</v>
      </c>
      <c r="G468" s="19">
        <v>159.94999999999999</v>
      </c>
      <c r="H468" s="19"/>
      <c r="I468" s="19">
        <f t="shared" si="9"/>
        <v>0</v>
      </c>
    </row>
    <row r="469" spans="1:9" s="4" customFormat="1">
      <c r="A469" s="26" t="s">
        <v>276</v>
      </c>
      <c r="B469" s="79" t="s">
        <v>656</v>
      </c>
      <c r="C469" s="26" t="s">
        <v>23</v>
      </c>
      <c r="D469" s="26" t="s">
        <v>0</v>
      </c>
      <c r="E469" s="78" t="s">
        <v>24</v>
      </c>
      <c r="F469" s="143">
        <v>80</v>
      </c>
      <c r="G469" s="19">
        <v>159.94999999999999</v>
      </c>
      <c r="H469" s="19"/>
      <c r="I469" s="19">
        <f t="shared" si="9"/>
        <v>0</v>
      </c>
    </row>
    <row r="470" spans="1:9" s="4" customFormat="1">
      <c r="A470" s="26" t="s">
        <v>277</v>
      </c>
      <c r="B470" s="79" t="s">
        <v>655</v>
      </c>
      <c r="C470" s="26" t="s">
        <v>23</v>
      </c>
      <c r="D470" s="26" t="s">
        <v>0</v>
      </c>
      <c r="E470" s="78" t="s">
        <v>25</v>
      </c>
      <c r="F470" s="143">
        <v>80</v>
      </c>
      <c r="G470" s="19">
        <v>159.94999999999999</v>
      </c>
      <c r="H470" s="19"/>
      <c r="I470" s="19">
        <f t="shared" ref="I470:I495" si="10">F470*H470</f>
        <v>0</v>
      </c>
    </row>
    <row r="471" spans="1:9" s="4" customFormat="1">
      <c r="A471" s="26" t="s">
        <v>278</v>
      </c>
      <c r="B471" s="79" t="s">
        <v>654</v>
      </c>
      <c r="C471" s="26" t="s">
        <v>23</v>
      </c>
      <c r="D471" s="26" t="s">
        <v>0</v>
      </c>
      <c r="E471" s="78" t="s">
        <v>26</v>
      </c>
      <c r="F471" s="143">
        <v>80</v>
      </c>
      <c r="G471" s="19">
        <v>159.94999999999999</v>
      </c>
      <c r="H471" s="19"/>
      <c r="I471" s="19">
        <f t="shared" si="10"/>
        <v>0</v>
      </c>
    </row>
    <row r="472" spans="1:9" s="4" customFormat="1">
      <c r="A472" s="26" t="s">
        <v>279</v>
      </c>
      <c r="B472" s="79" t="s">
        <v>653</v>
      </c>
      <c r="C472" s="26" t="s">
        <v>23</v>
      </c>
      <c r="D472" s="26" t="s">
        <v>0</v>
      </c>
      <c r="E472" s="78" t="s">
        <v>27</v>
      </c>
      <c r="F472" s="143">
        <v>80</v>
      </c>
      <c r="G472" s="19">
        <v>159.94999999999999</v>
      </c>
      <c r="H472" s="19"/>
      <c r="I472" s="19">
        <f t="shared" si="10"/>
        <v>0</v>
      </c>
    </row>
    <row r="473" spans="1:9" s="4" customFormat="1">
      <c r="A473" s="26" t="s">
        <v>280</v>
      </c>
      <c r="B473" s="79" t="s">
        <v>652</v>
      </c>
      <c r="C473" s="26" t="s">
        <v>23</v>
      </c>
      <c r="D473" s="26" t="s">
        <v>0</v>
      </c>
      <c r="E473" s="78" t="s">
        <v>28</v>
      </c>
      <c r="F473" s="143">
        <v>80</v>
      </c>
      <c r="G473" s="19">
        <v>159.94999999999999</v>
      </c>
      <c r="H473" s="19"/>
      <c r="I473" s="19">
        <f t="shared" si="10"/>
        <v>0</v>
      </c>
    </row>
    <row r="474" spans="1:9" s="4" customFormat="1">
      <c r="A474" s="26" t="s">
        <v>281</v>
      </c>
      <c r="B474" s="79" t="s">
        <v>651</v>
      </c>
      <c r="C474" s="26" t="s">
        <v>23</v>
      </c>
      <c r="D474" s="26" t="s">
        <v>0</v>
      </c>
      <c r="E474" s="78" t="s">
        <v>35</v>
      </c>
      <c r="F474" s="143">
        <v>80</v>
      </c>
      <c r="G474" s="19">
        <v>159.94999999999999</v>
      </c>
      <c r="H474" s="19"/>
      <c r="I474" s="19">
        <f t="shared" si="10"/>
        <v>0</v>
      </c>
    </row>
    <row r="475" spans="1:9" s="4" customFormat="1">
      <c r="A475" s="26" t="s">
        <v>282</v>
      </c>
      <c r="B475" s="79" t="s">
        <v>643</v>
      </c>
      <c r="C475" s="26" t="s">
        <v>23</v>
      </c>
      <c r="D475" s="26" t="s">
        <v>33</v>
      </c>
      <c r="E475" s="78" t="s">
        <v>388</v>
      </c>
      <c r="F475" s="143">
        <v>80</v>
      </c>
      <c r="G475" s="19">
        <v>159.94999999999999</v>
      </c>
      <c r="H475" s="19"/>
      <c r="I475" s="19">
        <f t="shared" si="10"/>
        <v>0</v>
      </c>
    </row>
    <row r="476" spans="1:9" s="4" customFormat="1">
      <c r="A476" s="26" t="s">
        <v>283</v>
      </c>
      <c r="B476" s="79" t="s">
        <v>642</v>
      </c>
      <c r="C476" s="26" t="s">
        <v>23</v>
      </c>
      <c r="D476" s="26" t="s">
        <v>33</v>
      </c>
      <c r="E476" s="78" t="s">
        <v>24</v>
      </c>
      <c r="F476" s="143">
        <v>80</v>
      </c>
      <c r="G476" s="19">
        <v>159.94999999999999</v>
      </c>
      <c r="H476" s="19"/>
      <c r="I476" s="19">
        <f t="shared" si="10"/>
        <v>0</v>
      </c>
    </row>
    <row r="477" spans="1:9" s="4" customFormat="1">
      <c r="A477" s="26" t="s">
        <v>284</v>
      </c>
      <c r="B477" s="79" t="s">
        <v>641</v>
      </c>
      <c r="C477" s="26" t="s">
        <v>23</v>
      </c>
      <c r="D477" s="26" t="s">
        <v>33</v>
      </c>
      <c r="E477" s="78" t="s">
        <v>25</v>
      </c>
      <c r="F477" s="143">
        <v>80</v>
      </c>
      <c r="G477" s="19">
        <v>159.94999999999999</v>
      </c>
      <c r="H477" s="19"/>
      <c r="I477" s="19">
        <f t="shared" si="10"/>
        <v>0</v>
      </c>
    </row>
    <row r="478" spans="1:9" s="4" customFormat="1">
      <c r="A478" s="26" t="s">
        <v>285</v>
      </c>
      <c r="B478" s="79" t="s">
        <v>640</v>
      </c>
      <c r="C478" s="26" t="s">
        <v>23</v>
      </c>
      <c r="D478" s="26" t="s">
        <v>33</v>
      </c>
      <c r="E478" s="78" t="s">
        <v>26</v>
      </c>
      <c r="F478" s="143">
        <v>80</v>
      </c>
      <c r="G478" s="19">
        <v>159.94999999999999</v>
      </c>
      <c r="H478" s="19"/>
      <c r="I478" s="19">
        <f t="shared" si="10"/>
        <v>0</v>
      </c>
    </row>
    <row r="479" spans="1:9" s="4" customFormat="1">
      <c r="A479" s="26" t="s">
        <v>286</v>
      </c>
      <c r="B479" s="79" t="s">
        <v>639</v>
      </c>
      <c r="C479" s="26" t="s">
        <v>23</v>
      </c>
      <c r="D479" s="26" t="s">
        <v>33</v>
      </c>
      <c r="E479" s="78" t="s">
        <v>27</v>
      </c>
      <c r="F479" s="143">
        <v>80</v>
      </c>
      <c r="G479" s="19">
        <v>159.94999999999999</v>
      </c>
      <c r="H479" s="19"/>
      <c r="I479" s="19">
        <f t="shared" si="10"/>
        <v>0</v>
      </c>
    </row>
    <row r="480" spans="1:9" s="4" customFormat="1">
      <c r="A480" s="26" t="s">
        <v>287</v>
      </c>
      <c r="B480" s="79" t="s">
        <v>638</v>
      </c>
      <c r="C480" s="26" t="s">
        <v>23</v>
      </c>
      <c r="D480" s="26" t="s">
        <v>33</v>
      </c>
      <c r="E480" s="78" t="s">
        <v>28</v>
      </c>
      <c r="F480" s="143">
        <v>80</v>
      </c>
      <c r="G480" s="19">
        <v>159.94999999999999</v>
      </c>
      <c r="H480" s="19"/>
      <c r="I480" s="19">
        <f t="shared" si="10"/>
        <v>0</v>
      </c>
    </row>
    <row r="481" spans="1:9" s="4" customFormat="1">
      <c r="A481" s="26" t="s">
        <v>288</v>
      </c>
      <c r="B481" s="79" t="s">
        <v>637</v>
      </c>
      <c r="C481" s="26" t="s">
        <v>23</v>
      </c>
      <c r="D481" s="26" t="s">
        <v>33</v>
      </c>
      <c r="E481" s="78" t="s">
        <v>35</v>
      </c>
      <c r="F481" s="143">
        <v>80</v>
      </c>
      <c r="G481" s="19">
        <v>159.94999999999999</v>
      </c>
      <c r="H481" s="19"/>
      <c r="I481" s="19">
        <f t="shared" si="10"/>
        <v>0</v>
      </c>
    </row>
    <row r="482" spans="1:9" s="4" customFormat="1">
      <c r="A482" s="26" t="s">
        <v>289</v>
      </c>
      <c r="B482" s="79" t="s">
        <v>650</v>
      </c>
      <c r="C482" s="26" t="s">
        <v>23</v>
      </c>
      <c r="D482" s="26" t="s">
        <v>31</v>
      </c>
      <c r="E482" s="78" t="s">
        <v>388</v>
      </c>
      <c r="F482" s="143">
        <v>80</v>
      </c>
      <c r="G482" s="19">
        <v>159.94999999999999</v>
      </c>
      <c r="H482" s="19"/>
      <c r="I482" s="19">
        <f t="shared" si="10"/>
        <v>0</v>
      </c>
    </row>
    <row r="483" spans="1:9" s="4" customFormat="1">
      <c r="A483" s="26" t="s">
        <v>290</v>
      </c>
      <c r="B483" s="79" t="s">
        <v>649</v>
      </c>
      <c r="C483" s="26" t="s">
        <v>23</v>
      </c>
      <c r="D483" s="26" t="s">
        <v>31</v>
      </c>
      <c r="E483" s="78" t="s">
        <v>24</v>
      </c>
      <c r="F483" s="143">
        <v>80</v>
      </c>
      <c r="G483" s="19">
        <v>159.94999999999999</v>
      </c>
      <c r="H483" s="19"/>
      <c r="I483" s="19">
        <f t="shared" si="10"/>
        <v>0</v>
      </c>
    </row>
    <row r="484" spans="1:9" s="4" customFormat="1">
      <c r="A484" s="26" t="s">
        <v>291</v>
      </c>
      <c r="B484" s="79" t="s">
        <v>648</v>
      </c>
      <c r="C484" s="26" t="s">
        <v>23</v>
      </c>
      <c r="D484" s="26" t="s">
        <v>31</v>
      </c>
      <c r="E484" s="78" t="s">
        <v>25</v>
      </c>
      <c r="F484" s="143">
        <v>80</v>
      </c>
      <c r="G484" s="19">
        <v>159.94999999999999</v>
      </c>
      <c r="H484" s="19"/>
      <c r="I484" s="19">
        <f t="shared" si="10"/>
        <v>0</v>
      </c>
    </row>
    <row r="485" spans="1:9" s="4" customFormat="1">
      <c r="A485" s="26" t="s">
        <v>292</v>
      </c>
      <c r="B485" s="79" t="s">
        <v>647</v>
      </c>
      <c r="C485" s="26" t="s">
        <v>23</v>
      </c>
      <c r="D485" s="26" t="s">
        <v>31</v>
      </c>
      <c r="E485" s="78" t="s">
        <v>26</v>
      </c>
      <c r="F485" s="143">
        <v>80</v>
      </c>
      <c r="G485" s="19">
        <v>159.94999999999999</v>
      </c>
      <c r="H485" s="19"/>
      <c r="I485" s="19">
        <f t="shared" si="10"/>
        <v>0</v>
      </c>
    </row>
    <row r="486" spans="1:9" s="4" customFormat="1">
      <c r="A486" s="26" t="s">
        <v>293</v>
      </c>
      <c r="B486" s="79" t="s">
        <v>646</v>
      </c>
      <c r="C486" s="26" t="s">
        <v>23</v>
      </c>
      <c r="D486" s="26" t="s">
        <v>31</v>
      </c>
      <c r="E486" s="78" t="s">
        <v>27</v>
      </c>
      <c r="F486" s="143">
        <v>80</v>
      </c>
      <c r="G486" s="19">
        <v>159.94999999999999</v>
      </c>
      <c r="H486" s="19"/>
      <c r="I486" s="19">
        <f t="shared" si="10"/>
        <v>0</v>
      </c>
    </row>
    <row r="487" spans="1:9" s="4" customFormat="1">
      <c r="A487" s="26" t="s">
        <v>294</v>
      </c>
      <c r="B487" s="79" t="s">
        <v>645</v>
      </c>
      <c r="C487" s="26" t="s">
        <v>23</v>
      </c>
      <c r="D487" s="26" t="s">
        <v>31</v>
      </c>
      <c r="E487" s="78" t="s">
        <v>28</v>
      </c>
      <c r="F487" s="143">
        <v>80</v>
      </c>
      <c r="G487" s="19">
        <v>159.94999999999999</v>
      </c>
      <c r="H487" s="19"/>
      <c r="I487" s="19">
        <f t="shared" si="10"/>
        <v>0</v>
      </c>
    </row>
    <row r="488" spans="1:9" s="4" customFormat="1">
      <c r="A488" s="26" t="s">
        <v>295</v>
      </c>
      <c r="B488" s="79" t="s">
        <v>644</v>
      </c>
      <c r="C488" s="26" t="s">
        <v>23</v>
      </c>
      <c r="D488" s="26" t="s">
        <v>31</v>
      </c>
      <c r="E488" s="78" t="s">
        <v>35</v>
      </c>
      <c r="F488" s="143">
        <v>80</v>
      </c>
      <c r="G488" s="19">
        <v>159.94999999999999</v>
      </c>
      <c r="H488" s="19"/>
      <c r="I488" s="19">
        <f t="shared" si="10"/>
        <v>0</v>
      </c>
    </row>
    <row r="489" spans="1:9" s="4" customFormat="1">
      <c r="A489" s="80" t="s">
        <v>1050</v>
      </c>
      <c r="B489" s="79" t="s">
        <v>1405</v>
      </c>
      <c r="C489" s="26" t="s">
        <v>23</v>
      </c>
      <c r="D489" s="26" t="s">
        <v>808</v>
      </c>
      <c r="E489" s="78" t="s">
        <v>388</v>
      </c>
      <c r="F489" s="143">
        <v>80</v>
      </c>
      <c r="G489" s="19">
        <v>159.94999999999999</v>
      </c>
      <c r="H489" s="19"/>
      <c r="I489" s="19">
        <f t="shared" si="10"/>
        <v>0</v>
      </c>
    </row>
    <row r="490" spans="1:9" s="4" customFormat="1">
      <c r="A490" s="80" t="s">
        <v>1051</v>
      </c>
      <c r="B490" s="79" t="s">
        <v>1406</v>
      </c>
      <c r="C490" s="26" t="s">
        <v>23</v>
      </c>
      <c r="D490" s="26" t="s">
        <v>808</v>
      </c>
      <c r="E490" s="78" t="s">
        <v>24</v>
      </c>
      <c r="F490" s="143">
        <v>80</v>
      </c>
      <c r="G490" s="19">
        <v>159.94999999999999</v>
      </c>
      <c r="H490" s="19"/>
      <c r="I490" s="19">
        <f t="shared" si="10"/>
        <v>0</v>
      </c>
    </row>
    <row r="491" spans="1:9" s="4" customFormat="1">
      <c r="A491" s="80" t="s">
        <v>1052</v>
      </c>
      <c r="B491" s="79" t="s">
        <v>1407</v>
      </c>
      <c r="C491" s="26" t="s">
        <v>23</v>
      </c>
      <c r="D491" s="26" t="s">
        <v>808</v>
      </c>
      <c r="E491" s="78" t="s">
        <v>25</v>
      </c>
      <c r="F491" s="143">
        <v>80</v>
      </c>
      <c r="G491" s="19">
        <v>159.94999999999999</v>
      </c>
      <c r="H491" s="19"/>
      <c r="I491" s="19">
        <f t="shared" si="10"/>
        <v>0</v>
      </c>
    </row>
    <row r="492" spans="1:9" s="4" customFormat="1">
      <c r="A492" s="80" t="s">
        <v>1053</v>
      </c>
      <c r="B492" s="79" t="s">
        <v>1408</v>
      </c>
      <c r="C492" s="26" t="s">
        <v>23</v>
      </c>
      <c r="D492" s="26" t="s">
        <v>808</v>
      </c>
      <c r="E492" s="78" t="s">
        <v>26</v>
      </c>
      <c r="F492" s="143">
        <v>80</v>
      </c>
      <c r="G492" s="19">
        <v>159.94999999999999</v>
      </c>
      <c r="H492" s="19"/>
      <c r="I492" s="19">
        <f t="shared" si="10"/>
        <v>0</v>
      </c>
    </row>
    <row r="493" spans="1:9" s="4" customFormat="1">
      <c r="A493" s="80" t="s">
        <v>1054</v>
      </c>
      <c r="B493" s="79" t="s">
        <v>1409</v>
      </c>
      <c r="C493" s="26" t="s">
        <v>23</v>
      </c>
      <c r="D493" s="26" t="s">
        <v>808</v>
      </c>
      <c r="E493" s="78" t="s">
        <v>27</v>
      </c>
      <c r="F493" s="143">
        <v>80</v>
      </c>
      <c r="G493" s="19">
        <v>159.94999999999999</v>
      </c>
      <c r="H493" s="19"/>
      <c r="I493" s="19">
        <f t="shared" si="10"/>
        <v>0</v>
      </c>
    </row>
    <row r="494" spans="1:9" s="4" customFormat="1">
      <c r="A494" s="80" t="s">
        <v>1055</v>
      </c>
      <c r="B494" s="79" t="s">
        <v>1410</v>
      </c>
      <c r="C494" s="26" t="s">
        <v>23</v>
      </c>
      <c r="D494" s="26" t="s">
        <v>808</v>
      </c>
      <c r="E494" s="78" t="s">
        <v>28</v>
      </c>
      <c r="F494" s="143">
        <v>80</v>
      </c>
      <c r="G494" s="19">
        <v>159.94999999999999</v>
      </c>
      <c r="H494" s="19"/>
      <c r="I494" s="19">
        <f t="shared" si="10"/>
        <v>0</v>
      </c>
    </row>
    <row r="495" spans="1:9" s="4" customFormat="1">
      <c r="A495" s="80" t="s">
        <v>1056</v>
      </c>
      <c r="B495" s="79" t="s">
        <v>1411</v>
      </c>
      <c r="C495" s="26" t="s">
        <v>23</v>
      </c>
      <c r="D495" s="26" t="s">
        <v>808</v>
      </c>
      <c r="E495" s="78" t="s">
        <v>35</v>
      </c>
      <c r="F495" s="143">
        <v>80</v>
      </c>
      <c r="G495" s="19">
        <v>159.94999999999999</v>
      </c>
      <c r="H495" s="19"/>
      <c r="I495" s="19">
        <f t="shared" si="10"/>
        <v>0</v>
      </c>
    </row>
    <row r="496" spans="1:9" s="98" customFormat="1" ht="17" customHeight="1">
      <c r="A496" s="90"/>
      <c r="B496" s="91"/>
      <c r="C496" s="92"/>
      <c r="D496" s="93"/>
      <c r="E496" s="93"/>
      <c r="F496" s="141"/>
      <c r="G496" s="95" t="s">
        <v>1711</v>
      </c>
      <c r="H496" s="96">
        <f>SUM(H342:H495)</f>
        <v>0</v>
      </c>
      <c r="I496" s="97">
        <f>SUM(I342:I495)</f>
        <v>0</v>
      </c>
    </row>
    <row r="497" spans="1:13" s="84" customFormat="1">
      <c r="A497" s="90"/>
      <c r="B497" s="91"/>
      <c r="C497" s="99"/>
      <c r="D497" s="93"/>
      <c r="E497" s="93"/>
      <c r="F497" s="141"/>
      <c r="G497" s="94"/>
      <c r="H497" s="93"/>
      <c r="I497" s="94"/>
    </row>
    <row r="498" spans="1:13" s="11" customFormat="1">
      <c r="A498" s="25" t="s">
        <v>1701</v>
      </c>
      <c r="B498" s="24"/>
      <c r="C498" s="24"/>
      <c r="D498" s="24"/>
      <c r="E498" s="24"/>
      <c r="F498" s="138"/>
      <c r="G498" s="20"/>
      <c r="H498" s="20"/>
      <c r="I498" s="20"/>
      <c r="J498" s="27"/>
      <c r="K498" s="27"/>
      <c r="L498" s="5"/>
      <c r="M498" s="5"/>
    </row>
    <row r="499" spans="1:13" s="3" customFormat="1">
      <c r="A499" s="80" t="s">
        <v>1057</v>
      </c>
      <c r="B499" s="79" t="s">
        <v>1418</v>
      </c>
      <c r="C499" s="26" t="s">
        <v>30</v>
      </c>
      <c r="D499" s="26" t="s">
        <v>9</v>
      </c>
      <c r="E499" s="78" t="s">
        <v>7</v>
      </c>
      <c r="F499" s="143">
        <v>20</v>
      </c>
      <c r="G499" s="19">
        <v>39.950000000000003</v>
      </c>
      <c r="H499" s="19"/>
      <c r="I499" s="19">
        <f t="shared" ref="I499:I530" si="11">F499*H499</f>
        <v>0</v>
      </c>
    </row>
    <row r="500" spans="1:13" s="3" customFormat="1">
      <c r="A500" s="80" t="s">
        <v>1058</v>
      </c>
      <c r="B500" s="79" t="s">
        <v>1419</v>
      </c>
      <c r="C500" s="26" t="s">
        <v>30</v>
      </c>
      <c r="D500" s="26" t="s">
        <v>9</v>
      </c>
      <c r="E500" s="78" t="s">
        <v>8</v>
      </c>
      <c r="F500" s="143">
        <v>20</v>
      </c>
      <c r="G500" s="19">
        <v>39.950000000000003</v>
      </c>
      <c r="H500" s="19"/>
      <c r="I500" s="19">
        <f t="shared" si="11"/>
        <v>0</v>
      </c>
    </row>
    <row r="501" spans="1:13" s="3" customFormat="1">
      <c r="A501" s="80" t="s">
        <v>1059</v>
      </c>
      <c r="B501" s="79" t="s">
        <v>1420</v>
      </c>
      <c r="C501" s="26" t="s">
        <v>30</v>
      </c>
      <c r="D501" s="26" t="s">
        <v>17</v>
      </c>
      <c r="E501" s="78" t="s">
        <v>7</v>
      </c>
      <c r="F501" s="143">
        <v>20</v>
      </c>
      <c r="G501" s="19">
        <v>39.950000000000003</v>
      </c>
      <c r="H501" s="19"/>
      <c r="I501" s="19">
        <f t="shared" si="11"/>
        <v>0</v>
      </c>
    </row>
    <row r="502" spans="1:13" s="3" customFormat="1">
      <c r="A502" s="80" t="s">
        <v>1060</v>
      </c>
      <c r="B502" s="79" t="s">
        <v>1421</v>
      </c>
      <c r="C502" s="26" t="s">
        <v>30</v>
      </c>
      <c r="D502" s="26" t="s">
        <v>17</v>
      </c>
      <c r="E502" s="78" t="s">
        <v>8</v>
      </c>
      <c r="F502" s="143">
        <v>20</v>
      </c>
      <c r="G502" s="19">
        <v>39.950000000000003</v>
      </c>
      <c r="H502" s="19"/>
      <c r="I502" s="19">
        <f t="shared" si="11"/>
        <v>0</v>
      </c>
    </row>
    <row r="503" spans="1:13" s="3" customFormat="1">
      <c r="A503" s="80" t="s">
        <v>1061</v>
      </c>
      <c r="B503" s="79" t="s">
        <v>1412</v>
      </c>
      <c r="C503" s="26" t="s">
        <v>30</v>
      </c>
      <c r="D503" s="26" t="s">
        <v>33</v>
      </c>
      <c r="E503" s="78" t="s">
        <v>7</v>
      </c>
      <c r="F503" s="143">
        <v>20</v>
      </c>
      <c r="G503" s="19">
        <v>39.950000000000003</v>
      </c>
      <c r="H503" s="19"/>
      <c r="I503" s="19">
        <f t="shared" si="11"/>
        <v>0</v>
      </c>
    </row>
    <row r="504" spans="1:13" s="3" customFormat="1">
      <c r="A504" s="80" t="s">
        <v>1062</v>
      </c>
      <c r="B504" s="79" t="s">
        <v>1413</v>
      </c>
      <c r="C504" s="26" t="s">
        <v>30</v>
      </c>
      <c r="D504" s="26" t="s">
        <v>33</v>
      </c>
      <c r="E504" s="78" t="s">
        <v>8</v>
      </c>
      <c r="F504" s="143">
        <v>20</v>
      </c>
      <c r="G504" s="19">
        <v>39.950000000000003</v>
      </c>
      <c r="H504" s="19"/>
      <c r="I504" s="19">
        <f t="shared" si="11"/>
        <v>0</v>
      </c>
    </row>
    <row r="505" spans="1:13" s="3" customFormat="1">
      <c r="A505" s="26" t="s">
        <v>298</v>
      </c>
      <c r="B505" s="79" t="s">
        <v>636</v>
      </c>
      <c r="C505" s="26" t="s">
        <v>30</v>
      </c>
      <c r="D505" s="26" t="s">
        <v>31</v>
      </c>
      <c r="E505" s="78" t="s">
        <v>7</v>
      </c>
      <c r="F505" s="143">
        <v>20</v>
      </c>
      <c r="G505" s="19">
        <v>39.950000000000003</v>
      </c>
      <c r="H505" s="19"/>
      <c r="I505" s="19">
        <f t="shared" si="11"/>
        <v>0</v>
      </c>
    </row>
    <row r="506" spans="1:13" s="3" customFormat="1">
      <c r="A506" s="26" t="s">
        <v>299</v>
      </c>
      <c r="B506" s="79" t="s">
        <v>635</v>
      </c>
      <c r="C506" s="26" t="s">
        <v>30</v>
      </c>
      <c r="D506" s="26" t="s">
        <v>31</v>
      </c>
      <c r="E506" s="78" t="s">
        <v>8</v>
      </c>
      <c r="F506" s="143">
        <v>20</v>
      </c>
      <c r="G506" s="19">
        <v>39.950000000000003</v>
      </c>
      <c r="H506" s="19"/>
      <c r="I506" s="19">
        <f t="shared" si="11"/>
        <v>0</v>
      </c>
    </row>
    <row r="507" spans="1:13" s="3" customFormat="1">
      <c r="A507" s="26" t="s">
        <v>296</v>
      </c>
      <c r="B507" s="79" t="s">
        <v>634</v>
      </c>
      <c r="C507" s="26" t="s">
        <v>30</v>
      </c>
      <c r="D507" s="26" t="s">
        <v>6</v>
      </c>
      <c r="E507" s="78" t="s">
        <v>7</v>
      </c>
      <c r="F507" s="143">
        <v>20</v>
      </c>
      <c r="G507" s="19">
        <v>39.950000000000003</v>
      </c>
      <c r="H507" s="19"/>
      <c r="I507" s="19">
        <f t="shared" si="11"/>
        <v>0</v>
      </c>
    </row>
    <row r="508" spans="1:13" s="3" customFormat="1">
      <c r="A508" s="26" t="s">
        <v>297</v>
      </c>
      <c r="B508" s="79" t="s">
        <v>633</v>
      </c>
      <c r="C508" s="26" t="s">
        <v>30</v>
      </c>
      <c r="D508" s="26" t="s">
        <v>6</v>
      </c>
      <c r="E508" s="78" t="s">
        <v>8</v>
      </c>
      <c r="F508" s="143">
        <v>20</v>
      </c>
      <c r="G508" s="19">
        <v>39.950000000000003</v>
      </c>
      <c r="H508" s="19"/>
      <c r="I508" s="19">
        <f t="shared" si="11"/>
        <v>0</v>
      </c>
    </row>
    <row r="509" spans="1:13" s="3" customFormat="1">
      <c r="A509" s="26" t="s">
        <v>1063</v>
      </c>
      <c r="B509" s="79" t="s">
        <v>1414</v>
      </c>
      <c r="C509" s="26" t="s">
        <v>30</v>
      </c>
      <c r="D509" s="26" t="s">
        <v>802</v>
      </c>
      <c r="E509" s="78" t="s">
        <v>7</v>
      </c>
      <c r="F509" s="143">
        <v>20</v>
      </c>
      <c r="G509" s="19">
        <v>39.950000000000003</v>
      </c>
      <c r="H509" s="19"/>
      <c r="I509" s="19">
        <f t="shared" si="11"/>
        <v>0</v>
      </c>
    </row>
    <row r="510" spans="1:13" s="3" customFormat="1">
      <c r="A510" s="26" t="s">
        <v>1064</v>
      </c>
      <c r="B510" s="79" t="s">
        <v>1415</v>
      </c>
      <c r="C510" s="26" t="s">
        <v>30</v>
      </c>
      <c r="D510" s="26" t="s">
        <v>802</v>
      </c>
      <c r="E510" s="78" t="s">
        <v>8</v>
      </c>
      <c r="F510" s="143">
        <v>20</v>
      </c>
      <c r="G510" s="19">
        <v>39.950000000000003</v>
      </c>
      <c r="H510" s="19"/>
      <c r="I510" s="19">
        <f t="shared" si="11"/>
        <v>0</v>
      </c>
    </row>
    <row r="511" spans="1:13" s="3" customFormat="1">
      <c r="A511" s="26" t="s">
        <v>1065</v>
      </c>
      <c r="B511" s="79" t="s">
        <v>1416</v>
      </c>
      <c r="C511" s="26" t="s">
        <v>30</v>
      </c>
      <c r="D511" s="26" t="s">
        <v>803</v>
      </c>
      <c r="E511" s="78" t="s">
        <v>7</v>
      </c>
      <c r="F511" s="143">
        <v>20</v>
      </c>
      <c r="G511" s="19">
        <v>39.950000000000003</v>
      </c>
      <c r="H511" s="19"/>
      <c r="I511" s="19">
        <f t="shared" si="11"/>
        <v>0</v>
      </c>
    </row>
    <row r="512" spans="1:13" s="3" customFormat="1">
      <c r="A512" s="26" t="s">
        <v>1066</v>
      </c>
      <c r="B512" s="79" t="s">
        <v>1417</v>
      </c>
      <c r="C512" s="26" t="s">
        <v>30</v>
      </c>
      <c r="D512" s="26" t="s">
        <v>803</v>
      </c>
      <c r="E512" s="78" t="s">
        <v>8</v>
      </c>
      <c r="F512" s="143">
        <v>20</v>
      </c>
      <c r="G512" s="19">
        <v>39.950000000000003</v>
      </c>
      <c r="H512" s="19"/>
      <c r="I512" s="19">
        <f t="shared" si="11"/>
        <v>0</v>
      </c>
    </row>
    <row r="513" spans="1:9" s="3" customFormat="1">
      <c r="A513" s="26" t="s">
        <v>1067</v>
      </c>
      <c r="B513" s="26" t="s">
        <v>1424</v>
      </c>
      <c r="C513" s="26" t="s">
        <v>784</v>
      </c>
      <c r="D513" s="26" t="s">
        <v>806</v>
      </c>
      <c r="E513" s="78" t="s">
        <v>7</v>
      </c>
      <c r="F513" s="143">
        <v>20</v>
      </c>
      <c r="G513" s="19">
        <v>39.950000000000003</v>
      </c>
      <c r="H513" s="19"/>
      <c r="I513" s="19">
        <f t="shared" si="11"/>
        <v>0</v>
      </c>
    </row>
    <row r="514" spans="1:9" s="3" customFormat="1">
      <c r="A514" s="26" t="s">
        <v>1068</v>
      </c>
      <c r="B514" s="26" t="s">
        <v>1425</v>
      </c>
      <c r="C514" s="26" t="s">
        <v>784</v>
      </c>
      <c r="D514" s="26" t="s">
        <v>806</v>
      </c>
      <c r="E514" s="78" t="s">
        <v>8</v>
      </c>
      <c r="F514" s="143">
        <v>20</v>
      </c>
      <c r="G514" s="19">
        <v>39.950000000000003</v>
      </c>
      <c r="H514" s="19"/>
      <c r="I514" s="19">
        <f t="shared" si="11"/>
        <v>0</v>
      </c>
    </row>
    <row r="515" spans="1:9" s="3" customFormat="1">
      <c r="A515" s="26" t="s">
        <v>1069</v>
      </c>
      <c r="B515" s="26" t="s">
        <v>1422</v>
      </c>
      <c r="C515" s="26" t="s">
        <v>784</v>
      </c>
      <c r="D515" s="26" t="s">
        <v>805</v>
      </c>
      <c r="E515" s="78" t="s">
        <v>7</v>
      </c>
      <c r="F515" s="143">
        <v>20</v>
      </c>
      <c r="G515" s="19">
        <v>39.950000000000003</v>
      </c>
      <c r="H515" s="19"/>
      <c r="I515" s="19">
        <f t="shared" si="11"/>
        <v>0</v>
      </c>
    </row>
    <row r="516" spans="1:9" s="3" customFormat="1">
      <c r="A516" s="26" t="s">
        <v>1070</v>
      </c>
      <c r="B516" s="26" t="s">
        <v>1423</v>
      </c>
      <c r="C516" s="26" t="s">
        <v>784</v>
      </c>
      <c r="D516" s="26" t="s">
        <v>805</v>
      </c>
      <c r="E516" s="78" t="s">
        <v>8</v>
      </c>
      <c r="F516" s="143">
        <v>20</v>
      </c>
      <c r="G516" s="19">
        <v>39.950000000000003</v>
      </c>
      <c r="H516" s="19"/>
      <c r="I516" s="19">
        <f t="shared" si="11"/>
        <v>0</v>
      </c>
    </row>
    <row r="517" spans="1:9" s="3" customFormat="1">
      <c r="A517" s="26" t="s">
        <v>302</v>
      </c>
      <c r="B517" s="79" t="s">
        <v>630</v>
      </c>
      <c r="C517" s="26" t="s">
        <v>48</v>
      </c>
      <c r="D517" s="26" t="s">
        <v>0</v>
      </c>
      <c r="E517" s="78" t="s">
        <v>7</v>
      </c>
      <c r="F517" s="143">
        <v>25</v>
      </c>
      <c r="G517" s="19">
        <v>49.95</v>
      </c>
      <c r="H517" s="19"/>
      <c r="I517" s="19">
        <f t="shared" si="11"/>
        <v>0</v>
      </c>
    </row>
    <row r="518" spans="1:9" s="3" customFormat="1">
      <c r="A518" s="26" t="s">
        <v>303</v>
      </c>
      <c r="B518" s="79" t="s">
        <v>629</v>
      </c>
      <c r="C518" s="26" t="s">
        <v>48</v>
      </c>
      <c r="D518" s="26" t="s">
        <v>0</v>
      </c>
      <c r="E518" s="78" t="s">
        <v>8</v>
      </c>
      <c r="F518" s="143">
        <v>25</v>
      </c>
      <c r="G518" s="19">
        <v>49.95</v>
      </c>
      <c r="H518" s="19"/>
      <c r="I518" s="19">
        <f t="shared" si="11"/>
        <v>0</v>
      </c>
    </row>
    <row r="519" spans="1:9" s="3" customFormat="1">
      <c r="A519" s="26" t="s">
        <v>300</v>
      </c>
      <c r="B519" s="79" t="s">
        <v>632</v>
      </c>
      <c r="C519" s="26" t="s">
        <v>48</v>
      </c>
      <c r="D519" s="26" t="s">
        <v>15</v>
      </c>
      <c r="E519" s="78" t="s">
        <v>7</v>
      </c>
      <c r="F519" s="143">
        <v>25</v>
      </c>
      <c r="G519" s="19">
        <v>49.95</v>
      </c>
      <c r="H519" s="19"/>
      <c r="I519" s="19">
        <f t="shared" si="11"/>
        <v>0</v>
      </c>
    </row>
    <row r="520" spans="1:9" s="3" customFormat="1">
      <c r="A520" s="26" t="s">
        <v>301</v>
      </c>
      <c r="B520" s="79" t="s">
        <v>631</v>
      </c>
      <c r="C520" s="26" t="s">
        <v>48</v>
      </c>
      <c r="D520" s="26" t="s">
        <v>15</v>
      </c>
      <c r="E520" s="78" t="s">
        <v>8</v>
      </c>
      <c r="F520" s="143">
        <v>25</v>
      </c>
      <c r="G520" s="19">
        <v>49.95</v>
      </c>
      <c r="H520" s="19"/>
      <c r="I520" s="19">
        <f t="shared" si="11"/>
        <v>0</v>
      </c>
    </row>
    <row r="521" spans="1:9" s="2" customFormat="1">
      <c r="A521" s="26" t="s">
        <v>304</v>
      </c>
      <c r="B521" s="79" t="s">
        <v>627</v>
      </c>
      <c r="C521" s="26" t="s">
        <v>49</v>
      </c>
      <c r="D521" s="26" t="s">
        <v>18</v>
      </c>
      <c r="E521" s="78" t="s">
        <v>55</v>
      </c>
      <c r="F521" s="143">
        <v>18</v>
      </c>
      <c r="G521" s="19">
        <v>35.950000000000003</v>
      </c>
      <c r="H521" s="19"/>
      <c r="I521" s="19">
        <f t="shared" si="11"/>
        <v>0</v>
      </c>
    </row>
    <row r="522" spans="1:9" s="2" customFormat="1">
      <c r="A522" s="26" t="s">
        <v>306</v>
      </c>
      <c r="B522" s="79" t="s">
        <v>628</v>
      </c>
      <c r="C522" s="26" t="s">
        <v>49</v>
      </c>
      <c r="D522" s="26" t="s">
        <v>6</v>
      </c>
      <c r="E522" s="78" t="s">
        <v>55</v>
      </c>
      <c r="F522" s="143">
        <v>18</v>
      </c>
      <c r="G522" s="19">
        <v>35.950000000000003</v>
      </c>
      <c r="H522" s="19"/>
      <c r="I522" s="19">
        <f t="shared" si="11"/>
        <v>0</v>
      </c>
    </row>
    <row r="523" spans="1:9" s="2" customFormat="1">
      <c r="A523" s="26" t="s">
        <v>305</v>
      </c>
      <c r="B523" s="79" t="s">
        <v>626</v>
      </c>
      <c r="C523" s="26" t="s">
        <v>49</v>
      </c>
      <c r="D523" s="26" t="s">
        <v>20</v>
      </c>
      <c r="E523" s="78" t="s">
        <v>55</v>
      </c>
      <c r="F523" s="143">
        <v>18</v>
      </c>
      <c r="G523" s="19">
        <v>35.950000000000003</v>
      </c>
      <c r="H523" s="19"/>
      <c r="I523" s="19">
        <f t="shared" si="11"/>
        <v>0</v>
      </c>
    </row>
    <row r="524" spans="1:9" s="2" customFormat="1">
      <c r="A524" s="80" t="s">
        <v>1071</v>
      </c>
      <c r="B524" s="79" t="s">
        <v>1426</v>
      </c>
      <c r="C524" s="26" t="s">
        <v>49</v>
      </c>
      <c r="D524" s="26" t="s">
        <v>802</v>
      </c>
      <c r="E524" s="78" t="s">
        <v>55</v>
      </c>
      <c r="F524" s="143">
        <v>18</v>
      </c>
      <c r="G524" s="19">
        <v>35.950000000000003</v>
      </c>
      <c r="H524" s="19"/>
      <c r="I524" s="19">
        <f t="shared" si="11"/>
        <v>0</v>
      </c>
    </row>
    <row r="525" spans="1:9" s="2" customFormat="1">
      <c r="A525" s="80" t="s">
        <v>1072</v>
      </c>
      <c r="B525" s="79" t="s">
        <v>1427</v>
      </c>
      <c r="C525" s="26" t="s">
        <v>49</v>
      </c>
      <c r="D525" s="26" t="s">
        <v>42</v>
      </c>
      <c r="E525" s="78" t="s">
        <v>55</v>
      </c>
      <c r="F525" s="143">
        <v>18</v>
      </c>
      <c r="G525" s="19">
        <v>35.950000000000003</v>
      </c>
      <c r="H525" s="19"/>
      <c r="I525" s="19">
        <f t="shared" si="11"/>
        <v>0</v>
      </c>
    </row>
    <row r="526" spans="1:9" s="2" customFormat="1">
      <c r="A526" s="26" t="s">
        <v>309</v>
      </c>
      <c r="B526" s="79" t="s">
        <v>622</v>
      </c>
      <c r="C526" s="26" t="s">
        <v>51</v>
      </c>
      <c r="D526" s="26" t="s">
        <v>18</v>
      </c>
      <c r="E526" s="78" t="s">
        <v>55</v>
      </c>
      <c r="F526" s="143">
        <v>18</v>
      </c>
      <c r="G526" s="19">
        <v>35.950000000000003</v>
      </c>
      <c r="H526" s="19"/>
      <c r="I526" s="19">
        <f t="shared" si="11"/>
        <v>0</v>
      </c>
    </row>
    <row r="527" spans="1:9" s="2" customFormat="1">
      <c r="A527" s="26" t="s">
        <v>308</v>
      </c>
      <c r="B527" s="79" t="s">
        <v>624</v>
      </c>
      <c r="C527" s="26" t="s">
        <v>51</v>
      </c>
      <c r="D527" s="26" t="s">
        <v>0</v>
      </c>
      <c r="E527" s="78" t="s">
        <v>55</v>
      </c>
      <c r="F527" s="143">
        <v>18</v>
      </c>
      <c r="G527" s="19">
        <v>35.950000000000003</v>
      </c>
      <c r="H527" s="19"/>
      <c r="I527" s="19">
        <f t="shared" si="11"/>
        <v>0</v>
      </c>
    </row>
    <row r="528" spans="1:9" s="2" customFormat="1">
      <c r="A528" s="26" t="s">
        <v>310</v>
      </c>
      <c r="B528" s="79" t="s">
        <v>623</v>
      </c>
      <c r="C528" s="26" t="s">
        <v>51</v>
      </c>
      <c r="D528" s="26" t="s">
        <v>6</v>
      </c>
      <c r="E528" s="78" t="s">
        <v>55</v>
      </c>
      <c r="F528" s="143">
        <v>18</v>
      </c>
      <c r="G528" s="19">
        <v>35.950000000000003</v>
      </c>
      <c r="H528" s="19"/>
      <c r="I528" s="19">
        <f t="shared" si="11"/>
        <v>0</v>
      </c>
    </row>
    <row r="529" spans="1:9" s="2" customFormat="1">
      <c r="A529" s="80" t="s">
        <v>1073</v>
      </c>
      <c r="B529" s="79" t="s">
        <v>1428</v>
      </c>
      <c r="C529" s="26" t="s">
        <v>51</v>
      </c>
      <c r="D529" s="26" t="s">
        <v>802</v>
      </c>
      <c r="E529" s="78" t="s">
        <v>55</v>
      </c>
      <c r="F529" s="143">
        <v>18</v>
      </c>
      <c r="G529" s="19">
        <v>35.950000000000003</v>
      </c>
      <c r="H529" s="19"/>
      <c r="I529" s="19">
        <f t="shared" si="11"/>
        <v>0</v>
      </c>
    </row>
    <row r="530" spans="1:9" s="2" customFormat="1">
      <c r="A530" s="82">
        <v>7330057031232</v>
      </c>
      <c r="B530" s="79" t="s">
        <v>1653</v>
      </c>
      <c r="C530" s="26" t="s">
        <v>51</v>
      </c>
      <c r="D530" s="26" t="s">
        <v>31</v>
      </c>
      <c r="E530" s="78" t="s">
        <v>55</v>
      </c>
      <c r="F530" s="143">
        <v>18</v>
      </c>
      <c r="G530" s="19">
        <v>35.950000000000003</v>
      </c>
      <c r="H530" s="19"/>
      <c r="I530" s="19">
        <f t="shared" si="11"/>
        <v>0</v>
      </c>
    </row>
    <row r="531" spans="1:9" s="2" customFormat="1">
      <c r="A531" s="26" t="s">
        <v>307</v>
      </c>
      <c r="B531" s="79" t="s">
        <v>625</v>
      </c>
      <c r="C531" s="26" t="s">
        <v>50</v>
      </c>
      <c r="D531" s="26" t="s">
        <v>0</v>
      </c>
      <c r="E531" s="78" t="s">
        <v>55</v>
      </c>
      <c r="F531" s="143">
        <v>18</v>
      </c>
      <c r="G531" s="19">
        <v>35.950000000000003</v>
      </c>
      <c r="H531" s="19"/>
      <c r="I531" s="19">
        <f t="shared" ref="I531:I561" si="12">F531*H531</f>
        <v>0</v>
      </c>
    </row>
    <row r="532" spans="1:9" s="2" customFormat="1">
      <c r="A532" s="80" t="s">
        <v>1074</v>
      </c>
      <c r="B532" s="79" t="s">
        <v>1430</v>
      </c>
      <c r="C532" s="26" t="s">
        <v>50</v>
      </c>
      <c r="D532" s="26" t="s">
        <v>6</v>
      </c>
      <c r="E532" s="78" t="s">
        <v>55</v>
      </c>
      <c r="F532" s="143">
        <v>18</v>
      </c>
      <c r="G532" s="19">
        <v>35.950000000000003</v>
      </c>
      <c r="H532" s="19"/>
      <c r="I532" s="19">
        <f t="shared" si="12"/>
        <v>0</v>
      </c>
    </row>
    <row r="533" spans="1:9" s="2" customFormat="1">
      <c r="A533" s="80" t="s">
        <v>1075</v>
      </c>
      <c r="B533" s="79" t="s">
        <v>1429</v>
      </c>
      <c r="C533" s="26" t="s">
        <v>50</v>
      </c>
      <c r="D533" s="26" t="s">
        <v>803</v>
      </c>
      <c r="E533" s="78" t="s">
        <v>55</v>
      </c>
      <c r="F533" s="143">
        <v>18</v>
      </c>
      <c r="G533" s="19">
        <v>35.950000000000003</v>
      </c>
      <c r="H533" s="19"/>
      <c r="I533" s="19">
        <f t="shared" si="12"/>
        <v>0</v>
      </c>
    </row>
    <row r="534" spans="1:9" s="2" customFormat="1">
      <c r="A534" s="80" t="s">
        <v>1076</v>
      </c>
      <c r="B534" s="79" t="s">
        <v>1431</v>
      </c>
      <c r="C534" s="26" t="s">
        <v>50</v>
      </c>
      <c r="D534" s="26" t="s">
        <v>805</v>
      </c>
      <c r="E534" s="78" t="s">
        <v>55</v>
      </c>
      <c r="F534" s="143">
        <v>18</v>
      </c>
      <c r="G534" s="19">
        <v>35.950000000000003</v>
      </c>
      <c r="H534" s="19"/>
      <c r="I534" s="19">
        <f t="shared" si="12"/>
        <v>0</v>
      </c>
    </row>
    <row r="535" spans="1:9" s="2" customFormat="1">
      <c r="A535" s="80" t="s">
        <v>1077</v>
      </c>
      <c r="B535" s="79" t="s">
        <v>1435</v>
      </c>
      <c r="C535" s="26" t="s">
        <v>52</v>
      </c>
      <c r="D535" s="26" t="s">
        <v>0</v>
      </c>
      <c r="E535" s="78" t="s">
        <v>55</v>
      </c>
      <c r="F535" s="143">
        <v>30</v>
      </c>
      <c r="G535" s="19">
        <v>59.95</v>
      </c>
      <c r="H535" s="19"/>
      <c r="I535" s="19">
        <f t="shared" si="12"/>
        <v>0</v>
      </c>
    </row>
    <row r="536" spans="1:9" s="2" customFormat="1">
      <c r="A536" s="80" t="s">
        <v>1078</v>
      </c>
      <c r="B536" s="79" t="s">
        <v>1433</v>
      </c>
      <c r="C536" s="26" t="s">
        <v>52</v>
      </c>
      <c r="D536" s="26" t="s">
        <v>6</v>
      </c>
      <c r="E536" s="78" t="s">
        <v>55</v>
      </c>
      <c r="F536" s="143">
        <v>30</v>
      </c>
      <c r="G536" s="19">
        <v>59.95</v>
      </c>
      <c r="H536" s="19"/>
      <c r="I536" s="19">
        <f t="shared" si="12"/>
        <v>0</v>
      </c>
    </row>
    <row r="537" spans="1:9" s="2" customFormat="1">
      <c r="A537" s="80" t="s">
        <v>1079</v>
      </c>
      <c r="B537" s="79" t="s">
        <v>1434</v>
      </c>
      <c r="C537" s="26" t="s">
        <v>52</v>
      </c>
      <c r="D537" s="26" t="s">
        <v>803</v>
      </c>
      <c r="E537" s="78" t="s">
        <v>55</v>
      </c>
      <c r="F537" s="143">
        <v>30</v>
      </c>
      <c r="G537" s="19">
        <v>59.95</v>
      </c>
      <c r="H537" s="19"/>
      <c r="I537" s="19">
        <f t="shared" si="12"/>
        <v>0</v>
      </c>
    </row>
    <row r="538" spans="1:9" s="2" customFormat="1">
      <c r="A538" s="26" t="s">
        <v>311</v>
      </c>
      <c r="B538" s="79" t="s">
        <v>621</v>
      </c>
      <c r="C538" s="26" t="s">
        <v>52</v>
      </c>
      <c r="D538" s="26" t="s">
        <v>41</v>
      </c>
      <c r="E538" s="78" t="s">
        <v>55</v>
      </c>
      <c r="F538" s="143">
        <v>30</v>
      </c>
      <c r="G538" s="19">
        <v>59.95</v>
      </c>
      <c r="H538" s="19"/>
      <c r="I538" s="19">
        <f t="shared" si="12"/>
        <v>0</v>
      </c>
    </row>
    <row r="539" spans="1:9" s="2" customFormat="1">
      <c r="A539" s="80" t="s">
        <v>1080</v>
      </c>
      <c r="B539" s="79" t="s">
        <v>1432</v>
      </c>
      <c r="C539" s="26" t="s">
        <v>52</v>
      </c>
      <c r="D539" s="26" t="s">
        <v>805</v>
      </c>
      <c r="E539" s="78" t="s">
        <v>55</v>
      </c>
      <c r="F539" s="143">
        <v>30</v>
      </c>
      <c r="G539" s="19">
        <v>59.95</v>
      </c>
      <c r="H539" s="19"/>
      <c r="I539" s="19">
        <f t="shared" si="12"/>
        <v>0</v>
      </c>
    </row>
    <row r="540" spans="1:9" s="2" customFormat="1">
      <c r="A540" s="80" t="s">
        <v>1081</v>
      </c>
      <c r="B540" s="79" t="s">
        <v>1436</v>
      </c>
      <c r="C540" s="26" t="s">
        <v>809</v>
      </c>
      <c r="D540" s="26" t="s">
        <v>17</v>
      </c>
      <c r="E540" s="78" t="s">
        <v>55</v>
      </c>
      <c r="F540" s="143">
        <v>18</v>
      </c>
      <c r="G540" s="19">
        <v>35.950000000000003</v>
      </c>
      <c r="H540" s="19"/>
      <c r="I540" s="19">
        <f t="shared" si="12"/>
        <v>0</v>
      </c>
    </row>
    <row r="541" spans="1:9" s="2" customFormat="1">
      <c r="A541" s="80" t="s">
        <v>1082</v>
      </c>
      <c r="B541" s="79" t="s">
        <v>1437</v>
      </c>
      <c r="C541" s="26" t="s">
        <v>809</v>
      </c>
      <c r="D541" s="26" t="s">
        <v>33</v>
      </c>
      <c r="E541" s="78" t="s">
        <v>55</v>
      </c>
      <c r="F541" s="143">
        <v>18</v>
      </c>
      <c r="G541" s="19">
        <v>35.950000000000003</v>
      </c>
      <c r="H541" s="19"/>
      <c r="I541" s="19">
        <f t="shared" si="12"/>
        <v>0</v>
      </c>
    </row>
    <row r="542" spans="1:9" s="2" customFormat="1">
      <c r="A542" s="80" t="s">
        <v>1083</v>
      </c>
      <c r="B542" s="79" t="s">
        <v>1438</v>
      </c>
      <c r="C542" s="26" t="s">
        <v>809</v>
      </c>
      <c r="D542" s="26" t="s">
        <v>31</v>
      </c>
      <c r="E542" s="78" t="s">
        <v>55</v>
      </c>
      <c r="F542" s="143">
        <v>18</v>
      </c>
      <c r="G542" s="19">
        <v>35.950000000000003</v>
      </c>
      <c r="H542" s="19"/>
      <c r="I542" s="19">
        <f t="shared" si="12"/>
        <v>0</v>
      </c>
    </row>
    <row r="543" spans="1:9" s="2" customFormat="1">
      <c r="A543" s="80" t="s">
        <v>1084</v>
      </c>
      <c r="B543" s="79" t="s">
        <v>1440</v>
      </c>
      <c r="C543" s="26" t="s">
        <v>53</v>
      </c>
      <c r="D543" s="26" t="s">
        <v>17</v>
      </c>
      <c r="E543" s="78" t="s">
        <v>55</v>
      </c>
      <c r="F543" s="143">
        <v>30</v>
      </c>
      <c r="G543" s="19">
        <v>59.95</v>
      </c>
      <c r="H543" s="19"/>
      <c r="I543" s="19">
        <f t="shared" si="12"/>
        <v>0</v>
      </c>
    </row>
    <row r="544" spans="1:9" s="2" customFormat="1">
      <c r="A544" s="80" t="s">
        <v>1085</v>
      </c>
      <c r="B544" s="79" t="s">
        <v>1439</v>
      </c>
      <c r="C544" s="26" t="s">
        <v>53</v>
      </c>
      <c r="D544" s="26" t="s">
        <v>33</v>
      </c>
      <c r="E544" s="78" t="s">
        <v>55</v>
      </c>
      <c r="F544" s="143">
        <v>30</v>
      </c>
      <c r="G544" s="19">
        <v>59.95</v>
      </c>
      <c r="H544" s="19"/>
      <c r="I544" s="19">
        <f t="shared" si="12"/>
        <v>0</v>
      </c>
    </row>
    <row r="545" spans="1:9" s="2" customFormat="1">
      <c r="A545" s="80" t="s">
        <v>1086</v>
      </c>
      <c r="B545" s="79" t="s">
        <v>1441</v>
      </c>
      <c r="C545" s="26" t="s">
        <v>53</v>
      </c>
      <c r="D545" s="26" t="s">
        <v>31</v>
      </c>
      <c r="E545" s="78" t="s">
        <v>55</v>
      </c>
      <c r="F545" s="143">
        <v>30</v>
      </c>
      <c r="G545" s="19">
        <v>59.95</v>
      </c>
      <c r="H545" s="19"/>
      <c r="I545" s="19">
        <f t="shared" si="12"/>
        <v>0</v>
      </c>
    </row>
    <row r="546" spans="1:9" s="2" customFormat="1">
      <c r="A546" s="26" t="s">
        <v>312</v>
      </c>
      <c r="B546" s="79" t="s">
        <v>620</v>
      </c>
      <c r="C546" s="26" t="s">
        <v>32</v>
      </c>
      <c r="D546" s="26" t="s">
        <v>0</v>
      </c>
      <c r="E546" s="78" t="s">
        <v>55</v>
      </c>
      <c r="F546" s="143">
        <v>18</v>
      </c>
      <c r="G546" s="19">
        <v>35.950000000000003</v>
      </c>
      <c r="H546" s="19"/>
      <c r="I546" s="19">
        <f t="shared" si="12"/>
        <v>0</v>
      </c>
    </row>
    <row r="547" spans="1:9" s="2" customFormat="1">
      <c r="A547" s="26" t="s">
        <v>313</v>
      </c>
      <c r="B547" s="79" t="s">
        <v>617</v>
      </c>
      <c r="C547" s="26" t="s">
        <v>32</v>
      </c>
      <c r="D547" s="26" t="s">
        <v>9</v>
      </c>
      <c r="E547" s="78" t="s">
        <v>55</v>
      </c>
      <c r="F547" s="143">
        <v>18</v>
      </c>
      <c r="G547" s="19">
        <v>35.950000000000003</v>
      </c>
      <c r="H547" s="19"/>
      <c r="I547" s="19">
        <f t="shared" si="12"/>
        <v>0</v>
      </c>
    </row>
    <row r="548" spans="1:9" s="2" customFormat="1">
      <c r="A548" s="80" t="s">
        <v>1087</v>
      </c>
      <c r="B548" s="79" t="s">
        <v>1443</v>
      </c>
      <c r="C548" s="26" t="s">
        <v>32</v>
      </c>
      <c r="D548" s="26" t="s">
        <v>17</v>
      </c>
      <c r="E548" s="78" t="s">
        <v>55</v>
      </c>
      <c r="F548" s="143">
        <v>18</v>
      </c>
      <c r="G548" s="19">
        <v>35.950000000000003</v>
      </c>
      <c r="H548" s="19"/>
      <c r="I548" s="19">
        <f t="shared" si="12"/>
        <v>0</v>
      </c>
    </row>
    <row r="549" spans="1:9" s="2" customFormat="1">
      <c r="A549" s="26" t="s">
        <v>314</v>
      </c>
      <c r="B549" s="79" t="s">
        <v>618</v>
      </c>
      <c r="C549" s="26" t="s">
        <v>32</v>
      </c>
      <c r="D549" s="26" t="s">
        <v>22</v>
      </c>
      <c r="E549" s="78" t="s">
        <v>55</v>
      </c>
      <c r="F549" s="143">
        <v>18</v>
      </c>
      <c r="G549" s="19">
        <v>35.950000000000003</v>
      </c>
      <c r="H549" s="19"/>
      <c r="I549" s="19">
        <f t="shared" si="12"/>
        <v>0</v>
      </c>
    </row>
    <row r="550" spans="1:9" s="2" customFormat="1">
      <c r="A550" s="26" t="s">
        <v>315</v>
      </c>
      <c r="B550" s="79" t="s">
        <v>619</v>
      </c>
      <c r="C550" s="26" t="s">
        <v>32</v>
      </c>
      <c r="D550" s="26" t="s">
        <v>31</v>
      </c>
      <c r="E550" s="78" t="s">
        <v>55</v>
      </c>
      <c r="F550" s="143">
        <v>18</v>
      </c>
      <c r="G550" s="19">
        <v>35.950000000000003</v>
      </c>
      <c r="H550" s="19"/>
      <c r="I550" s="19">
        <f t="shared" si="12"/>
        <v>0</v>
      </c>
    </row>
    <row r="551" spans="1:9" s="2" customFormat="1">
      <c r="A551" s="26" t="s">
        <v>316</v>
      </c>
      <c r="B551" s="26" t="s">
        <v>616</v>
      </c>
      <c r="C551" s="26" t="s">
        <v>32</v>
      </c>
      <c r="D551" s="26" t="s">
        <v>15</v>
      </c>
      <c r="E551" s="78" t="s">
        <v>55</v>
      </c>
      <c r="F551" s="143">
        <v>18</v>
      </c>
      <c r="G551" s="19">
        <v>35.950000000000003</v>
      </c>
      <c r="H551" s="19"/>
      <c r="I551" s="19">
        <f t="shared" si="12"/>
        <v>0</v>
      </c>
    </row>
    <row r="552" spans="1:9" s="2" customFormat="1">
      <c r="A552" s="80" t="s">
        <v>1088</v>
      </c>
      <c r="B552" s="26" t="s">
        <v>1442</v>
      </c>
      <c r="C552" s="26" t="s">
        <v>32</v>
      </c>
      <c r="D552" s="26" t="s">
        <v>810</v>
      </c>
      <c r="E552" s="78" t="s">
        <v>55</v>
      </c>
      <c r="F552" s="143">
        <v>18</v>
      </c>
      <c r="G552" s="19">
        <v>35.950000000000003</v>
      </c>
      <c r="H552" s="19"/>
      <c r="I552" s="19">
        <f t="shared" si="12"/>
        <v>0</v>
      </c>
    </row>
    <row r="553" spans="1:9" s="2" customFormat="1">
      <c r="A553" s="80" t="s">
        <v>1089</v>
      </c>
      <c r="B553" s="26" t="s">
        <v>1444</v>
      </c>
      <c r="C553" s="26" t="s">
        <v>811</v>
      </c>
      <c r="D553" s="26" t="s">
        <v>0</v>
      </c>
      <c r="E553" s="78" t="s">
        <v>55</v>
      </c>
      <c r="F553" s="143">
        <v>17.5</v>
      </c>
      <c r="G553" s="19">
        <v>34.950000000000003</v>
      </c>
      <c r="H553" s="19"/>
      <c r="I553" s="19">
        <f t="shared" si="12"/>
        <v>0</v>
      </c>
    </row>
    <row r="554" spans="1:9" s="2" customFormat="1">
      <c r="A554" s="80" t="s">
        <v>1090</v>
      </c>
      <c r="B554" s="26" t="s">
        <v>1445</v>
      </c>
      <c r="C554" s="26" t="s">
        <v>811</v>
      </c>
      <c r="D554" s="26" t="s">
        <v>33</v>
      </c>
      <c r="E554" s="78" t="s">
        <v>55</v>
      </c>
      <c r="F554" s="143">
        <v>17.5</v>
      </c>
      <c r="G554" s="19">
        <v>34.950000000000003</v>
      </c>
      <c r="H554" s="19"/>
      <c r="I554" s="19">
        <f t="shared" si="12"/>
        <v>0</v>
      </c>
    </row>
    <row r="555" spans="1:9" s="2" customFormat="1">
      <c r="A555" s="80" t="s">
        <v>1091</v>
      </c>
      <c r="B555" s="26" t="s">
        <v>1446</v>
      </c>
      <c r="C555" s="26" t="s">
        <v>811</v>
      </c>
      <c r="D555" s="26" t="s">
        <v>808</v>
      </c>
      <c r="E555" s="78" t="s">
        <v>55</v>
      </c>
      <c r="F555" s="143">
        <v>17.5</v>
      </c>
      <c r="G555" s="19">
        <v>34.950000000000003</v>
      </c>
      <c r="H555" s="19"/>
      <c r="I555" s="19">
        <f t="shared" si="12"/>
        <v>0</v>
      </c>
    </row>
    <row r="556" spans="1:9" s="2" customFormat="1">
      <c r="A556" s="80" t="s">
        <v>1092</v>
      </c>
      <c r="B556" s="26" t="s">
        <v>1447</v>
      </c>
      <c r="C556" s="26" t="s">
        <v>54</v>
      </c>
      <c r="D556" s="26" t="s">
        <v>806</v>
      </c>
      <c r="E556" s="78" t="s">
        <v>55</v>
      </c>
      <c r="F556" s="143">
        <v>17.5</v>
      </c>
      <c r="G556" s="19">
        <v>34.950000000000003</v>
      </c>
      <c r="H556" s="19"/>
      <c r="I556" s="19">
        <f t="shared" si="12"/>
        <v>0</v>
      </c>
    </row>
    <row r="557" spans="1:9" s="2" customFormat="1">
      <c r="A557" s="80" t="s">
        <v>1093</v>
      </c>
      <c r="B557" s="26" t="s">
        <v>1448</v>
      </c>
      <c r="C557" s="26" t="s">
        <v>54</v>
      </c>
      <c r="D557" s="26" t="s">
        <v>805</v>
      </c>
      <c r="E557" s="78" t="s">
        <v>55</v>
      </c>
      <c r="F557" s="143">
        <v>17.5</v>
      </c>
      <c r="G557" s="19">
        <v>34.950000000000003</v>
      </c>
      <c r="H557" s="19"/>
      <c r="I557" s="19">
        <f t="shared" si="12"/>
        <v>0</v>
      </c>
    </row>
    <row r="558" spans="1:9">
      <c r="A558" s="80" t="s">
        <v>1094</v>
      </c>
      <c r="B558" s="26" t="s">
        <v>1449</v>
      </c>
      <c r="C558" s="26" t="s">
        <v>812</v>
      </c>
      <c r="D558" s="26" t="s">
        <v>0</v>
      </c>
      <c r="E558" s="78" t="s">
        <v>55</v>
      </c>
      <c r="F558" s="143">
        <v>30</v>
      </c>
      <c r="G558" s="19">
        <v>59.95</v>
      </c>
      <c r="H558" s="19"/>
      <c r="I558" s="19">
        <f t="shared" si="12"/>
        <v>0</v>
      </c>
    </row>
    <row r="559" spans="1:9">
      <c r="A559" s="80" t="s">
        <v>1095</v>
      </c>
      <c r="B559" s="26" t="s">
        <v>1450</v>
      </c>
      <c r="C559" s="26" t="s">
        <v>812</v>
      </c>
      <c r="D559" s="26" t="s">
        <v>813</v>
      </c>
      <c r="E559" s="78" t="s">
        <v>55</v>
      </c>
      <c r="F559" s="143">
        <v>30</v>
      </c>
      <c r="G559" s="19">
        <v>59.95</v>
      </c>
      <c r="H559" s="19"/>
      <c r="I559" s="19">
        <f t="shared" si="12"/>
        <v>0</v>
      </c>
    </row>
    <row r="560" spans="1:9">
      <c r="A560" s="80" t="s">
        <v>1096</v>
      </c>
      <c r="B560" s="26" t="s">
        <v>1451</v>
      </c>
      <c r="C560" s="26" t="s">
        <v>814</v>
      </c>
      <c r="D560" s="26" t="s">
        <v>0</v>
      </c>
      <c r="E560" s="78" t="s">
        <v>55</v>
      </c>
      <c r="F560" s="143">
        <v>30</v>
      </c>
      <c r="G560" s="19">
        <v>59.95</v>
      </c>
      <c r="H560" s="19"/>
      <c r="I560" s="19">
        <f t="shared" si="12"/>
        <v>0</v>
      </c>
    </row>
    <row r="561" spans="1:9">
      <c r="A561" s="80" t="s">
        <v>1097</v>
      </c>
      <c r="B561" s="26" t="s">
        <v>1452</v>
      </c>
      <c r="C561" s="26" t="s">
        <v>814</v>
      </c>
      <c r="D561" s="26" t="s">
        <v>31</v>
      </c>
      <c r="E561" s="78" t="s">
        <v>55</v>
      </c>
      <c r="F561" s="143">
        <v>30</v>
      </c>
      <c r="G561" s="19">
        <v>59.95</v>
      </c>
      <c r="H561" s="19"/>
      <c r="I561" s="19">
        <f t="shared" si="12"/>
        <v>0</v>
      </c>
    </row>
    <row r="562" spans="1:9" s="98" customFormat="1" ht="17" customHeight="1">
      <c r="A562" s="90"/>
      <c r="B562" s="91"/>
      <c r="C562" s="92"/>
      <c r="D562" s="93"/>
      <c r="E562" s="93"/>
      <c r="F562" s="141"/>
      <c r="G562" s="95" t="s">
        <v>1711</v>
      </c>
      <c r="H562" s="96">
        <f>SUM(H499:H561)</f>
        <v>0</v>
      </c>
      <c r="I562" s="97">
        <f>SUM(I499:I561)</f>
        <v>0</v>
      </c>
    </row>
    <row r="563" spans="1:9" s="84" customFormat="1">
      <c r="A563" s="90"/>
      <c r="B563" s="91"/>
      <c r="C563" s="99"/>
      <c r="D563" s="93"/>
      <c r="E563" s="93"/>
      <c r="F563" s="141"/>
      <c r="G563" s="94"/>
      <c r="H563" s="93"/>
      <c r="I563" s="94"/>
    </row>
    <row r="564" spans="1:9" s="9" customFormat="1">
      <c r="A564" s="100"/>
      <c r="B564" s="100"/>
      <c r="C564" s="100"/>
      <c r="D564" s="100"/>
      <c r="E564" s="100"/>
      <c r="F564" s="144"/>
      <c r="G564" s="101"/>
      <c r="H564" s="102"/>
      <c r="I564" s="101"/>
    </row>
    <row r="565" spans="1:9" s="9" customFormat="1">
      <c r="F565" s="145"/>
      <c r="G565" s="10"/>
      <c r="H565" s="22"/>
      <c r="I565" s="10"/>
    </row>
    <row r="566" spans="1:9" s="9" customFormat="1">
      <c r="F566" s="145"/>
      <c r="G566" s="10"/>
      <c r="H566" s="22"/>
      <c r="I566" s="10"/>
    </row>
    <row r="567" spans="1:9" s="9" customFormat="1">
      <c r="F567" s="145"/>
      <c r="G567" s="10"/>
      <c r="H567" s="22"/>
      <c r="I567" s="10"/>
    </row>
    <row r="568" spans="1:9" s="9" customFormat="1">
      <c r="F568" s="145"/>
      <c r="G568" s="10"/>
      <c r="H568" s="22"/>
      <c r="I568" s="10"/>
    </row>
    <row r="569" spans="1:9" s="9" customFormat="1">
      <c r="F569" s="145"/>
      <c r="G569" s="10"/>
      <c r="H569" s="22"/>
      <c r="I569" s="10"/>
    </row>
    <row r="570" spans="1:9" s="9" customFormat="1">
      <c r="F570" s="145"/>
      <c r="G570" s="10"/>
      <c r="H570" s="22"/>
      <c r="I570" s="10"/>
    </row>
    <row r="571" spans="1:9" s="9" customFormat="1">
      <c r="F571" s="145"/>
      <c r="G571" s="10"/>
      <c r="H571" s="22"/>
      <c r="I571" s="10"/>
    </row>
    <row r="572" spans="1:9" s="9" customFormat="1">
      <c r="F572" s="145"/>
      <c r="G572" s="10"/>
      <c r="H572" s="22"/>
      <c r="I572" s="10"/>
    </row>
    <row r="573" spans="1:9" s="9" customFormat="1">
      <c r="F573" s="145"/>
      <c r="G573" s="10"/>
      <c r="H573" s="22"/>
      <c r="I573" s="10"/>
    </row>
    <row r="574" spans="1:9" s="9" customFormat="1">
      <c r="F574" s="145"/>
      <c r="G574" s="10"/>
      <c r="H574" s="22"/>
      <c r="I574" s="10"/>
    </row>
    <row r="575" spans="1:9" s="9" customFormat="1">
      <c r="F575" s="145"/>
      <c r="G575" s="10"/>
      <c r="H575" s="22"/>
      <c r="I575" s="10"/>
    </row>
    <row r="576" spans="1:9" s="9" customFormat="1">
      <c r="F576" s="145"/>
      <c r="G576" s="10"/>
      <c r="H576" s="22"/>
      <c r="I576" s="10"/>
    </row>
    <row r="577" spans="6:9" s="9" customFormat="1">
      <c r="F577" s="145"/>
      <c r="G577" s="10"/>
      <c r="H577" s="22"/>
      <c r="I577" s="10"/>
    </row>
    <row r="578" spans="6:9" s="9" customFormat="1">
      <c r="F578" s="145"/>
      <c r="G578" s="10"/>
      <c r="H578" s="22"/>
      <c r="I578" s="10"/>
    </row>
    <row r="579" spans="6:9" s="9" customFormat="1">
      <c r="F579" s="145"/>
      <c r="G579" s="10"/>
      <c r="H579" s="22"/>
      <c r="I579" s="10"/>
    </row>
    <row r="580" spans="6:9" s="9" customFormat="1">
      <c r="F580" s="145"/>
      <c r="G580" s="10"/>
      <c r="H580" s="22"/>
      <c r="I580" s="10"/>
    </row>
    <row r="581" spans="6:9" s="9" customFormat="1">
      <c r="F581" s="145"/>
      <c r="G581" s="10"/>
      <c r="H581" s="22"/>
      <c r="I581" s="10"/>
    </row>
    <row r="582" spans="6:9" s="9" customFormat="1">
      <c r="F582" s="145"/>
      <c r="G582" s="10"/>
      <c r="H582" s="22"/>
      <c r="I582" s="10"/>
    </row>
    <row r="583" spans="6:9" s="9" customFormat="1">
      <c r="F583" s="145"/>
      <c r="G583" s="10"/>
      <c r="H583" s="22"/>
      <c r="I583" s="10"/>
    </row>
    <row r="584" spans="6:9" s="9" customFormat="1">
      <c r="F584" s="145"/>
      <c r="G584" s="10"/>
      <c r="H584" s="22"/>
      <c r="I584" s="10"/>
    </row>
    <row r="585" spans="6:9" s="9" customFormat="1">
      <c r="F585" s="145"/>
      <c r="G585" s="10"/>
      <c r="H585" s="22"/>
      <c r="I585" s="10"/>
    </row>
    <row r="586" spans="6:9" s="9" customFormat="1">
      <c r="F586" s="145"/>
      <c r="G586" s="10"/>
      <c r="H586" s="22"/>
      <c r="I586" s="10"/>
    </row>
    <row r="587" spans="6:9" s="9" customFormat="1">
      <c r="F587" s="145"/>
      <c r="G587" s="10"/>
      <c r="H587" s="22"/>
      <c r="I587" s="10"/>
    </row>
    <row r="588" spans="6:9" s="9" customFormat="1">
      <c r="F588" s="145"/>
      <c r="G588" s="10"/>
      <c r="H588" s="22"/>
      <c r="I588" s="10"/>
    </row>
    <row r="589" spans="6:9" s="9" customFormat="1">
      <c r="F589" s="145"/>
      <c r="G589" s="10"/>
      <c r="H589" s="22"/>
      <c r="I589" s="10"/>
    </row>
    <row r="590" spans="6:9" s="9" customFormat="1">
      <c r="F590" s="145"/>
      <c r="G590" s="10"/>
      <c r="H590" s="22"/>
      <c r="I590" s="10"/>
    </row>
    <row r="591" spans="6:9" s="9" customFormat="1">
      <c r="F591" s="145"/>
      <c r="G591" s="10"/>
      <c r="H591" s="22"/>
      <c r="I591" s="10"/>
    </row>
    <row r="592" spans="6:9" s="9" customFormat="1">
      <c r="F592" s="145"/>
      <c r="G592" s="10"/>
      <c r="H592" s="22"/>
      <c r="I592" s="10"/>
    </row>
    <row r="593" spans="6:9" s="9" customFormat="1">
      <c r="F593" s="145"/>
      <c r="G593" s="10"/>
      <c r="H593" s="22"/>
      <c r="I593" s="10"/>
    </row>
    <row r="594" spans="6:9" s="9" customFormat="1">
      <c r="F594" s="145"/>
      <c r="G594" s="10"/>
      <c r="H594" s="22"/>
      <c r="I594" s="10"/>
    </row>
    <row r="595" spans="6:9" s="9" customFormat="1">
      <c r="F595" s="145"/>
      <c r="G595" s="10"/>
      <c r="H595" s="22"/>
      <c r="I595" s="10"/>
    </row>
    <row r="596" spans="6:9" s="9" customFormat="1">
      <c r="F596" s="145"/>
      <c r="G596" s="10"/>
      <c r="H596" s="22"/>
      <c r="I596" s="10"/>
    </row>
    <row r="597" spans="6:9" s="9" customFormat="1">
      <c r="F597" s="145"/>
      <c r="G597" s="10"/>
      <c r="H597" s="22"/>
      <c r="I597" s="10"/>
    </row>
    <row r="598" spans="6:9" s="9" customFormat="1">
      <c r="F598" s="145"/>
      <c r="G598" s="10"/>
      <c r="H598" s="22"/>
      <c r="I598" s="10"/>
    </row>
    <row r="599" spans="6:9" s="9" customFormat="1">
      <c r="F599" s="145"/>
      <c r="G599" s="10"/>
      <c r="H599" s="22"/>
      <c r="I599" s="10"/>
    </row>
    <row r="600" spans="6:9" s="9" customFormat="1">
      <c r="F600" s="145"/>
      <c r="G600" s="10"/>
      <c r="H600" s="22"/>
      <c r="I600" s="10"/>
    </row>
    <row r="601" spans="6:9" s="9" customFormat="1">
      <c r="F601" s="145"/>
      <c r="G601" s="10"/>
      <c r="H601" s="22"/>
      <c r="I601" s="10"/>
    </row>
    <row r="602" spans="6:9" s="9" customFormat="1">
      <c r="F602" s="145"/>
      <c r="G602" s="10"/>
      <c r="H602" s="22"/>
      <c r="I602" s="10"/>
    </row>
    <row r="603" spans="6:9" s="9" customFormat="1">
      <c r="F603" s="145"/>
      <c r="G603" s="10"/>
      <c r="H603" s="22"/>
      <c r="I603" s="10"/>
    </row>
    <row r="604" spans="6:9" s="9" customFormat="1">
      <c r="F604" s="145"/>
      <c r="G604" s="10"/>
      <c r="H604" s="22"/>
      <c r="I604" s="10"/>
    </row>
    <row r="605" spans="6:9" s="9" customFormat="1">
      <c r="F605" s="145"/>
      <c r="G605" s="10"/>
      <c r="H605" s="22"/>
      <c r="I605" s="10"/>
    </row>
    <row r="606" spans="6:9" s="9" customFormat="1">
      <c r="F606" s="145"/>
      <c r="G606" s="10"/>
      <c r="H606" s="22"/>
      <c r="I606" s="10"/>
    </row>
    <row r="607" spans="6:9" s="9" customFormat="1">
      <c r="F607" s="145"/>
      <c r="G607" s="10"/>
      <c r="H607" s="22"/>
      <c r="I607" s="10"/>
    </row>
    <row r="608" spans="6:9" s="9" customFormat="1">
      <c r="F608" s="145"/>
      <c r="G608" s="10"/>
      <c r="H608" s="22"/>
      <c r="I608" s="10"/>
    </row>
    <row r="609" spans="6:9" s="9" customFormat="1">
      <c r="F609" s="145"/>
      <c r="G609" s="10"/>
      <c r="H609" s="22"/>
      <c r="I609" s="10"/>
    </row>
    <row r="610" spans="6:9" s="9" customFormat="1">
      <c r="F610" s="145"/>
      <c r="G610" s="10"/>
      <c r="H610" s="22"/>
      <c r="I610" s="10"/>
    </row>
    <row r="611" spans="6:9" s="9" customFormat="1">
      <c r="F611" s="145"/>
      <c r="G611" s="10"/>
      <c r="H611" s="22"/>
      <c r="I611" s="10"/>
    </row>
    <row r="612" spans="6:9" s="9" customFormat="1">
      <c r="F612" s="145"/>
      <c r="G612" s="10"/>
      <c r="H612" s="22"/>
      <c r="I612" s="10"/>
    </row>
    <row r="613" spans="6:9" s="9" customFormat="1">
      <c r="F613" s="145"/>
      <c r="G613" s="10"/>
      <c r="H613" s="22"/>
      <c r="I613" s="10"/>
    </row>
    <row r="614" spans="6:9" s="9" customFormat="1">
      <c r="F614" s="145"/>
      <c r="G614" s="10"/>
      <c r="H614" s="22"/>
      <c r="I614" s="10"/>
    </row>
    <row r="615" spans="6:9" s="9" customFormat="1">
      <c r="F615" s="145"/>
      <c r="G615" s="10"/>
      <c r="H615" s="22"/>
      <c r="I615" s="10"/>
    </row>
    <row r="616" spans="6:9" s="9" customFormat="1">
      <c r="F616" s="145"/>
      <c r="G616" s="10"/>
      <c r="H616" s="22"/>
      <c r="I616" s="10"/>
    </row>
    <row r="617" spans="6:9" s="9" customFormat="1">
      <c r="F617" s="145"/>
      <c r="G617" s="10"/>
      <c r="H617" s="22"/>
      <c r="I617" s="10"/>
    </row>
    <row r="618" spans="6:9" s="9" customFormat="1">
      <c r="F618" s="145"/>
      <c r="G618" s="10"/>
      <c r="H618" s="22"/>
      <c r="I618" s="10"/>
    </row>
    <row r="619" spans="6:9" s="9" customFormat="1">
      <c r="F619" s="145"/>
      <c r="G619" s="10"/>
      <c r="H619" s="22"/>
      <c r="I619" s="10"/>
    </row>
    <row r="620" spans="6:9" s="9" customFormat="1">
      <c r="F620" s="145"/>
      <c r="G620" s="10"/>
      <c r="H620" s="22"/>
      <c r="I620" s="10"/>
    </row>
    <row r="621" spans="6:9" s="9" customFormat="1">
      <c r="F621" s="145"/>
      <c r="G621" s="10"/>
      <c r="H621" s="22"/>
      <c r="I621" s="10"/>
    </row>
    <row r="622" spans="6:9" s="9" customFormat="1">
      <c r="F622" s="145"/>
      <c r="G622" s="10"/>
      <c r="H622" s="22"/>
      <c r="I622" s="10"/>
    </row>
    <row r="623" spans="6:9" s="9" customFormat="1">
      <c r="F623" s="145"/>
      <c r="G623" s="10"/>
      <c r="H623" s="22"/>
      <c r="I623" s="10"/>
    </row>
    <row r="624" spans="6:9" s="9" customFormat="1">
      <c r="F624" s="145"/>
      <c r="G624" s="10"/>
      <c r="H624" s="22"/>
      <c r="I624" s="10"/>
    </row>
    <row r="625" spans="6:9" s="9" customFormat="1">
      <c r="F625" s="145"/>
      <c r="G625" s="10"/>
      <c r="H625" s="22"/>
      <c r="I625" s="10"/>
    </row>
    <row r="626" spans="6:9" s="9" customFormat="1">
      <c r="F626" s="145"/>
      <c r="G626" s="10"/>
      <c r="H626" s="22"/>
      <c r="I626" s="10"/>
    </row>
    <row r="627" spans="6:9" s="9" customFormat="1">
      <c r="F627" s="145"/>
      <c r="G627" s="10"/>
      <c r="H627" s="22"/>
      <c r="I627" s="10"/>
    </row>
    <row r="628" spans="6:9" s="9" customFormat="1">
      <c r="F628" s="145"/>
      <c r="G628" s="10"/>
      <c r="H628" s="22"/>
      <c r="I628" s="10"/>
    </row>
    <row r="629" spans="6:9" s="9" customFormat="1">
      <c r="F629" s="145"/>
      <c r="G629" s="10"/>
      <c r="H629" s="22"/>
      <c r="I629" s="10"/>
    </row>
    <row r="630" spans="6:9" s="9" customFormat="1">
      <c r="F630" s="145"/>
      <c r="G630" s="10"/>
      <c r="H630" s="22"/>
      <c r="I630" s="10"/>
    </row>
    <row r="631" spans="6:9" s="9" customFormat="1">
      <c r="F631" s="145"/>
      <c r="G631" s="10"/>
      <c r="H631" s="22"/>
      <c r="I631" s="10"/>
    </row>
    <row r="632" spans="6:9" s="9" customFormat="1">
      <c r="F632" s="145"/>
      <c r="G632" s="10"/>
      <c r="H632" s="22"/>
      <c r="I632" s="10"/>
    </row>
    <row r="633" spans="6:9" s="9" customFormat="1">
      <c r="F633" s="145"/>
      <c r="G633" s="10"/>
      <c r="H633" s="22"/>
      <c r="I633" s="10"/>
    </row>
    <row r="634" spans="6:9" s="9" customFormat="1">
      <c r="F634" s="145"/>
      <c r="G634" s="10"/>
      <c r="H634" s="22"/>
      <c r="I634" s="10"/>
    </row>
    <row r="635" spans="6:9" s="9" customFormat="1">
      <c r="F635" s="145"/>
      <c r="G635" s="10"/>
      <c r="H635" s="22"/>
      <c r="I635" s="10"/>
    </row>
    <row r="636" spans="6:9" s="9" customFormat="1">
      <c r="F636" s="145"/>
      <c r="G636" s="10"/>
      <c r="H636" s="22"/>
      <c r="I636" s="10"/>
    </row>
    <row r="637" spans="6:9" s="9" customFormat="1">
      <c r="F637" s="145"/>
      <c r="G637" s="10"/>
      <c r="H637" s="22"/>
      <c r="I637" s="10"/>
    </row>
    <row r="638" spans="6:9" s="9" customFormat="1">
      <c r="F638" s="145"/>
      <c r="G638" s="10"/>
      <c r="H638" s="22"/>
      <c r="I638" s="10"/>
    </row>
    <row r="639" spans="6:9" s="9" customFormat="1">
      <c r="F639" s="145"/>
      <c r="G639" s="10"/>
      <c r="H639" s="22"/>
      <c r="I639" s="10"/>
    </row>
    <row r="640" spans="6:9" s="9" customFormat="1">
      <c r="F640" s="145"/>
      <c r="G640" s="10"/>
      <c r="H640" s="22"/>
      <c r="I640" s="10"/>
    </row>
    <row r="641" spans="6:9" s="9" customFormat="1">
      <c r="F641" s="145"/>
      <c r="G641" s="10"/>
      <c r="H641" s="22"/>
      <c r="I641" s="10"/>
    </row>
    <row r="642" spans="6:9" s="9" customFormat="1">
      <c r="F642" s="145"/>
      <c r="G642" s="10"/>
      <c r="H642" s="22"/>
      <c r="I642" s="10"/>
    </row>
    <row r="643" spans="6:9" s="9" customFormat="1">
      <c r="F643" s="145"/>
      <c r="G643" s="10"/>
      <c r="H643" s="22"/>
      <c r="I643" s="10"/>
    </row>
    <row r="644" spans="6:9" s="9" customFormat="1">
      <c r="F644" s="145"/>
      <c r="G644" s="10"/>
      <c r="H644" s="22"/>
      <c r="I644" s="10"/>
    </row>
    <row r="645" spans="6:9" s="9" customFormat="1">
      <c r="F645" s="145"/>
      <c r="G645" s="10"/>
      <c r="H645" s="22"/>
      <c r="I645" s="10"/>
    </row>
    <row r="646" spans="6:9" s="9" customFormat="1">
      <c r="F646" s="145"/>
      <c r="G646" s="10"/>
      <c r="H646" s="22"/>
      <c r="I646" s="10"/>
    </row>
    <row r="647" spans="6:9" s="9" customFormat="1">
      <c r="F647" s="145"/>
      <c r="G647" s="10"/>
      <c r="H647" s="22"/>
      <c r="I647" s="10"/>
    </row>
    <row r="648" spans="6:9" s="9" customFormat="1">
      <c r="F648" s="145"/>
      <c r="G648" s="10"/>
      <c r="H648" s="22"/>
      <c r="I648" s="10"/>
    </row>
    <row r="649" spans="6:9" s="9" customFormat="1">
      <c r="F649" s="145"/>
      <c r="G649" s="10"/>
      <c r="H649" s="22"/>
      <c r="I649" s="10"/>
    </row>
    <row r="650" spans="6:9" s="9" customFormat="1">
      <c r="F650" s="145"/>
      <c r="G650" s="10"/>
      <c r="H650" s="22"/>
      <c r="I650" s="10"/>
    </row>
    <row r="651" spans="6:9" s="9" customFormat="1">
      <c r="F651" s="145"/>
      <c r="G651" s="10"/>
      <c r="H651" s="22"/>
      <c r="I651" s="10"/>
    </row>
    <row r="652" spans="6:9" s="9" customFormat="1">
      <c r="F652" s="145"/>
      <c r="G652" s="10"/>
      <c r="H652" s="22"/>
      <c r="I652" s="10"/>
    </row>
    <row r="653" spans="6:9" s="9" customFormat="1">
      <c r="F653" s="145"/>
      <c r="G653" s="10"/>
      <c r="H653" s="22"/>
      <c r="I653" s="10"/>
    </row>
    <row r="654" spans="6:9" s="9" customFormat="1">
      <c r="F654" s="145"/>
      <c r="G654" s="10"/>
      <c r="H654" s="22"/>
      <c r="I654" s="10"/>
    </row>
    <row r="655" spans="6:9" s="9" customFormat="1">
      <c r="F655" s="145"/>
      <c r="G655" s="10"/>
      <c r="H655" s="22"/>
      <c r="I655" s="10"/>
    </row>
    <row r="656" spans="6:9" s="9" customFormat="1">
      <c r="F656" s="145"/>
      <c r="G656" s="10"/>
      <c r="H656" s="22"/>
      <c r="I656" s="10"/>
    </row>
    <row r="657" spans="6:9" s="9" customFormat="1">
      <c r="F657" s="145"/>
      <c r="G657" s="10"/>
      <c r="H657" s="22"/>
      <c r="I657" s="10"/>
    </row>
    <row r="658" spans="6:9" s="9" customFormat="1">
      <c r="F658" s="145"/>
      <c r="G658" s="10"/>
      <c r="H658" s="22"/>
      <c r="I658" s="10"/>
    </row>
    <row r="659" spans="6:9" s="9" customFormat="1">
      <c r="F659" s="145"/>
      <c r="G659" s="10"/>
      <c r="H659" s="22"/>
      <c r="I659" s="10"/>
    </row>
    <row r="660" spans="6:9" s="9" customFormat="1">
      <c r="F660" s="145"/>
      <c r="G660" s="10"/>
      <c r="H660" s="22"/>
      <c r="I660" s="10"/>
    </row>
    <row r="661" spans="6:9" s="9" customFormat="1">
      <c r="F661" s="145"/>
      <c r="G661" s="10"/>
      <c r="H661" s="22"/>
      <c r="I661" s="10"/>
    </row>
    <row r="662" spans="6:9" s="9" customFormat="1">
      <c r="F662" s="145"/>
      <c r="G662" s="10"/>
      <c r="H662" s="22"/>
      <c r="I662" s="10"/>
    </row>
    <row r="663" spans="6:9" s="9" customFormat="1">
      <c r="F663" s="145"/>
      <c r="G663" s="10"/>
      <c r="H663" s="22"/>
      <c r="I663" s="10"/>
    </row>
    <row r="664" spans="6:9" s="9" customFormat="1">
      <c r="F664" s="145"/>
      <c r="G664" s="10"/>
      <c r="H664" s="22"/>
      <c r="I664" s="10"/>
    </row>
    <row r="665" spans="6:9" s="9" customFormat="1">
      <c r="F665" s="145"/>
      <c r="G665" s="10"/>
      <c r="H665" s="22"/>
      <c r="I665" s="10"/>
    </row>
    <row r="666" spans="6:9" s="9" customFormat="1">
      <c r="F666" s="145"/>
      <c r="G666" s="10"/>
      <c r="H666" s="22"/>
      <c r="I666" s="10"/>
    </row>
    <row r="667" spans="6:9" s="9" customFormat="1">
      <c r="F667" s="145"/>
      <c r="G667" s="10"/>
      <c r="H667" s="22"/>
      <c r="I667" s="10"/>
    </row>
    <row r="668" spans="6:9" s="9" customFormat="1">
      <c r="F668" s="145"/>
      <c r="G668" s="10"/>
      <c r="H668" s="22"/>
      <c r="I668" s="10"/>
    </row>
    <row r="669" spans="6:9" s="9" customFormat="1">
      <c r="F669" s="145"/>
      <c r="G669" s="10"/>
      <c r="H669" s="22"/>
      <c r="I669" s="10"/>
    </row>
    <row r="670" spans="6:9" s="9" customFormat="1">
      <c r="F670" s="145"/>
      <c r="G670" s="10"/>
      <c r="H670" s="22"/>
      <c r="I670" s="10"/>
    </row>
    <row r="671" spans="6:9" s="9" customFormat="1">
      <c r="F671" s="145"/>
      <c r="G671" s="10"/>
      <c r="H671" s="22"/>
      <c r="I671" s="10"/>
    </row>
    <row r="672" spans="6:9" s="9" customFormat="1">
      <c r="F672" s="145"/>
      <c r="G672" s="10"/>
      <c r="H672" s="22"/>
      <c r="I672" s="10"/>
    </row>
    <row r="673" spans="6:9" s="9" customFormat="1">
      <c r="F673" s="145"/>
      <c r="G673" s="10"/>
      <c r="H673" s="22"/>
      <c r="I673" s="10"/>
    </row>
    <row r="674" spans="6:9" s="9" customFormat="1">
      <c r="F674" s="145"/>
      <c r="G674" s="10"/>
      <c r="H674" s="22"/>
      <c r="I674" s="10"/>
    </row>
    <row r="675" spans="6:9" s="9" customFormat="1">
      <c r="F675" s="145"/>
      <c r="G675" s="10"/>
      <c r="H675" s="22"/>
      <c r="I675" s="10"/>
    </row>
    <row r="676" spans="6:9" s="9" customFormat="1">
      <c r="F676" s="145"/>
      <c r="G676" s="10"/>
      <c r="H676" s="22"/>
      <c r="I676" s="10"/>
    </row>
    <row r="677" spans="6:9" s="9" customFormat="1">
      <c r="F677" s="145"/>
      <c r="G677" s="10"/>
      <c r="H677" s="22"/>
      <c r="I677" s="10"/>
    </row>
    <row r="678" spans="6:9" s="9" customFormat="1">
      <c r="F678" s="145"/>
      <c r="G678" s="10"/>
      <c r="H678" s="22"/>
      <c r="I678" s="10"/>
    </row>
    <row r="679" spans="6:9" s="9" customFormat="1">
      <c r="F679" s="145"/>
      <c r="G679" s="10"/>
      <c r="H679" s="22"/>
      <c r="I679" s="10"/>
    </row>
    <row r="680" spans="6:9" s="9" customFormat="1">
      <c r="F680" s="145"/>
      <c r="G680" s="10"/>
      <c r="H680" s="22"/>
      <c r="I680" s="10"/>
    </row>
    <row r="681" spans="6:9" s="9" customFormat="1">
      <c r="F681" s="145"/>
      <c r="G681" s="10"/>
      <c r="H681" s="22"/>
      <c r="I681" s="10"/>
    </row>
    <row r="682" spans="6:9" s="9" customFormat="1">
      <c r="F682" s="145"/>
      <c r="G682" s="10"/>
      <c r="H682" s="22"/>
      <c r="I682" s="10"/>
    </row>
    <row r="683" spans="6:9" s="9" customFormat="1">
      <c r="F683" s="145"/>
      <c r="G683" s="10"/>
      <c r="H683" s="22"/>
      <c r="I683" s="10"/>
    </row>
    <row r="684" spans="6:9" s="9" customFormat="1">
      <c r="F684" s="145"/>
      <c r="G684" s="10"/>
      <c r="H684" s="22"/>
      <c r="I684" s="10"/>
    </row>
    <row r="685" spans="6:9" s="9" customFormat="1">
      <c r="F685" s="145"/>
      <c r="G685" s="10"/>
      <c r="H685" s="22"/>
      <c r="I685" s="10"/>
    </row>
    <row r="686" spans="6:9" s="9" customFormat="1">
      <c r="F686" s="145"/>
      <c r="G686" s="10"/>
      <c r="H686" s="22"/>
      <c r="I686" s="10"/>
    </row>
    <row r="687" spans="6:9" s="9" customFormat="1">
      <c r="F687" s="145"/>
      <c r="G687" s="10"/>
      <c r="H687" s="22"/>
      <c r="I687" s="10"/>
    </row>
    <row r="688" spans="6:9" s="9" customFormat="1">
      <c r="F688" s="145"/>
      <c r="G688" s="10"/>
      <c r="H688" s="22"/>
      <c r="I688" s="10"/>
    </row>
    <row r="689" spans="6:9" s="9" customFormat="1">
      <c r="F689" s="145"/>
      <c r="G689" s="10"/>
      <c r="H689" s="22"/>
      <c r="I689" s="10"/>
    </row>
    <row r="690" spans="6:9" s="9" customFormat="1">
      <c r="F690" s="145"/>
      <c r="G690" s="10"/>
      <c r="H690" s="22"/>
      <c r="I690" s="10"/>
    </row>
    <row r="691" spans="6:9" s="9" customFormat="1">
      <c r="F691" s="145"/>
      <c r="G691" s="10"/>
      <c r="H691" s="22"/>
      <c r="I691" s="10"/>
    </row>
    <row r="692" spans="6:9" s="9" customFormat="1">
      <c r="F692" s="145"/>
      <c r="G692" s="10"/>
      <c r="H692" s="22"/>
      <c r="I692" s="10"/>
    </row>
    <row r="693" spans="6:9" s="9" customFormat="1">
      <c r="F693" s="145"/>
      <c r="G693" s="10"/>
      <c r="H693" s="22"/>
      <c r="I693" s="10"/>
    </row>
    <row r="694" spans="6:9" s="9" customFormat="1">
      <c r="F694" s="145"/>
      <c r="G694" s="10"/>
      <c r="H694" s="22"/>
      <c r="I694" s="10"/>
    </row>
    <row r="695" spans="6:9" s="9" customFormat="1">
      <c r="F695" s="145"/>
      <c r="G695" s="10"/>
      <c r="H695" s="22"/>
      <c r="I695" s="10"/>
    </row>
    <row r="696" spans="6:9" s="9" customFormat="1">
      <c r="F696" s="145"/>
      <c r="G696" s="10"/>
      <c r="H696" s="22"/>
      <c r="I696" s="10"/>
    </row>
    <row r="697" spans="6:9" s="9" customFormat="1">
      <c r="F697" s="145"/>
      <c r="G697" s="10"/>
      <c r="H697" s="22"/>
      <c r="I697" s="10"/>
    </row>
    <row r="698" spans="6:9" s="9" customFormat="1">
      <c r="F698" s="145"/>
      <c r="G698" s="10"/>
      <c r="H698" s="22"/>
      <c r="I698" s="10"/>
    </row>
    <row r="699" spans="6:9" s="9" customFormat="1">
      <c r="F699" s="145"/>
      <c r="G699" s="10"/>
      <c r="H699" s="22"/>
      <c r="I699" s="10"/>
    </row>
    <row r="700" spans="6:9" s="9" customFormat="1">
      <c r="F700" s="145"/>
      <c r="G700" s="10"/>
      <c r="H700" s="22"/>
      <c r="I700" s="10"/>
    </row>
    <row r="701" spans="6:9" s="9" customFormat="1">
      <c r="F701" s="145"/>
      <c r="G701" s="10"/>
      <c r="H701" s="22"/>
      <c r="I701" s="10"/>
    </row>
    <row r="702" spans="6:9" s="9" customFormat="1">
      <c r="F702" s="145"/>
      <c r="G702" s="10"/>
      <c r="H702" s="22"/>
      <c r="I702" s="10"/>
    </row>
    <row r="703" spans="6:9" s="9" customFormat="1">
      <c r="F703" s="145"/>
      <c r="G703" s="10"/>
      <c r="H703" s="22"/>
      <c r="I703" s="10"/>
    </row>
    <row r="704" spans="6:9" s="9" customFormat="1">
      <c r="F704" s="145"/>
      <c r="G704" s="10"/>
      <c r="H704" s="22"/>
      <c r="I704" s="10"/>
    </row>
    <row r="705" spans="6:9" s="9" customFormat="1">
      <c r="F705" s="145"/>
      <c r="G705" s="10"/>
      <c r="H705" s="22"/>
      <c r="I705" s="10"/>
    </row>
    <row r="706" spans="6:9" s="9" customFormat="1">
      <c r="F706" s="145"/>
      <c r="G706" s="10"/>
      <c r="H706" s="22"/>
      <c r="I706" s="10"/>
    </row>
    <row r="707" spans="6:9" s="9" customFormat="1">
      <c r="F707" s="145"/>
      <c r="G707" s="10"/>
      <c r="H707" s="22"/>
      <c r="I707" s="10"/>
    </row>
    <row r="708" spans="6:9" s="9" customFormat="1">
      <c r="F708" s="145"/>
      <c r="G708" s="10"/>
      <c r="H708" s="22"/>
      <c r="I708" s="10"/>
    </row>
    <row r="709" spans="6:9" s="9" customFormat="1">
      <c r="F709" s="145"/>
      <c r="G709" s="10"/>
      <c r="H709" s="22"/>
      <c r="I709" s="10"/>
    </row>
    <row r="710" spans="6:9" s="9" customFormat="1">
      <c r="F710" s="145"/>
      <c r="G710" s="10"/>
      <c r="H710" s="22"/>
      <c r="I710" s="10"/>
    </row>
    <row r="711" spans="6:9" s="9" customFormat="1">
      <c r="F711" s="145"/>
      <c r="G711" s="10"/>
      <c r="H711" s="22"/>
      <c r="I711" s="10"/>
    </row>
    <row r="712" spans="6:9" s="9" customFormat="1">
      <c r="F712" s="145"/>
      <c r="G712" s="10"/>
      <c r="H712" s="22"/>
      <c r="I712" s="10"/>
    </row>
    <row r="713" spans="6:9" s="9" customFormat="1">
      <c r="F713" s="145"/>
      <c r="G713" s="10"/>
      <c r="H713" s="22"/>
      <c r="I713" s="10"/>
    </row>
    <row r="714" spans="6:9" s="9" customFormat="1">
      <c r="F714" s="145"/>
      <c r="G714" s="10"/>
      <c r="H714" s="22"/>
      <c r="I714" s="10"/>
    </row>
    <row r="715" spans="6:9" s="9" customFormat="1">
      <c r="F715" s="145"/>
      <c r="G715" s="10"/>
      <c r="H715" s="22"/>
      <c r="I715" s="10"/>
    </row>
    <row r="716" spans="6:9" s="9" customFormat="1">
      <c r="F716" s="145"/>
      <c r="G716" s="10"/>
      <c r="H716" s="22"/>
      <c r="I716" s="10"/>
    </row>
    <row r="717" spans="6:9" s="9" customFormat="1">
      <c r="F717" s="145"/>
      <c r="G717" s="10"/>
      <c r="H717" s="22"/>
      <c r="I717" s="10"/>
    </row>
    <row r="718" spans="6:9" s="9" customFormat="1">
      <c r="F718" s="145"/>
      <c r="G718" s="10"/>
      <c r="H718" s="22"/>
      <c r="I718" s="10"/>
    </row>
    <row r="719" spans="6:9" s="9" customFormat="1">
      <c r="F719" s="145"/>
      <c r="G719" s="10"/>
      <c r="H719" s="22"/>
      <c r="I719" s="10"/>
    </row>
    <row r="720" spans="6:9" s="9" customFormat="1">
      <c r="F720" s="145"/>
      <c r="G720" s="10"/>
      <c r="H720" s="22"/>
      <c r="I720" s="10"/>
    </row>
    <row r="721" spans="6:9" s="9" customFormat="1">
      <c r="F721" s="145"/>
      <c r="G721" s="10"/>
      <c r="H721" s="22"/>
      <c r="I721" s="10"/>
    </row>
    <row r="722" spans="6:9" s="9" customFormat="1">
      <c r="F722" s="145"/>
      <c r="G722" s="10"/>
      <c r="H722" s="22"/>
      <c r="I722" s="10"/>
    </row>
    <row r="723" spans="6:9" s="9" customFormat="1">
      <c r="F723" s="145"/>
      <c r="G723" s="10"/>
      <c r="H723" s="22"/>
      <c r="I723" s="10"/>
    </row>
    <row r="724" spans="6:9" s="9" customFormat="1">
      <c r="F724" s="145"/>
      <c r="G724" s="10"/>
      <c r="H724" s="22"/>
      <c r="I724" s="10"/>
    </row>
    <row r="725" spans="6:9" s="9" customFormat="1">
      <c r="F725" s="145"/>
      <c r="G725" s="10"/>
      <c r="H725" s="22"/>
      <c r="I725" s="10"/>
    </row>
    <row r="726" spans="6:9" s="9" customFormat="1">
      <c r="F726" s="145"/>
      <c r="G726" s="10"/>
      <c r="H726" s="22"/>
      <c r="I726" s="10"/>
    </row>
    <row r="727" spans="6:9" s="9" customFormat="1">
      <c r="F727" s="145"/>
      <c r="G727" s="10"/>
      <c r="H727" s="22"/>
      <c r="I727" s="10"/>
    </row>
    <row r="728" spans="6:9" s="9" customFormat="1">
      <c r="F728" s="145"/>
      <c r="G728" s="10"/>
      <c r="H728" s="22"/>
      <c r="I728" s="10"/>
    </row>
    <row r="729" spans="6:9" s="9" customFormat="1">
      <c r="F729" s="145"/>
      <c r="G729" s="10"/>
      <c r="H729" s="22"/>
      <c r="I729" s="10"/>
    </row>
    <row r="730" spans="6:9" s="9" customFormat="1">
      <c r="F730" s="145"/>
      <c r="G730" s="10"/>
      <c r="H730" s="22"/>
      <c r="I730" s="10"/>
    </row>
    <row r="731" spans="6:9" s="9" customFormat="1">
      <c r="F731" s="145"/>
      <c r="G731" s="10"/>
      <c r="H731" s="22"/>
      <c r="I731" s="10"/>
    </row>
    <row r="732" spans="6:9" s="9" customFormat="1">
      <c r="F732" s="145"/>
      <c r="G732" s="10"/>
      <c r="H732" s="22"/>
      <c r="I732" s="10"/>
    </row>
    <row r="733" spans="6:9" s="9" customFormat="1">
      <c r="F733" s="145"/>
      <c r="G733" s="10"/>
      <c r="H733" s="22"/>
      <c r="I733" s="10"/>
    </row>
    <row r="734" spans="6:9" s="9" customFormat="1">
      <c r="F734" s="145"/>
      <c r="G734" s="10"/>
      <c r="H734" s="22"/>
      <c r="I734" s="10"/>
    </row>
    <row r="735" spans="6:9" s="9" customFormat="1">
      <c r="F735" s="145"/>
      <c r="G735" s="10"/>
      <c r="H735" s="22"/>
      <c r="I735" s="10"/>
    </row>
    <row r="736" spans="6:9" s="9" customFormat="1">
      <c r="F736" s="145"/>
      <c r="G736" s="10"/>
      <c r="H736" s="22"/>
      <c r="I736" s="10"/>
    </row>
    <row r="737" spans="6:9" s="9" customFormat="1">
      <c r="F737" s="145"/>
      <c r="G737" s="10"/>
      <c r="H737" s="22"/>
      <c r="I737" s="10"/>
    </row>
    <row r="738" spans="6:9" s="9" customFormat="1">
      <c r="F738" s="145"/>
      <c r="G738" s="10"/>
      <c r="H738" s="22"/>
      <c r="I738" s="10"/>
    </row>
    <row r="739" spans="6:9" s="9" customFormat="1">
      <c r="F739" s="145"/>
      <c r="G739" s="10"/>
      <c r="H739" s="22"/>
      <c r="I739" s="10"/>
    </row>
    <row r="740" spans="6:9" s="9" customFormat="1">
      <c r="F740" s="145"/>
      <c r="G740" s="10"/>
      <c r="H740" s="22"/>
      <c r="I740" s="10"/>
    </row>
    <row r="741" spans="6:9" s="9" customFormat="1">
      <c r="F741" s="145"/>
      <c r="G741" s="10"/>
      <c r="H741" s="22"/>
      <c r="I741" s="10"/>
    </row>
    <row r="742" spans="6:9" s="9" customFormat="1">
      <c r="F742" s="145"/>
      <c r="G742" s="10"/>
      <c r="H742" s="22"/>
      <c r="I742" s="10"/>
    </row>
    <row r="743" spans="6:9" s="9" customFormat="1">
      <c r="F743" s="145"/>
      <c r="G743" s="10"/>
      <c r="H743" s="22"/>
      <c r="I743" s="10"/>
    </row>
    <row r="744" spans="6:9" s="9" customFormat="1">
      <c r="F744" s="145"/>
      <c r="G744" s="10"/>
      <c r="H744" s="22"/>
      <c r="I744" s="10"/>
    </row>
    <row r="745" spans="6:9" s="9" customFormat="1">
      <c r="F745" s="145"/>
      <c r="G745" s="10"/>
      <c r="H745" s="22"/>
      <c r="I745" s="10"/>
    </row>
    <row r="746" spans="6:9" s="9" customFormat="1">
      <c r="F746" s="145"/>
      <c r="G746" s="10"/>
      <c r="H746" s="22"/>
      <c r="I746" s="10"/>
    </row>
    <row r="747" spans="6:9" s="9" customFormat="1">
      <c r="F747" s="145"/>
      <c r="G747" s="10"/>
      <c r="H747" s="22"/>
      <c r="I747" s="10"/>
    </row>
    <row r="748" spans="6:9" s="9" customFormat="1">
      <c r="F748" s="145"/>
      <c r="G748" s="10"/>
      <c r="H748" s="22"/>
      <c r="I748" s="10"/>
    </row>
    <row r="749" spans="6:9" s="9" customFormat="1">
      <c r="F749" s="145"/>
      <c r="G749" s="10"/>
      <c r="H749" s="22"/>
      <c r="I749" s="10"/>
    </row>
    <row r="750" spans="6:9" s="9" customFormat="1">
      <c r="F750" s="145"/>
      <c r="G750" s="10"/>
      <c r="H750" s="22"/>
      <c r="I750" s="10"/>
    </row>
    <row r="751" spans="6:9" s="9" customFormat="1">
      <c r="F751" s="145"/>
      <c r="G751" s="10"/>
      <c r="H751" s="22"/>
      <c r="I751" s="10"/>
    </row>
    <row r="752" spans="6:9" s="9" customFormat="1">
      <c r="F752" s="145"/>
      <c r="G752" s="10"/>
      <c r="H752" s="22"/>
      <c r="I752" s="10"/>
    </row>
    <row r="753" spans="6:9" s="9" customFormat="1">
      <c r="F753" s="145"/>
      <c r="G753" s="10"/>
      <c r="H753" s="22"/>
      <c r="I753" s="10"/>
    </row>
    <row r="754" spans="6:9" s="9" customFormat="1">
      <c r="F754" s="145"/>
      <c r="G754" s="10"/>
      <c r="H754" s="22"/>
      <c r="I754" s="10"/>
    </row>
    <row r="755" spans="6:9" s="9" customFormat="1">
      <c r="F755" s="145"/>
      <c r="G755" s="10"/>
      <c r="H755" s="22"/>
      <c r="I755" s="10"/>
    </row>
    <row r="756" spans="6:9" s="9" customFormat="1">
      <c r="F756" s="145"/>
      <c r="G756" s="10"/>
      <c r="H756" s="22"/>
      <c r="I756" s="10"/>
    </row>
    <row r="757" spans="6:9" s="9" customFormat="1">
      <c r="F757" s="145"/>
      <c r="G757" s="10"/>
      <c r="H757" s="22"/>
      <c r="I757" s="10"/>
    </row>
    <row r="758" spans="6:9" s="9" customFormat="1">
      <c r="F758" s="145"/>
      <c r="G758" s="10"/>
      <c r="H758" s="22"/>
      <c r="I758" s="10"/>
    </row>
    <row r="759" spans="6:9" s="9" customFormat="1">
      <c r="F759" s="145"/>
      <c r="G759" s="10"/>
      <c r="H759" s="22"/>
      <c r="I759" s="10"/>
    </row>
    <row r="760" spans="6:9" s="9" customFormat="1">
      <c r="F760" s="145"/>
      <c r="G760" s="10"/>
      <c r="H760" s="22"/>
      <c r="I760" s="10"/>
    </row>
    <row r="761" spans="6:9" s="9" customFormat="1">
      <c r="F761" s="145"/>
      <c r="G761" s="10"/>
      <c r="H761" s="22"/>
      <c r="I761" s="10"/>
    </row>
    <row r="762" spans="6:9" s="9" customFormat="1">
      <c r="F762" s="145"/>
      <c r="G762" s="10"/>
      <c r="H762" s="22"/>
      <c r="I762" s="10"/>
    </row>
    <row r="763" spans="6:9" s="9" customFormat="1">
      <c r="F763" s="145"/>
      <c r="G763" s="10"/>
      <c r="H763" s="22"/>
      <c r="I763" s="10"/>
    </row>
    <row r="764" spans="6:9" s="9" customFormat="1">
      <c r="F764" s="145"/>
      <c r="G764" s="10"/>
      <c r="H764" s="22"/>
      <c r="I764" s="10"/>
    </row>
    <row r="765" spans="6:9" s="9" customFormat="1">
      <c r="F765" s="145"/>
      <c r="G765" s="10"/>
      <c r="H765" s="22"/>
      <c r="I765" s="10"/>
    </row>
    <row r="766" spans="6:9" s="9" customFormat="1">
      <c r="F766" s="145"/>
      <c r="G766" s="10"/>
      <c r="H766" s="22"/>
      <c r="I766" s="10"/>
    </row>
    <row r="767" spans="6:9" s="9" customFormat="1">
      <c r="F767" s="145"/>
      <c r="G767" s="10"/>
      <c r="H767" s="22"/>
      <c r="I767" s="10"/>
    </row>
    <row r="768" spans="6:9" s="9" customFormat="1">
      <c r="F768" s="145"/>
      <c r="G768" s="10"/>
      <c r="H768" s="22"/>
      <c r="I768" s="10"/>
    </row>
    <row r="769" spans="6:9" s="9" customFormat="1">
      <c r="F769" s="145"/>
      <c r="G769" s="10"/>
      <c r="H769" s="22"/>
      <c r="I769" s="10"/>
    </row>
    <row r="770" spans="6:9" s="9" customFormat="1">
      <c r="F770" s="145"/>
      <c r="G770" s="10"/>
      <c r="H770" s="22"/>
      <c r="I770" s="10"/>
    </row>
    <row r="771" spans="6:9" s="9" customFormat="1">
      <c r="F771" s="145"/>
      <c r="G771" s="10"/>
      <c r="H771" s="22"/>
      <c r="I771" s="10"/>
    </row>
    <row r="772" spans="6:9" s="9" customFormat="1">
      <c r="F772" s="145"/>
      <c r="G772" s="10"/>
      <c r="H772" s="22"/>
      <c r="I772" s="10"/>
    </row>
    <row r="773" spans="6:9" s="9" customFormat="1">
      <c r="F773" s="145"/>
      <c r="G773" s="10"/>
      <c r="H773" s="22"/>
      <c r="I773" s="10"/>
    </row>
    <row r="774" spans="6:9" s="9" customFormat="1">
      <c r="F774" s="145"/>
      <c r="G774" s="10"/>
      <c r="H774" s="22"/>
      <c r="I774" s="10"/>
    </row>
    <row r="775" spans="6:9" s="9" customFormat="1">
      <c r="F775" s="145"/>
      <c r="G775" s="10"/>
      <c r="H775" s="22"/>
      <c r="I775" s="10"/>
    </row>
    <row r="776" spans="6:9" s="9" customFormat="1">
      <c r="F776" s="145"/>
      <c r="G776" s="10"/>
      <c r="H776" s="22"/>
      <c r="I776" s="10"/>
    </row>
    <row r="777" spans="6:9" s="9" customFormat="1">
      <c r="F777" s="145"/>
      <c r="G777" s="10"/>
      <c r="H777" s="22"/>
      <c r="I777" s="10"/>
    </row>
    <row r="778" spans="6:9" s="9" customFormat="1">
      <c r="F778" s="145"/>
      <c r="G778" s="10"/>
      <c r="H778" s="22"/>
      <c r="I778" s="10"/>
    </row>
    <row r="779" spans="6:9" s="9" customFormat="1">
      <c r="F779" s="145"/>
      <c r="G779" s="10"/>
      <c r="H779" s="22"/>
      <c r="I779" s="10"/>
    </row>
    <row r="780" spans="6:9" s="9" customFormat="1">
      <c r="F780" s="145"/>
      <c r="G780" s="10"/>
      <c r="H780" s="22"/>
      <c r="I780" s="10"/>
    </row>
    <row r="781" spans="6:9" s="9" customFormat="1">
      <c r="F781" s="145"/>
      <c r="G781" s="10"/>
      <c r="H781" s="22"/>
      <c r="I781" s="10"/>
    </row>
    <row r="782" spans="6:9" s="9" customFormat="1">
      <c r="F782" s="145"/>
      <c r="G782" s="10"/>
      <c r="H782" s="22"/>
      <c r="I782" s="10"/>
    </row>
    <row r="783" spans="6:9" s="9" customFormat="1">
      <c r="F783" s="145"/>
      <c r="G783" s="10"/>
      <c r="H783" s="22"/>
      <c r="I783" s="10"/>
    </row>
    <row r="784" spans="6:9" s="9" customFormat="1">
      <c r="F784" s="145"/>
      <c r="G784" s="10"/>
      <c r="H784" s="22"/>
      <c r="I784" s="10"/>
    </row>
    <row r="785" spans="6:9" s="9" customFormat="1">
      <c r="F785" s="145"/>
      <c r="G785" s="10"/>
      <c r="H785" s="22"/>
      <c r="I785" s="10"/>
    </row>
    <row r="786" spans="6:9" s="9" customFormat="1">
      <c r="F786" s="145"/>
      <c r="G786" s="10"/>
      <c r="H786" s="22"/>
      <c r="I786" s="10"/>
    </row>
    <row r="787" spans="6:9" s="9" customFormat="1">
      <c r="F787" s="145"/>
      <c r="G787" s="10"/>
      <c r="H787" s="22"/>
      <c r="I787" s="10"/>
    </row>
    <row r="788" spans="6:9" s="9" customFormat="1">
      <c r="F788" s="145"/>
      <c r="G788" s="10"/>
      <c r="H788" s="22"/>
      <c r="I788" s="10"/>
    </row>
    <row r="789" spans="6:9" s="9" customFormat="1">
      <c r="F789" s="145"/>
      <c r="G789" s="10"/>
      <c r="H789" s="22"/>
      <c r="I789" s="10"/>
    </row>
    <row r="790" spans="6:9" s="9" customFormat="1">
      <c r="F790" s="145"/>
      <c r="G790" s="10"/>
      <c r="H790" s="22"/>
      <c r="I790" s="10"/>
    </row>
    <row r="791" spans="6:9" s="9" customFormat="1">
      <c r="F791" s="145"/>
      <c r="G791" s="10"/>
      <c r="H791" s="22"/>
      <c r="I791" s="10"/>
    </row>
    <row r="792" spans="6:9" s="9" customFormat="1">
      <c r="F792" s="145"/>
      <c r="G792" s="10"/>
      <c r="H792" s="22"/>
      <c r="I792" s="10"/>
    </row>
    <row r="793" spans="6:9" s="9" customFormat="1">
      <c r="F793" s="145"/>
      <c r="G793" s="10"/>
      <c r="H793" s="22"/>
      <c r="I793" s="10"/>
    </row>
    <row r="794" spans="6:9" s="9" customFormat="1">
      <c r="F794" s="145"/>
      <c r="G794" s="10"/>
      <c r="H794" s="22"/>
      <c r="I794" s="10"/>
    </row>
    <row r="795" spans="6:9" s="9" customFormat="1">
      <c r="F795" s="145"/>
      <c r="G795" s="10"/>
      <c r="H795" s="22"/>
      <c r="I795" s="10"/>
    </row>
    <row r="796" spans="6:9" s="9" customFormat="1">
      <c r="F796" s="145"/>
      <c r="G796" s="10"/>
      <c r="H796" s="22"/>
      <c r="I796" s="10"/>
    </row>
    <row r="797" spans="6:9" s="9" customFormat="1">
      <c r="F797" s="145"/>
      <c r="G797" s="10"/>
      <c r="H797" s="22"/>
      <c r="I797" s="10"/>
    </row>
    <row r="798" spans="6:9" s="9" customFormat="1">
      <c r="F798" s="145"/>
      <c r="G798" s="10"/>
      <c r="H798" s="22"/>
      <c r="I798" s="10"/>
    </row>
    <row r="799" spans="6:9" s="9" customFormat="1">
      <c r="F799" s="145"/>
      <c r="G799" s="10"/>
      <c r="H799" s="22"/>
      <c r="I799" s="10"/>
    </row>
    <row r="800" spans="6:9" s="9" customFormat="1">
      <c r="F800" s="145"/>
      <c r="G800" s="10"/>
      <c r="H800" s="22"/>
      <c r="I800" s="10"/>
    </row>
    <row r="801" spans="6:9" s="9" customFormat="1">
      <c r="F801" s="145"/>
      <c r="G801" s="10"/>
      <c r="H801" s="22"/>
      <c r="I801" s="10"/>
    </row>
    <row r="802" spans="6:9" s="9" customFormat="1">
      <c r="F802" s="145"/>
      <c r="G802" s="10"/>
      <c r="H802" s="22"/>
      <c r="I802" s="10"/>
    </row>
    <row r="803" spans="6:9" s="9" customFormat="1">
      <c r="F803" s="145"/>
      <c r="G803" s="10"/>
      <c r="H803" s="22"/>
      <c r="I803" s="10"/>
    </row>
    <row r="804" spans="6:9" s="9" customFormat="1">
      <c r="F804" s="145"/>
      <c r="G804" s="10"/>
      <c r="H804" s="22"/>
      <c r="I804" s="10"/>
    </row>
    <row r="805" spans="6:9" s="9" customFormat="1">
      <c r="F805" s="145"/>
      <c r="G805" s="10"/>
      <c r="H805" s="22"/>
      <c r="I805" s="10"/>
    </row>
    <row r="806" spans="6:9" s="9" customFormat="1">
      <c r="F806" s="145"/>
      <c r="G806" s="10"/>
      <c r="H806" s="22"/>
      <c r="I806" s="10"/>
    </row>
    <row r="807" spans="6:9" s="9" customFormat="1">
      <c r="F807" s="145"/>
      <c r="G807" s="10"/>
      <c r="H807" s="22"/>
      <c r="I807" s="10"/>
    </row>
    <row r="808" spans="6:9" s="9" customFormat="1">
      <c r="F808" s="145"/>
      <c r="G808" s="10"/>
      <c r="H808" s="22"/>
      <c r="I808" s="10"/>
    </row>
    <row r="809" spans="6:9" s="9" customFormat="1">
      <c r="F809" s="145"/>
      <c r="G809" s="10"/>
      <c r="H809" s="22"/>
      <c r="I809" s="10"/>
    </row>
    <row r="810" spans="6:9" s="9" customFormat="1">
      <c r="F810" s="145"/>
      <c r="G810" s="10"/>
      <c r="H810" s="22"/>
      <c r="I810" s="10"/>
    </row>
    <row r="811" spans="6:9" s="9" customFormat="1">
      <c r="F811" s="145"/>
      <c r="G811" s="10"/>
      <c r="H811" s="22"/>
      <c r="I811" s="10"/>
    </row>
    <row r="812" spans="6:9" s="9" customFormat="1">
      <c r="F812" s="145"/>
      <c r="G812" s="10"/>
      <c r="H812" s="22"/>
      <c r="I812" s="10"/>
    </row>
    <row r="813" spans="6:9" s="9" customFormat="1">
      <c r="F813" s="145"/>
      <c r="G813" s="10"/>
      <c r="H813" s="22"/>
      <c r="I813" s="10"/>
    </row>
    <row r="814" spans="6:9" s="9" customFormat="1">
      <c r="F814" s="145"/>
      <c r="G814" s="10"/>
      <c r="H814" s="22"/>
      <c r="I814" s="10"/>
    </row>
    <row r="815" spans="6:9" s="9" customFormat="1">
      <c r="F815" s="145"/>
      <c r="G815" s="10"/>
      <c r="H815" s="22"/>
      <c r="I815" s="10"/>
    </row>
    <row r="816" spans="6:9" s="9" customFormat="1">
      <c r="F816" s="145"/>
      <c r="G816" s="10"/>
      <c r="H816" s="22"/>
      <c r="I816" s="10"/>
    </row>
    <row r="817" spans="6:9" s="9" customFormat="1">
      <c r="F817" s="145"/>
      <c r="G817" s="10"/>
      <c r="H817" s="22"/>
      <c r="I817" s="10"/>
    </row>
    <row r="818" spans="6:9" s="9" customFormat="1">
      <c r="F818" s="145"/>
      <c r="G818" s="10"/>
      <c r="H818" s="22"/>
      <c r="I818" s="10"/>
    </row>
    <row r="819" spans="6:9" s="9" customFormat="1">
      <c r="F819" s="145"/>
      <c r="G819" s="10"/>
      <c r="H819" s="22"/>
      <c r="I819" s="10"/>
    </row>
    <row r="820" spans="6:9" s="9" customFormat="1">
      <c r="F820" s="145"/>
      <c r="G820" s="10"/>
      <c r="H820" s="22"/>
      <c r="I820" s="10"/>
    </row>
    <row r="821" spans="6:9" s="9" customFormat="1">
      <c r="F821" s="145"/>
      <c r="G821" s="10"/>
      <c r="H821" s="22"/>
      <c r="I821" s="10"/>
    </row>
    <row r="822" spans="6:9" s="9" customFormat="1">
      <c r="F822" s="145"/>
      <c r="G822" s="10"/>
      <c r="H822" s="22"/>
      <c r="I822" s="10"/>
    </row>
    <row r="823" spans="6:9" s="9" customFormat="1">
      <c r="F823" s="145"/>
      <c r="G823" s="10"/>
      <c r="H823" s="22"/>
      <c r="I823" s="10"/>
    </row>
    <row r="824" spans="6:9" s="9" customFormat="1">
      <c r="F824" s="145"/>
      <c r="G824" s="10"/>
      <c r="H824" s="22"/>
      <c r="I824" s="10"/>
    </row>
    <row r="825" spans="6:9" s="9" customFormat="1">
      <c r="F825" s="145"/>
      <c r="G825" s="10"/>
      <c r="H825" s="22"/>
      <c r="I825" s="10"/>
    </row>
    <row r="826" spans="6:9" s="9" customFormat="1">
      <c r="F826" s="145"/>
      <c r="G826" s="10"/>
      <c r="H826" s="22"/>
      <c r="I826" s="10"/>
    </row>
    <row r="827" spans="6:9" s="9" customFormat="1">
      <c r="F827" s="145"/>
      <c r="G827" s="10"/>
      <c r="H827" s="22"/>
      <c r="I827" s="10"/>
    </row>
    <row r="828" spans="6:9" s="9" customFormat="1">
      <c r="F828" s="145"/>
      <c r="G828" s="10"/>
      <c r="H828" s="22"/>
      <c r="I828" s="10"/>
    </row>
    <row r="829" spans="6:9" s="9" customFormat="1">
      <c r="F829" s="145"/>
      <c r="G829" s="10"/>
      <c r="H829" s="22"/>
      <c r="I829" s="10"/>
    </row>
    <row r="830" spans="6:9" s="9" customFormat="1">
      <c r="F830" s="145"/>
      <c r="G830" s="10"/>
      <c r="H830" s="22"/>
      <c r="I830" s="10"/>
    </row>
    <row r="831" spans="6:9" s="9" customFormat="1">
      <c r="F831" s="145"/>
      <c r="G831" s="10"/>
      <c r="H831" s="22"/>
      <c r="I831" s="10"/>
    </row>
    <row r="832" spans="6:9" s="9" customFormat="1">
      <c r="F832" s="145"/>
      <c r="G832" s="10"/>
      <c r="H832" s="22"/>
      <c r="I832" s="10"/>
    </row>
    <row r="833" spans="6:9" s="9" customFormat="1">
      <c r="F833" s="145"/>
      <c r="G833" s="10"/>
      <c r="H833" s="22"/>
      <c r="I833" s="10"/>
    </row>
    <row r="834" spans="6:9" s="9" customFormat="1">
      <c r="F834" s="145"/>
      <c r="G834" s="10"/>
      <c r="H834" s="22"/>
      <c r="I834" s="10"/>
    </row>
    <row r="835" spans="6:9" s="9" customFormat="1">
      <c r="F835" s="145"/>
      <c r="G835" s="10"/>
      <c r="H835" s="22"/>
      <c r="I835" s="10"/>
    </row>
    <row r="836" spans="6:9" s="9" customFormat="1">
      <c r="F836" s="145"/>
      <c r="G836" s="10"/>
      <c r="H836" s="22"/>
      <c r="I836" s="10"/>
    </row>
    <row r="837" spans="6:9" s="9" customFormat="1">
      <c r="F837" s="145"/>
      <c r="G837" s="10"/>
      <c r="H837" s="22"/>
      <c r="I837" s="10"/>
    </row>
    <row r="838" spans="6:9" s="9" customFormat="1">
      <c r="F838" s="145"/>
      <c r="G838" s="10"/>
      <c r="H838" s="22"/>
      <c r="I838" s="10"/>
    </row>
    <row r="839" spans="6:9" s="9" customFormat="1">
      <c r="F839" s="145"/>
      <c r="G839" s="10"/>
      <c r="H839" s="22"/>
      <c r="I839" s="10"/>
    </row>
    <row r="840" spans="6:9" s="9" customFormat="1">
      <c r="F840" s="145"/>
      <c r="G840" s="10"/>
      <c r="H840" s="22"/>
      <c r="I840" s="10"/>
    </row>
    <row r="841" spans="6:9" s="9" customFormat="1">
      <c r="F841" s="145"/>
      <c r="G841" s="10"/>
      <c r="H841" s="22"/>
      <c r="I841" s="10"/>
    </row>
    <row r="842" spans="6:9" s="9" customFormat="1">
      <c r="F842" s="145"/>
      <c r="G842" s="10"/>
      <c r="H842" s="22"/>
      <c r="I842" s="10"/>
    </row>
    <row r="843" spans="6:9" s="9" customFormat="1">
      <c r="F843" s="145"/>
      <c r="G843" s="10"/>
      <c r="H843" s="22"/>
      <c r="I843" s="10"/>
    </row>
    <row r="844" spans="6:9" s="9" customFormat="1">
      <c r="F844" s="145"/>
      <c r="G844" s="10"/>
      <c r="H844" s="22"/>
      <c r="I844" s="10"/>
    </row>
    <row r="845" spans="6:9" s="9" customFormat="1">
      <c r="F845" s="145"/>
      <c r="G845" s="10"/>
      <c r="H845" s="22"/>
      <c r="I845" s="10"/>
    </row>
    <row r="846" spans="6:9" s="9" customFormat="1">
      <c r="F846" s="145"/>
      <c r="G846" s="10"/>
      <c r="H846" s="22"/>
      <c r="I846" s="10"/>
    </row>
    <row r="847" spans="6:9" s="9" customFormat="1">
      <c r="F847" s="145"/>
      <c r="G847" s="10"/>
      <c r="H847" s="22"/>
      <c r="I847" s="10"/>
    </row>
    <row r="848" spans="6:9" s="9" customFormat="1">
      <c r="F848" s="145"/>
      <c r="G848" s="10"/>
      <c r="H848" s="22"/>
      <c r="I848" s="10"/>
    </row>
    <row r="849" spans="6:9" s="9" customFormat="1">
      <c r="F849" s="145"/>
      <c r="G849" s="10"/>
      <c r="H849" s="22"/>
      <c r="I849" s="10"/>
    </row>
    <row r="850" spans="6:9" s="9" customFormat="1">
      <c r="F850" s="145"/>
      <c r="G850" s="10"/>
      <c r="H850" s="22"/>
      <c r="I850" s="10"/>
    </row>
    <row r="851" spans="6:9" s="9" customFormat="1">
      <c r="F851" s="145"/>
      <c r="G851" s="10"/>
      <c r="H851" s="22"/>
      <c r="I851" s="10"/>
    </row>
    <row r="852" spans="6:9" s="9" customFormat="1">
      <c r="F852" s="145"/>
      <c r="G852" s="10"/>
      <c r="H852" s="22"/>
      <c r="I852" s="10"/>
    </row>
    <row r="853" spans="6:9" s="9" customFormat="1">
      <c r="F853" s="145"/>
      <c r="G853" s="10"/>
      <c r="H853" s="22"/>
      <c r="I853" s="10"/>
    </row>
    <row r="854" spans="6:9" s="9" customFormat="1">
      <c r="F854" s="145"/>
      <c r="G854" s="10"/>
      <c r="H854" s="22"/>
      <c r="I854" s="10"/>
    </row>
    <row r="855" spans="6:9" s="9" customFormat="1">
      <c r="F855" s="145"/>
      <c r="G855" s="10"/>
      <c r="H855" s="22"/>
      <c r="I855" s="10"/>
    </row>
    <row r="856" spans="6:9" s="9" customFormat="1">
      <c r="F856" s="145"/>
      <c r="G856" s="10"/>
      <c r="H856" s="22"/>
      <c r="I856" s="10"/>
    </row>
    <row r="857" spans="6:9" s="9" customFormat="1">
      <c r="F857" s="145"/>
      <c r="G857" s="10"/>
      <c r="H857" s="22"/>
      <c r="I857" s="10"/>
    </row>
    <row r="858" spans="6:9" s="9" customFormat="1">
      <c r="F858" s="145"/>
      <c r="G858" s="10"/>
      <c r="H858" s="22"/>
      <c r="I858" s="10"/>
    </row>
    <row r="859" spans="6:9" s="9" customFormat="1">
      <c r="F859" s="145"/>
      <c r="G859" s="10"/>
      <c r="H859" s="22"/>
      <c r="I859" s="10"/>
    </row>
    <row r="860" spans="6:9" s="9" customFormat="1">
      <c r="F860" s="145"/>
      <c r="G860" s="10"/>
      <c r="H860" s="22"/>
      <c r="I860" s="10"/>
    </row>
    <row r="861" spans="6:9" s="9" customFormat="1">
      <c r="F861" s="145"/>
      <c r="G861" s="10"/>
      <c r="H861" s="22"/>
      <c r="I861" s="10"/>
    </row>
    <row r="862" spans="6:9" s="9" customFormat="1">
      <c r="F862" s="145"/>
      <c r="G862" s="10"/>
      <c r="H862" s="22"/>
      <c r="I862" s="10"/>
    </row>
    <row r="863" spans="6:9" s="9" customFormat="1">
      <c r="F863" s="145"/>
      <c r="G863" s="10"/>
      <c r="H863" s="22"/>
      <c r="I863" s="10"/>
    </row>
    <row r="864" spans="6:9" s="9" customFormat="1">
      <c r="F864" s="145"/>
      <c r="G864" s="10"/>
      <c r="H864" s="22"/>
      <c r="I864" s="10"/>
    </row>
    <row r="865" spans="6:9" s="9" customFormat="1">
      <c r="F865" s="145"/>
      <c r="G865" s="10"/>
      <c r="H865" s="22"/>
      <c r="I865" s="10"/>
    </row>
    <row r="866" spans="6:9" s="9" customFormat="1">
      <c r="F866" s="145"/>
      <c r="G866" s="10"/>
      <c r="H866" s="22"/>
      <c r="I866" s="10"/>
    </row>
    <row r="867" spans="6:9" s="9" customFormat="1">
      <c r="F867" s="145"/>
      <c r="G867" s="10"/>
      <c r="H867" s="22"/>
      <c r="I867" s="10"/>
    </row>
    <row r="868" spans="6:9" s="9" customFormat="1">
      <c r="F868" s="145"/>
      <c r="G868" s="10"/>
      <c r="H868" s="22"/>
      <c r="I868" s="10"/>
    </row>
    <row r="869" spans="6:9" s="9" customFormat="1">
      <c r="F869" s="145"/>
      <c r="G869" s="10"/>
      <c r="H869" s="22"/>
      <c r="I869" s="10"/>
    </row>
    <row r="870" spans="6:9" s="9" customFormat="1">
      <c r="F870" s="145"/>
      <c r="G870" s="10"/>
      <c r="H870" s="22"/>
      <c r="I870" s="10"/>
    </row>
    <row r="871" spans="6:9" s="9" customFormat="1">
      <c r="F871" s="145"/>
      <c r="G871" s="10"/>
      <c r="H871" s="22"/>
      <c r="I871" s="10"/>
    </row>
    <row r="872" spans="6:9" s="9" customFormat="1">
      <c r="F872" s="145"/>
      <c r="G872" s="10"/>
      <c r="H872" s="22"/>
      <c r="I872" s="10"/>
    </row>
    <row r="873" spans="6:9" s="9" customFormat="1">
      <c r="F873" s="145"/>
      <c r="G873" s="10"/>
      <c r="H873" s="22"/>
      <c r="I873" s="10"/>
    </row>
    <row r="874" spans="6:9" s="9" customFormat="1">
      <c r="F874" s="145"/>
      <c r="G874" s="10"/>
      <c r="H874" s="22"/>
      <c r="I874" s="10"/>
    </row>
    <row r="875" spans="6:9" s="9" customFormat="1">
      <c r="F875" s="145"/>
      <c r="G875" s="10"/>
      <c r="H875" s="22"/>
      <c r="I875" s="10"/>
    </row>
    <row r="876" spans="6:9" s="9" customFormat="1">
      <c r="F876" s="145"/>
      <c r="G876" s="10"/>
      <c r="H876" s="22"/>
      <c r="I876" s="10"/>
    </row>
    <row r="877" spans="6:9" s="9" customFormat="1">
      <c r="F877" s="145"/>
      <c r="G877" s="10"/>
      <c r="H877" s="22"/>
      <c r="I877" s="10"/>
    </row>
    <row r="878" spans="6:9" s="9" customFormat="1">
      <c r="F878" s="145"/>
      <c r="G878" s="10"/>
      <c r="H878" s="22"/>
      <c r="I878" s="10"/>
    </row>
    <row r="879" spans="6:9" s="9" customFormat="1">
      <c r="F879" s="145"/>
      <c r="G879" s="10"/>
      <c r="H879" s="22"/>
      <c r="I879" s="10"/>
    </row>
    <row r="880" spans="6:9" s="9" customFormat="1">
      <c r="F880" s="145"/>
      <c r="G880" s="10"/>
      <c r="H880" s="22"/>
      <c r="I880" s="10"/>
    </row>
    <row r="881" spans="6:9" s="9" customFormat="1">
      <c r="F881" s="145"/>
      <c r="G881" s="10"/>
      <c r="H881" s="22"/>
      <c r="I881" s="10"/>
    </row>
    <row r="882" spans="6:9" s="9" customFormat="1">
      <c r="F882" s="145"/>
      <c r="G882" s="10"/>
      <c r="H882" s="22"/>
      <c r="I882" s="10"/>
    </row>
    <row r="883" spans="6:9" s="9" customFormat="1">
      <c r="F883" s="145"/>
      <c r="G883" s="10"/>
      <c r="H883" s="22"/>
      <c r="I883" s="10"/>
    </row>
    <row r="884" spans="6:9" s="9" customFormat="1">
      <c r="F884" s="145"/>
      <c r="G884" s="10"/>
      <c r="H884" s="22"/>
      <c r="I884" s="10"/>
    </row>
    <row r="885" spans="6:9" s="9" customFormat="1">
      <c r="F885" s="145"/>
      <c r="G885" s="10"/>
      <c r="H885" s="22"/>
      <c r="I885" s="10"/>
    </row>
    <row r="886" spans="6:9" s="9" customFormat="1">
      <c r="F886" s="145"/>
      <c r="G886" s="10"/>
      <c r="H886" s="22"/>
      <c r="I886" s="10"/>
    </row>
    <row r="887" spans="6:9" s="9" customFormat="1">
      <c r="F887" s="145"/>
      <c r="G887" s="10"/>
      <c r="H887" s="22"/>
      <c r="I887" s="10"/>
    </row>
    <row r="888" spans="6:9" s="9" customFormat="1">
      <c r="F888" s="145"/>
      <c r="G888" s="10"/>
      <c r="H888" s="22"/>
      <c r="I888" s="10"/>
    </row>
    <row r="889" spans="6:9" s="9" customFormat="1">
      <c r="F889" s="145"/>
      <c r="G889" s="10"/>
      <c r="H889" s="22"/>
      <c r="I889" s="10"/>
    </row>
    <row r="890" spans="6:9" s="9" customFormat="1">
      <c r="F890" s="145"/>
      <c r="G890" s="10"/>
      <c r="H890" s="22"/>
      <c r="I890" s="10"/>
    </row>
    <row r="891" spans="6:9" s="9" customFormat="1">
      <c r="F891" s="145"/>
      <c r="G891" s="10"/>
      <c r="H891" s="22"/>
      <c r="I891" s="10"/>
    </row>
    <row r="892" spans="6:9" s="9" customFormat="1">
      <c r="F892" s="145"/>
      <c r="G892" s="10"/>
      <c r="H892" s="22"/>
      <c r="I892" s="10"/>
    </row>
    <row r="893" spans="6:9" s="9" customFormat="1">
      <c r="F893" s="145"/>
      <c r="G893" s="10"/>
      <c r="H893" s="22"/>
      <c r="I893" s="10"/>
    </row>
    <row r="894" spans="6:9" s="9" customFormat="1">
      <c r="F894" s="145"/>
      <c r="G894" s="10"/>
      <c r="H894" s="22"/>
      <c r="I894" s="10"/>
    </row>
    <row r="895" spans="6:9" s="9" customFormat="1">
      <c r="F895" s="145"/>
      <c r="G895" s="10"/>
      <c r="H895" s="22"/>
      <c r="I895" s="10"/>
    </row>
  </sheetData>
  <phoneticPr fontId="5" type="noConversion"/>
  <pageMargins left="0.7" right="0.7" top="0.78740157499999996" bottom="0.78740157499999996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CA349-29CA-1940-9F8D-185091A048EC}">
  <sheetPr>
    <tabColor rgb="FFD4AEF4"/>
    <pageSetUpPr fitToPage="1"/>
  </sheetPr>
  <dimension ref="A1:N470"/>
  <sheetViews>
    <sheetView showGridLines="0" zoomScaleNormal="100" workbookViewId="0">
      <pane ySplit="1" topLeftCell="A2" activePane="bottomLeft" state="frozen"/>
      <selection activeCell="F521" sqref="F521"/>
      <selection pane="bottomLeft" activeCell="F471" sqref="F471"/>
    </sheetView>
  </sheetViews>
  <sheetFormatPr baseColWidth="10" defaultRowHeight="16"/>
  <cols>
    <col min="1" max="1" width="17.1640625" style="12" customWidth="1"/>
    <col min="2" max="2" width="20.83203125" style="12" customWidth="1"/>
    <col min="3" max="3" width="30.83203125" style="12" customWidth="1"/>
    <col min="4" max="4" width="19.83203125" style="12" customWidth="1"/>
    <col min="5" max="5" width="6.5" style="12" customWidth="1"/>
    <col min="6" max="6" width="14.83203125" style="146" customWidth="1"/>
    <col min="7" max="8" width="14.83203125" style="15" customWidth="1"/>
    <col min="9" max="9" width="14.83203125" style="14" customWidth="1"/>
    <col min="10" max="16384" width="10.83203125" style="13"/>
  </cols>
  <sheetData>
    <row r="1" spans="1:13" s="11" customFormat="1" ht="16" customHeight="1">
      <c r="A1" s="7" t="s">
        <v>2</v>
      </c>
      <c r="B1" s="8" t="s">
        <v>5</v>
      </c>
      <c r="C1" s="8" t="s">
        <v>4</v>
      </c>
      <c r="D1" s="8" t="s">
        <v>1</v>
      </c>
      <c r="E1" s="8" t="s">
        <v>3</v>
      </c>
      <c r="F1" s="138" t="s">
        <v>1712</v>
      </c>
      <c r="G1" s="20" t="s">
        <v>1713</v>
      </c>
      <c r="H1" s="21" t="s">
        <v>801</v>
      </c>
      <c r="I1" s="21" t="s">
        <v>1654</v>
      </c>
      <c r="J1" s="21"/>
      <c r="K1" s="21"/>
      <c r="L1" s="5"/>
      <c r="M1" s="5"/>
    </row>
    <row r="2" spans="1:13" s="11" customFormat="1">
      <c r="A2" s="7" t="s">
        <v>1714</v>
      </c>
      <c r="B2" s="24"/>
      <c r="C2" s="24"/>
      <c r="D2" s="24"/>
      <c r="E2" s="24"/>
      <c r="F2" s="138"/>
      <c r="G2" s="20"/>
      <c r="H2" s="20"/>
      <c r="I2" s="27"/>
      <c r="J2" s="27"/>
      <c r="K2" s="5"/>
      <c r="L2" s="5"/>
    </row>
    <row r="3" spans="1:13" s="6" customFormat="1">
      <c r="A3" s="104" t="s">
        <v>317</v>
      </c>
      <c r="B3" s="105" t="s">
        <v>588</v>
      </c>
      <c r="C3" s="105" t="s">
        <v>56</v>
      </c>
      <c r="D3" s="105" t="s">
        <v>57</v>
      </c>
      <c r="E3" s="105" t="s">
        <v>388</v>
      </c>
      <c r="F3" s="139">
        <v>47.5</v>
      </c>
      <c r="G3" s="130">
        <v>94.95</v>
      </c>
      <c r="H3" s="103"/>
      <c r="I3" s="103">
        <f>H3*F3</f>
        <v>0</v>
      </c>
      <c r="K3" s="1"/>
      <c r="L3" s="1"/>
      <c r="M3" s="1"/>
    </row>
    <row r="4" spans="1:13" s="6" customFormat="1">
      <c r="A4" s="104" t="s">
        <v>318</v>
      </c>
      <c r="B4" s="105" t="s">
        <v>589</v>
      </c>
      <c r="C4" s="105" t="s">
        <v>56</v>
      </c>
      <c r="D4" s="105" t="s">
        <v>57</v>
      </c>
      <c r="E4" s="105" t="s">
        <v>24</v>
      </c>
      <c r="F4" s="139">
        <v>47.5</v>
      </c>
      <c r="G4" s="130">
        <v>94.95</v>
      </c>
      <c r="H4" s="103"/>
      <c r="I4" s="103">
        <f t="shared" ref="I4:I67" si="0">H4*F4</f>
        <v>0</v>
      </c>
      <c r="K4" s="1"/>
      <c r="L4" s="1"/>
      <c r="M4" s="1"/>
    </row>
    <row r="5" spans="1:13" s="6" customFormat="1">
      <c r="A5" s="104" t="s">
        <v>319</v>
      </c>
      <c r="B5" s="105" t="s">
        <v>590</v>
      </c>
      <c r="C5" s="105" t="s">
        <v>56</v>
      </c>
      <c r="D5" s="105" t="s">
        <v>57</v>
      </c>
      <c r="E5" s="105" t="s">
        <v>25</v>
      </c>
      <c r="F5" s="139">
        <v>47.5</v>
      </c>
      <c r="G5" s="130">
        <v>94.95</v>
      </c>
      <c r="H5" s="103"/>
      <c r="I5" s="103">
        <f t="shared" si="0"/>
        <v>0</v>
      </c>
      <c r="K5" s="1"/>
      <c r="L5" s="1"/>
      <c r="M5" s="1"/>
    </row>
    <row r="6" spans="1:13" s="1" customFormat="1">
      <c r="A6" s="104" t="s">
        <v>320</v>
      </c>
      <c r="B6" s="105" t="s">
        <v>591</v>
      </c>
      <c r="C6" s="105" t="s">
        <v>56</v>
      </c>
      <c r="D6" s="105" t="s">
        <v>57</v>
      </c>
      <c r="E6" s="105" t="s">
        <v>26</v>
      </c>
      <c r="F6" s="139">
        <v>47.5</v>
      </c>
      <c r="G6" s="130">
        <v>94.95</v>
      </c>
      <c r="H6" s="103"/>
      <c r="I6" s="103">
        <f t="shared" si="0"/>
        <v>0</v>
      </c>
    </row>
    <row r="7" spans="1:13" s="1" customFormat="1">
      <c r="A7" s="104" t="s">
        <v>321</v>
      </c>
      <c r="B7" s="105" t="s">
        <v>592</v>
      </c>
      <c r="C7" s="105" t="s">
        <v>56</v>
      </c>
      <c r="D7" s="105" t="s">
        <v>57</v>
      </c>
      <c r="E7" s="105" t="s">
        <v>27</v>
      </c>
      <c r="F7" s="139">
        <v>47.5</v>
      </c>
      <c r="G7" s="130">
        <v>94.95</v>
      </c>
      <c r="H7" s="103"/>
      <c r="I7" s="103">
        <f t="shared" si="0"/>
        <v>0</v>
      </c>
    </row>
    <row r="8" spans="1:13" s="1" customFormat="1">
      <c r="A8" s="104" t="s">
        <v>322</v>
      </c>
      <c r="B8" s="105" t="s">
        <v>593</v>
      </c>
      <c r="C8" s="105" t="s">
        <v>56</v>
      </c>
      <c r="D8" s="105" t="s">
        <v>57</v>
      </c>
      <c r="E8" s="105" t="s">
        <v>28</v>
      </c>
      <c r="F8" s="139">
        <v>47.5</v>
      </c>
      <c r="G8" s="130">
        <v>94.95</v>
      </c>
      <c r="H8" s="103"/>
      <c r="I8" s="103">
        <f t="shared" si="0"/>
        <v>0</v>
      </c>
    </row>
    <row r="9" spans="1:13" s="1" customFormat="1">
      <c r="A9" s="104" t="s">
        <v>323</v>
      </c>
      <c r="B9" s="105" t="s">
        <v>594</v>
      </c>
      <c r="C9" s="105" t="s">
        <v>56</v>
      </c>
      <c r="D9" s="105" t="s">
        <v>57</v>
      </c>
      <c r="E9" s="105" t="s">
        <v>35</v>
      </c>
      <c r="F9" s="139">
        <v>47.5</v>
      </c>
      <c r="G9" s="130">
        <v>94.95</v>
      </c>
      <c r="H9" s="103"/>
      <c r="I9" s="103">
        <f t="shared" si="0"/>
        <v>0</v>
      </c>
    </row>
    <row r="10" spans="1:13" s="1" customFormat="1">
      <c r="A10" s="104" t="s">
        <v>324</v>
      </c>
      <c r="B10" s="105" t="s">
        <v>532</v>
      </c>
      <c r="C10" s="105" t="s">
        <v>58</v>
      </c>
      <c r="D10" s="105" t="s">
        <v>57</v>
      </c>
      <c r="E10" s="105" t="s">
        <v>388</v>
      </c>
      <c r="F10" s="139">
        <v>42.5</v>
      </c>
      <c r="G10" s="130">
        <v>84.95</v>
      </c>
      <c r="H10" s="103"/>
      <c r="I10" s="103">
        <f t="shared" si="0"/>
        <v>0</v>
      </c>
    </row>
    <row r="11" spans="1:13" s="1" customFormat="1">
      <c r="A11" s="104" t="s">
        <v>325</v>
      </c>
      <c r="B11" s="105" t="s">
        <v>533</v>
      </c>
      <c r="C11" s="105" t="s">
        <v>58</v>
      </c>
      <c r="D11" s="105" t="s">
        <v>57</v>
      </c>
      <c r="E11" s="105" t="s">
        <v>24</v>
      </c>
      <c r="F11" s="139">
        <v>42.5</v>
      </c>
      <c r="G11" s="130">
        <v>84.95</v>
      </c>
      <c r="H11" s="103"/>
      <c r="I11" s="103">
        <f t="shared" si="0"/>
        <v>0</v>
      </c>
    </row>
    <row r="12" spans="1:13" s="1" customFormat="1">
      <c r="A12" s="104" t="s">
        <v>326</v>
      </c>
      <c r="B12" s="105" t="s">
        <v>534</v>
      </c>
      <c r="C12" s="105" t="s">
        <v>58</v>
      </c>
      <c r="D12" s="105" t="s">
        <v>57</v>
      </c>
      <c r="E12" s="105" t="s">
        <v>25</v>
      </c>
      <c r="F12" s="139">
        <v>42.5</v>
      </c>
      <c r="G12" s="130">
        <v>84.95</v>
      </c>
      <c r="H12" s="103"/>
      <c r="I12" s="103">
        <f t="shared" si="0"/>
        <v>0</v>
      </c>
    </row>
    <row r="13" spans="1:13" s="1" customFormat="1">
      <c r="A13" s="104" t="s">
        <v>327</v>
      </c>
      <c r="B13" s="105" t="s">
        <v>535</v>
      </c>
      <c r="C13" s="105" t="s">
        <v>58</v>
      </c>
      <c r="D13" s="105" t="s">
        <v>57</v>
      </c>
      <c r="E13" s="105" t="s">
        <v>26</v>
      </c>
      <c r="F13" s="139">
        <v>42.5</v>
      </c>
      <c r="G13" s="130">
        <v>84.95</v>
      </c>
      <c r="H13" s="103"/>
      <c r="I13" s="103">
        <f t="shared" si="0"/>
        <v>0</v>
      </c>
    </row>
    <row r="14" spans="1:13" s="1" customFormat="1">
      <c r="A14" s="104" t="s">
        <v>328</v>
      </c>
      <c r="B14" s="105" t="s">
        <v>536</v>
      </c>
      <c r="C14" s="105" t="s">
        <v>58</v>
      </c>
      <c r="D14" s="105" t="s">
        <v>57</v>
      </c>
      <c r="E14" s="105" t="s">
        <v>27</v>
      </c>
      <c r="F14" s="139">
        <v>42.5</v>
      </c>
      <c r="G14" s="130">
        <v>84.95</v>
      </c>
      <c r="H14" s="103"/>
      <c r="I14" s="103">
        <f t="shared" si="0"/>
        <v>0</v>
      </c>
    </row>
    <row r="15" spans="1:13" s="1" customFormat="1">
      <c r="A15" s="104" t="s">
        <v>329</v>
      </c>
      <c r="B15" s="105" t="s">
        <v>537</v>
      </c>
      <c r="C15" s="105" t="s">
        <v>58</v>
      </c>
      <c r="D15" s="105" t="s">
        <v>57</v>
      </c>
      <c r="E15" s="105" t="s">
        <v>28</v>
      </c>
      <c r="F15" s="139">
        <v>42.5</v>
      </c>
      <c r="G15" s="130">
        <v>84.95</v>
      </c>
      <c r="H15" s="103"/>
      <c r="I15" s="103">
        <f t="shared" si="0"/>
        <v>0</v>
      </c>
    </row>
    <row r="16" spans="1:13" s="1" customFormat="1">
      <c r="A16" s="104" t="s">
        <v>330</v>
      </c>
      <c r="B16" s="105" t="s">
        <v>538</v>
      </c>
      <c r="C16" s="105" t="s">
        <v>58</v>
      </c>
      <c r="D16" s="105" t="s">
        <v>57</v>
      </c>
      <c r="E16" s="105" t="s">
        <v>35</v>
      </c>
      <c r="F16" s="139">
        <v>42.5</v>
      </c>
      <c r="G16" s="130">
        <v>84.95</v>
      </c>
      <c r="H16" s="103"/>
      <c r="I16" s="103">
        <f t="shared" si="0"/>
        <v>0</v>
      </c>
    </row>
    <row r="17" spans="1:9" s="1" customFormat="1">
      <c r="A17" s="104" t="s">
        <v>331</v>
      </c>
      <c r="B17" s="105" t="s">
        <v>455</v>
      </c>
      <c r="C17" s="105" t="s">
        <v>59</v>
      </c>
      <c r="D17" s="105" t="s">
        <v>57</v>
      </c>
      <c r="E17" s="105" t="s">
        <v>388</v>
      </c>
      <c r="F17" s="159">
        <v>25</v>
      </c>
      <c r="G17" s="103">
        <v>49.95</v>
      </c>
      <c r="H17" s="103"/>
      <c r="I17" s="103">
        <f t="shared" si="0"/>
        <v>0</v>
      </c>
    </row>
    <row r="18" spans="1:9" s="1" customFormat="1">
      <c r="A18" s="104" t="s">
        <v>332</v>
      </c>
      <c r="B18" s="105" t="s">
        <v>456</v>
      </c>
      <c r="C18" s="105" t="s">
        <v>59</v>
      </c>
      <c r="D18" s="105" t="s">
        <v>57</v>
      </c>
      <c r="E18" s="105" t="s">
        <v>24</v>
      </c>
      <c r="F18" s="159">
        <v>25</v>
      </c>
      <c r="G18" s="103">
        <v>49.95</v>
      </c>
      <c r="H18" s="103"/>
      <c r="I18" s="103">
        <f t="shared" si="0"/>
        <v>0</v>
      </c>
    </row>
    <row r="19" spans="1:9" s="1" customFormat="1">
      <c r="A19" s="104" t="s">
        <v>333</v>
      </c>
      <c r="B19" s="105" t="s">
        <v>457</v>
      </c>
      <c r="C19" s="105" t="s">
        <v>59</v>
      </c>
      <c r="D19" s="105" t="s">
        <v>57</v>
      </c>
      <c r="E19" s="105" t="s">
        <v>25</v>
      </c>
      <c r="F19" s="159">
        <v>25</v>
      </c>
      <c r="G19" s="103">
        <v>49.95</v>
      </c>
      <c r="H19" s="103"/>
      <c r="I19" s="103">
        <f t="shared" si="0"/>
        <v>0</v>
      </c>
    </row>
    <row r="20" spans="1:9" s="1" customFormat="1">
      <c r="A20" s="104" t="s">
        <v>334</v>
      </c>
      <c r="B20" s="105" t="s">
        <v>458</v>
      </c>
      <c r="C20" s="105" t="s">
        <v>59</v>
      </c>
      <c r="D20" s="105" t="s">
        <v>57</v>
      </c>
      <c r="E20" s="105" t="s">
        <v>26</v>
      </c>
      <c r="F20" s="159">
        <v>25</v>
      </c>
      <c r="G20" s="103">
        <v>49.95</v>
      </c>
      <c r="H20" s="103"/>
      <c r="I20" s="103">
        <f t="shared" si="0"/>
        <v>0</v>
      </c>
    </row>
    <row r="21" spans="1:9" s="1" customFormat="1">
      <c r="A21" s="104" t="s">
        <v>335</v>
      </c>
      <c r="B21" s="105" t="s">
        <v>459</v>
      </c>
      <c r="C21" s="105" t="s">
        <v>59</v>
      </c>
      <c r="D21" s="105" t="s">
        <v>57</v>
      </c>
      <c r="E21" s="105" t="s">
        <v>27</v>
      </c>
      <c r="F21" s="159">
        <v>25</v>
      </c>
      <c r="G21" s="103">
        <v>49.95</v>
      </c>
      <c r="H21" s="103"/>
      <c r="I21" s="103">
        <f t="shared" si="0"/>
        <v>0</v>
      </c>
    </row>
    <row r="22" spans="1:9" s="1" customFormat="1">
      <c r="A22" s="104" t="s">
        <v>336</v>
      </c>
      <c r="B22" s="105" t="s">
        <v>460</v>
      </c>
      <c r="C22" s="105" t="s">
        <v>59</v>
      </c>
      <c r="D22" s="105" t="s">
        <v>57</v>
      </c>
      <c r="E22" s="105" t="s">
        <v>28</v>
      </c>
      <c r="F22" s="159">
        <v>25</v>
      </c>
      <c r="G22" s="103">
        <v>49.95</v>
      </c>
      <c r="H22" s="103"/>
      <c r="I22" s="103">
        <f t="shared" si="0"/>
        <v>0</v>
      </c>
    </row>
    <row r="23" spans="1:9" s="1" customFormat="1">
      <c r="A23" s="104" t="s">
        <v>337</v>
      </c>
      <c r="B23" s="105" t="s">
        <v>461</v>
      </c>
      <c r="C23" s="105" t="s">
        <v>59</v>
      </c>
      <c r="D23" s="105" t="s">
        <v>57</v>
      </c>
      <c r="E23" s="105" t="s">
        <v>35</v>
      </c>
      <c r="F23" s="159">
        <v>25</v>
      </c>
      <c r="G23" s="103">
        <v>49.95</v>
      </c>
      <c r="H23" s="103"/>
      <c r="I23" s="103">
        <f t="shared" si="0"/>
        <v>0</v>
      </c>
    </row>
    <row r="24" spans="1:9" s="1" customFormat="1">
      <c r="A24" s="104" t="s">
        <v>338</v>
      </c>
      <c r="B24" s="106" t="s">
        <v>561</v>
      </c>
      <c r="C24" s="107" t="s">
        <v>44</v>
      </c>
      <c r="D24" s="105" t="s">
        <v>57</v>
      </c>
      <c r="E24" s="105" t="s">
        <v>388</v>
      </c>
      <c r="F24" s="139">
        <v>47.5</v>
      </c>
      <c r="G24" s="130">
        <v>94.95</v>
      </c>
      <c r="H24" s="103"/>
      <c r="I24" s="103">
        <f t="shared" si="0"/>
        <v>0</v>
      </c>
    </row>
    <row r="25" spans="1:9" s="1" customFormat="1">
      <c r="A25" s="104" t="s">
        <v>339</v>
      </c>
      <c r="B25" s="106" t="s">
        <v>562</v>
      </c>
      <c r="C25" s="107" t="s">
        <v>44</v>
      </c>
      <c r="D25" s="105" t="s">
        <v>57</v>
      </c>
      <c r="E25" s="105" t="s">
        <v>24</v>
      </c>
      <c r="F25" s="139">
        <v>47.5</v>
      </c>
      <c r="G25" s="130">
        <v>94.95</v>
      </c>
      <c r="H25" s="103"/>
      <c r="I25" s="103">
        <f t="shared" si="0"/>
        <v>0</v>
      </c>
    </row>
    <row r="26" spans="1:9" s="1" customFormat="1">
      <c r="A26" s="104" t="s">
        <v>340</v>
      </c>
      <c r="B26" s="106" t="s">
        <v>563</v>
      </c>
      <c r="C26" s="107" t="s">
        <v>44</v>
      </c>
      <c r="D26" s="105" t="s">
        <v>57</v>
      </c>
      <c r="E26" s="105" t="s">
        <v>25</v>
      </c>
      <c r="F26" s="139">
        <v>47.5</v>
      </c>
      <c r="G26" s="130">
        <v>94.95</v>
      </c>
      <c r="H26" s="103"/>
      <c r="I26" s="103">
        <f t="shared" si="0"/>
        <v>0</v>
      </c>
    </row>
    <row r="27" spans="1:9" s="1" customFormat="1">
      <c r="A27" s="104" t="s">
        <v>341</v>
      </c>
      <c r="B27" s="106" t="s">
        <v>564</v>
      </c>
      <c r="C27" s="107" t="s">
        <v>44</v>
      </c>
      <c r="D27" s="105" t="s">
        <v>57</v>
      </c>
      <c r="E27" s="105" t="s">
        <v>26</v>
      </c>
      <c r="F27" s="139">
        <v>47.5</v>
      </c>
      <c r="G27" s="130">
        <v>94.95</v>
      </c>
      <c r="H27" s="103"/>
      <c r="I27" s="103">
        <f t="shared" si="0"/>
        <v>0</v>
      </c>
    </row>
    <row r="28" spans="1:9" s="1" customFormat="1">
      <c r="A28" s="104" t="s">
        <v>342</v>
      </c>
      <c r="B28" s="106" t="s">
        <v>565</v>
      </c>
      <c r="C28" s="107" t="s">
        <v>44</v>
      </c>
      <c r="D28" s="105" t="s">
        <v>57</v>
      </c>
      <c r="E28" s="105" t="s">
        <v>27</v>
      </c>
      <c r="F28" s="139">
        <v>47.5</v>
      </c>
      <c r="G28" s="130">
        <v>94.95</v>
      </c>
      <c r="H28" s="103"/>
      <c r="I28" s="103">
        <f t="shared" si="0"/>
        <v>0</v>
      </c>
    </row>
    <row r="29" spans="1:9" s="1" customFormat="1">
      <c r="A29" s="104" t="s">
        <v>343</v>
      </c>
      <c r="B29" s="106" t="s">
        <v>566</v>
      </c>
      <c r="C29" s="107" t="s">
        <v>44</v>
      </c>
      <c r="D29" s="105" t="s">
        <v>57</v>
      </c>
      <c r="E29" s="105" t="s">
        <v>28</v>
      </c>
      <c r="F29" s="139">
        <v>47.5</v>
      </c>
      <c r="G29" s="130">
        <v>94.95</v>
      </c>
      <c r="H29" s="103"/>
      <c r="I29" s="103">
        <f t="shared" si="0"/>
        <v>0</v>
      </c>
    </row>
    <row r="30" spans="1:9" s="1" customFormat="1">
      <c r="A30" s="104" t="s">
        <v>344</v>
      </c>
      <c r="B30" s="106" t="s">
        <v>553</v>
      </c>
      <c r="C30" s="107" t="s">
        <v>44</v>
      </c>
      <c r="D30" s="105" t="s">
        <v>57</v>
      </c>
      <c r="E30" s="105" t="s">
        <v>35</v>
      </c>
      <c r="F30" s="139">
        <v>47.5</v>
      </c>
      <c r="G30" s="130">
        <v>94.95</v>
      </c>
      <c r="H30" s="103"/>
      <c r="I30" s="103">
        <f t="shared" si="0"/>
        <v>0</v>
      </c>
    </row>
    <row r="31" spans="1:9" s="1" customFormat="1">
      <c r="A31" s="104" t="s">
        <v>345</v>
      </c>
      <c r="B31" s="106" t="s">
        <v>504</v>
      </c>
      <c r="C31" s="107" t="s">
        <v>45</v>
      </c>
      <c r="D31" s="105" t="s">
        <v>57</v>
      </c>
      <c r="E31" s="105" t="s">
        <v>388</v>
      </c>
      <c r="F31" s="139">
        <v>47.5</v>
      </c>
      <c r="G31" s="130">
        <v>94.95</v>
      </c>
      <c r="H31" s="103"/>
      <c r="I31" s="103">
        <f t="shared" si="0"/>
        <v>0</v>
      </c>
    </row>
    <row r="32" spans="1:9" s="1" customFormat="1">
      <c r="A32" s="104" t="s">
        <v>346</v>
      </c>
      <c r="B32" s="106" t="s">
        <v>505</v>
      </c>
      <c r="C32" s="107" t="s">
        <v>45</v>
      </c>
      <c r="D32" s="105" t="s">
        <v>57</v>
      </c>
      <c r="E32" s="105" t="s">
        <v>24</v>
      </c>
      <c r="F32" s="139">
        <v>47.5</v>
      </c>
      <c r="G32" s="130">
        <v>94.95</v>
      </c>
      <c r="H32" s="103"/>
      <c r="I32" s="103">
        <f t="shared" si="0"/>
        <v>0</v>
      </c>
    </row>
    <row r="33" spans="1:13" s="1" customFormat="1">
      <c r="A33" s="104" t="s">
        <v>347</v>
      </c>
      <c r="B33" s="106" t="s">
        <v>506</v>
      </c>
      <c r="C33" s="107" t="s">
        <v>45</v>
      </c>
      <c r="D33" s="105" t="s">
        <v>57</v>
      </c>
      <c r="E33" s="105" t="s">
        <v>25</v>
      </c>
      <c r="F33" s="139">
        <v>47.5</v>
      </c>
      <c r="G33" s="130">
        <v>94.95</v>
      </c>
      <c r="H33" s="103"/>
      <c r="I33" s="103">
        <f t="shared" si="0"/>
        <v>0</v>
      </c>
    </row>
    <row r="34" spans="1:13" s="1" customFormat="1">
      <c r="A34" s="104" t="s">
        <v>348</v>
      </c>
      <c r="B34" s="106" t="s">
        <v>507</v>
      </c>
      <c r="C34" s="107" t="s">
        <v>45</v>
      </c>
      <c r="D34" s="105" t="s">
        <v>57</v>
      </c>
      <c r="E34" s="105" t="s">
        <v>26</v>
      </c>
      <c r="F34" s="139">
        <v>47.5</v>
      </c>
      <c r="G34" s="130">
        <v>94.95</v>
      </c>
      <c r="H34" s="103"/>
      <c r="I34" s="103">
        <f t="shared" si="0"/>
        <v>0</v>
      </c>
    </row>
    <row r="35" spans="1:13" s="1" customFormat="1">
      <c r="A35" s="104" t="s">
        <v>349</v>
      </c>
      <c r="B35" s="106" t="s">
        <v>508</v>
      </c>
      <c r="C35" s="107" t="s">
        <v>45</v>
      </c>
      <c r="D35" s="105" t="s">
        <v>57</v>
      </c>
      <c r="E35" s="105" t="s">
        <v>27</v>
      </c>
      <c r="F35" s="139">
        <v>47.5</v>
      </c>
      <c r="G35" s="130">
        <v>94.95</v>
      </c>
      <c r="H35" s="103"/>
      <c r="I35" s="103">
        <f t="shared" si="0"/>
        <v>0</v>
      </c>
    </row>
    <row r="36" spans="1:13" s="1" customFormat="1">
      <c r="A36" s="104" t="s">
        <v>350</v>
      </c>
      <c r="B36" s="106" t="s">
        <v>509</v>
      </c>
      <c r="C36" s="107" t="s">
        <v>45</v>
      </c>
      <c r="D36" s="105" t="s">
        <v>57</v>
      </c>
      <c r="E36" s="105" t="s">
        <v>28</v>
      </c>
      <c r="F36" s="139">
        <v>47.5</v>
      </c>
      <c r="G36" s="130">
        <v>94.95</v>
      </c>
      <c r="H36" s="103"/>
      <c r="I36" s="103">
        <f t="shared" si="0"/>
        <v>0</v>
      </c>
    </row>
    <row r="37" spans="1:13" s="1" customFormat="1">
      <c r="A37" s="104" t="s">
        <v>351</v>
      </c>
      <c r="B37" s="106" t="s">
        <v>510</v>
      </c>
      <c r="C37" s="107" t="s">
        <v>45</v>
      </c>
      <c r="D37" s="107" t="s">
        <v>57</v>
      </c>
      <c r="E37" s="105" t="s">
        <v>35</v>
      </c>
      <c r="F37" s="139">
        <v>47.5</v>
      </c>
      <c r="G37" s="130">
        <v>94.95</v>
      </c>
      <c r="H37" s="103"/>
      <c r="I37" s="103">
        <f t="shared" si="0"/>
        <v>0</v>
      </c>
    </row>
    <row r="38" spans="1:13" s="6" customFormat="1">
      <c r="A38" s="104" t="s">
        <v>352</v>
      </c>
      <c r="B38" s="106" t="s">
        <v>581</v>
      </c>
      <c r="C38" s="105" t="s">
        <v>56</v>
      </c>
      <c r="D38" s="105" t="s">
        <v>60</v>
      </c>
      <c r="E38" s="105" t="s">
        <v>388</v>
      </c>
      <c r="F38" s="139">
        <v>47.5</v>
      </c>
      <c r="G38" s="130">
        <v>94.95</v>
      </c>
      <c r="H38" s="103"/>
      <c r="I38" s="103">
        <f t="shared" si="0"/>
        <v>0</v>
      </c>
      <c r="K38" s="1"/>
      <c r="L38" s="1"/>
      <c r="M38" s="1"/>
    </row>
    <row r="39" spans="1:13" s="6" customFormat="1">
      <c r="A39" s="104" t="s">
        <v>353</v>
      </c>
      <c r="B39" s="106" t="s">
        <v>582</v>
      </c>
      <c r="C39" s="105" t="s">
        <v>56</v>
      </c>
      <c r="D39" s="105" t="s">
        <v>60</v>
      </c>
      <c r="E39" s="105" t="s">
        <v>24</v>
      </c>
      <c r="F39" s="139">
        <v>47.5</v>
      </c>
      <c r="G39" s="130">
        <v>94.95</v>
      </c>
      <c r="H39" s="103"/>
      <c r="I39" s="103">
        <f t="shared" si="0"/>
        <v>0</v>
      </c>
      <c r="K39" s="1"/>
      <c r="L39" s="1"/>
      <c r="M39" s="1"/>
    </row>
    <row r="40" spans="1:13" s="6" customFormat="1">
      <c r="A40" s="104" t="s">
        <v>354</v>
      </c>
      <c r="B40" s="106" t="s">
        <v>583</v>
      </c>
      <c r="C40" s="105" t="s">
        <v>56</v>
      </c>
      <c r="D40" s="105" t="s">
        <v>60</v>
      </c>
      <c r="E40" s="105" t="s">
        <v>25</v>
      </c>
      <c r="F40" s="139">
        <v>47.5</v>
      </c>
      <c r="G40" s="130">
        <v>94.95</v>
      </c>
      <c r="H40" s="103"/>
      <c r="I40" s="103">
        <f t="shared" si="0"/>
        <v>0</v>
      </c>
      <c r="K40" s="1"/>
      <c r="L40" s="1"/>
      <c r="M40" s="1"/>
    </row>
    <row r="41" spans="1:13" s="1" customFormat="1">
      <c r="A41" s="104" t="s">
        <v>355</v>
      </c>
      <c r="B41" s="106" t="s">
        <v>584</v>
      </c>
      <c r="C41" s="105" t="s">
        <v>56</v>
      </c>
      <c r="D41" s="105" t="s">
        <v>60</v>
      </c>
      <c r="E41" s="105" t="s">
        <v>26</v>
      </c>
      <c r="F41" s="139">
        <v>47.5</v>
      </c>
      <c r="G41" s="130">
        <v>94.95</v>
      </c>
      <c r="H41" s="103"/>
      <c r="I41" s="103">
        <f t="shared" si="0"/>
        <v>0</v>
      </c>
    </row>
    <row r="42" spans="1:13" s="1" customFormat="1">
      <c r="A42" s="104" t="s">
        <v>356</v>
      </c>
      <c r="B42" s="106" t="s">
        <v>585</v>
      </c>
      <c r="C42" s="105" t="s">
        <v>56</v>
      </c>
      <c r="D42" s="105" t="s">
        <v>60</v>
      </c>
      <c r="E42" s="105" t="s">
        <v>27</v>
      </c>
      <c r="F42" s="139">
        <v>47.5</v>
      </c>
      <c r="G42" s="130">
        <v>94.95</v>
      </c>
      <c r="H42" s="103"/>
      <c r="I42" s="103">
        <f t="shared" si="0"/>
        <v>0</v>
      </c>
    </row>
    <row r="43" spans="1:13" s="1" customFormat="1">
      <c r="A43" s="104" t="s">
        <v>357</v>
      </c>
      <c r="B43" s="106" t="s">
        <v>586</v>
      </c>
      <c r="C43" s="105" t="s">
        <v>56</v>
      </c>
      <c r="D43" s="105" t="s">
        <v>60</v>
      </c>
      <c r="E43" s="105" t="s">
        <v>28</v>
      </c>
      <c r="F43" s="139">
        <v>47.5</v>
      </c>
      <c r="G43" s="130">
        <v>94.95</v>
      </c>
      <c r="H43" s="103"/>
      <c r="I43" s="103">
        <f t="shared" si="0"/>
        <v>0</v>
      </c>
    </row>
    <row r="44" spans="1:13" s="1" customFormat="1">
      <c r="A44" s="104" t="s">
        <v>358</v>
      </c>
      <c r="B44" s="106" t="s">
        <v>587</v>
      </c>
      <c r="C44" s="105" t="s">
        <v>56</v>
      </c>
      <c r="D44" s="105" t="s">
        <v>60</v>
      </c>
      <c r="E44" s="105" t="s">
        <v>35</v>
      </c>
      <c r="F44" s="139">
        <v>47.5</v>
      </c>
      <c r="G44" s="130">
        <v>94.95</v>
      </c>
      <c r="H44" s="103"/>
      <c r="I44" s="103">
        <f t="shared" si="0"/>
        <v>0</v>
      </c>
    </row>
    <row r="45" spans="1:13" s="1" customFormat="1">
      <c r="A45" s="104" t="s">
        <v>359</v>
      </c>
      <c r="B45" s="105" t="s">
        <v>525</v>
      </c>
      <c r="C45" s="105" t="s">
        <v>58</v>
      </c>
      <c r="D45" s="105" t="s">
        <v>60</v>
      </c>
      <c r="E45" s="105" t="s">
        <v>388</v>
      </c>
      <c r="F45" s="139">
        <v>42.5</v>
      </c>
      <c r="G45" s="130">
        <v>84.95</v>
      </c>
      <c r="H45" s="103"/>
      <c r="I45" s="103">
        <f t="shared" si="0"/>
        <v>0</v>
      </c>
    </row>
    <row r="46" spans="1:13" s="1" customFormat="1">
      <c r="A46" s="104" t="s">
        <v>360</v>
      </c>
      <c r="B46" s="105" t="s">
        <v>526</v>
      </c>
      <c r="C46" s="105" t="s">
        <v>58</v>
      </c>
      <c r="D46" s="105" t="s">
        <v>60</v>
      </c>
      <c r="E46" s="105" t="s">
        <v>24</v>
      </c>
      <c r="F46" s="139">
        <v>42.5</v>
      </c>
      <c r="G46" s="130">
        <v>84.95</v>
      </c>
      <c r="H46" s="103"/>
      <c r="I46" s="103">
        <f t="shared" si="0"/>
        <v>0</v>
      </c>
    </row>
    <row r="47" spans="1:13" s="1" customFormat="1">
      <c r="A47" s="104" t="s">
        <v>361</v>
      </c>
      <c r="B47" s="105" t="s">
        <v>527</v>
      </c>
      <c r="C47" s="105" t="s">
        <v>58</v>
      </c>
      <c r="D47" s="105" t="s">
        <v>60</v>
      </c>
      <c r="E47" s="105" t="s">
        <v>25</v>
      </c>
      <c r="F47" s="139">
        <v>42.5</v>
      </c>
      <c r="G47" s="130">
        <v>84.95</v>
      </c>
      <c r="H47" s="103"/>
      <c r="I47" s="103">
        <f t="shared" si="0"/>
        <v>0</v>
      </c>
    </row>
    <row r="48" spans="1:13" s="1" customFormat="1">
      <c r="A48" s="104" t="s">
        <v>362</v>
      </c>
      <c r="B48" s="105" t="s">
        <v>528</v>
      </c>
      <c r="C48" s="105" t="s">
        <v>58</v>
      </c>
      <c r="D48" s="105" t="s">
        <v>60</v>
      </c>
      <c r="E48" s="105" t="s">
        <v>26</v>
      </c>
      <c r="F48" s="139">
        <v>42.5</v>
      </c>
      <c r="G48" s="130">
        <v>84.95</v>
      </c>
      <c r="H48" s="103"/>
      <c r="I48" s="103">
        <f t="shared" si="0"/>
        <v>0</v>
      </c>
    </row>
    <row r="49" spans="1:9" s="1" customFormat="1">
      <c r="A49" s="104" t="s">
        <v>363</v>
      </c>
      <c r="B49" s="105" t="s">
        <v>529</v>
      </c>
      <c r="C49" s="105" t="s">
        <v>58</v>
      </c>
      <c r="D49" s="105" t="s">
        <v>60</v>
      </c>
      <c r="E49" s="105" t="s">
        <v>27</v>
      </c>
      <c r="F49" s="139">
        <v>42.5</v>
      </c>
      <c r="G49" s="130">
        <v>84.95</v>
      </c>
      <c r="H49" s="103"/>
      <c r="I49" s="103">
        <f t="shared" si="0"/>
        <v>0</v>
      </c>
    </row>
    <row r="50" spans="1:9" s="1" customFormat="1">
      <c r="A50" s="104" t="s">
        <v>364</v>
      </c>
      <c r="B50" s="105" t="s">
        <v>530</v>
      </c>
      <c r="C50" s="105" t="s">
        <v>58</v>
      </c>
      <c r="D50" s="105" t="s">
        <v>60</v>
      </c>
      <c r="E50" s="105" t="s">
        <v>28</v>
      </c>
      <c r="F50" s="139">
        <v>42.5</v>
      </c>
      <c r="G50" s="130">
        <v>84.95</v>
      </c>
      <c r="H50" s="103"/>
      <c r="I50" s="103">
        <f t="shared" si="0"/>
        <v>0</v>
      </c>
    </row>
    <row r="51" spans="1:9" s="1" customFormat="1">
      <c r="A51" s="104" t="s">
        <v>365</v>
      </c>
      <c r="B51" s="105" t="s">
        <v>531</v>
      </c>
      <c r="C51" s="105" t="s">
        <v>58</v>
      </c>
      <c r="D51" s="105" t="s">
        <v>60</v>
      </c>
      <c r="E51" s="105" t="s">
        <v>35</v>
      </c>
      <c r="F51" s="139">
        <v>42.5</v>
      </c>
      <c r="G51" s="130">
        <v>84.95</v>
      </c>
      <c r="H51" s="103"/>
      <c r="I51" s="103">
        <f t="shared" si="0"/>
        <v>0</v>
      </c>
    </row>
    <row r="52" spans="1:9" s="1" customFormat="1">
      <c r="A52" s="104" t="s">
        <v>366</v>
      </c>
      <c r="B52" s="106" t="s">
        <v>462</v>
      </c>
      <c r="C52" s="105" t="s">
        <v>59</v>
      </c>
      <c r="D52" s="105" t="s">
        <v>60</v>
      </c>
      <c r="E52" s="105" t="s">
        <v>388</v>
      </c>
      <c r="F52" s="159">
        <v>25</v>
      </c>
      <c r="G52" s="103">
        <v>49.95</v>
      </c>
      <c r="H52" s="103"/>
      <c r="I52" s="103">
        <f t="shared" si="0"/>
        <v>0</v>
      </c>
    </row>
    <row r="53" spans="1:9" s="1" customFormat="1">
      <c r="A53" s="104" t="s">
        <v>367</v>
      </c>
      <c r="B53" s="106" t="s">
        <v>463</v>
      </c>
      <c r="C53" s="105" t="s">
        <v>59</v>
      </c>
      <c r="D53" s="105" t="s">
        <v>60</v>
      </c>
      <c r="E53" s="105" t="s">
        <v>24</v>
      </c>
      <c r="F53" s="159">
        <v>25</v>
      </c>
      <c r="G53" s="103">
        <v>49.95</v>
      </c>
      <c r="H53" s="103"/>
      <c r="I53" s="103">
        <f t="shared" si="0"/>
        <v>0</v>
      </c>
    </row>
    <row r="54" spans="1:9" s="1" customFormat="1">
      <c r="A54" s="104" t="s">
        <v>368</v>
      </c>
      <c r="B54" s="106" t="s">
        <v>464</v>
      </c>
      <c r="C54" s="105" t="s">
        <v>59</v>
      </c>
      <c r="D54" s="105" t="s">
        <v>60</v>
      </c>
      <c r="E54" s="105" t="s">
        <v>25</v>
      </c>
      <c r="F54" s="159">
        <v>25</v>
      </c>
      <c r="G54" s="103">
        <v>49.95</v>
      </c>
      <c r="H54" s="103"/>
      <c r="I54" s="103">
        <f t="shared" si="0"/>
        <v>0</v>
      </c>
    </row>
    <row r="55" spans="1:9" s="1" customFormat="1">
      <c r="A55" s="104" t="s">
        <v>369</v>
      </c>
      <c r="B55" s="106" t="s">
        <v>465</v>
      </c>
      <c r="C55" s="105" t="s">
        <v>59</v>
      </c>
      <c r="D55" s="105" t="s">
        <v>60</v>
      </c>
      <c r="E55" s="105" t="s">
        <v>26</v>
      </c>
      <c r="F55" s="159">
        <v>25</v>
      </c>
      <c r="G55" s="103">
        <v>49.95</v>
      </c>
      <c r="H55" s="103"/>
      <c r="I55" s="103">
        <f t="shared" si="0"/>
        <v>0</v>
      </c>
    </row>
    <row r="56" spans="1:9" s="1" customFormat="1">
      <c r="A56" s="104" t="s">
        <v>370</v>
      </c>
      <c r="B56" s="106" t="s">
        <v>466</v>
      </c>
      <c r="C56" s="105" t="s">
        <v>59</v>
      </c>
      <c r="D56" s="105" t="s">
        <v>60</v>
      </c>
      <c r="E56" s="105" t="s">
        <v>27</v>
      </c>
      <c r="F56" s="159">
        <v>25</v>
      </c>
      <c r="G56" s="103">
        <v>49.95</v>
      </c>
      <c r="H56" s="103"/>
      <c r="I56" s="103">
        <f t="shared" si="0"/>
        <v>0</v>
      </c>
    </row>
    <row r="57" spans="1:9" s="1" customFormat="1">
      <c r="A57" s="104" t="s">
        <v>371</v>
      </c>
      <c r="B57" s="106" t="s">
        <v>467</v>
      </c>
      <c r="C57" s="105" t="s">
        <v>59</v>
      </c>
      <c r="D57" s="105" t="s">
        <v>60</v>
      </c>
      <c r="E57" s="105" t="s">
        <v>28</v>
      </c>
      <c r="F57" s="159">
        <v>25</v>
      </c>
      <c r="G57" s="103">
        <v>49.95</v>
      </c>
      <c r="H57" s="103"/>
      <c r="I57" s="103">
        <f t="shared" si="0"/>
        <v>0</v>
      </c>
    </row>
    <row r="58" spans="1:9" s="1" customFormat="1">
      <c r="A58" s="104" t="s">
        <v>372</v>
      </c>
      <c r="B58" s="106" t="s">
        <v>468</v>
      </c>
      <c r="C58" s="105" t="s">
        <v>59</v>
      </c>
      <c r="D58" s="105" t="s">
        <v>60</v>
      </c>
      <c r="E58" s="105" t="s">
        <v>35</v>
      </c>
      <c r="F58" s="159">
        <v>25</v>
      </c>
      <c r="G58" s="103">
        <v>49.95</v>
      </c>
      <c r="H58" s="103"/>
      <c r="I58" s="103">
        <f t="shared" si="0"/>
        <v>0</v>
      </c>
    </row>
    <row r="59" spans="1:9" s="1" customFormat="1">
      <c r="A59" s="104" t="s">
        <v>373</v>
      </c>
      <c r="B59" s="106" t="s">
        <v>554</v>
      </c>
      <c r="C59" s="107" t="s">
        <v>44</v>
      </c>
      <c r="D59" s="105" t="s">
        <v>60</v>
      </c>
      <c r="E59" s="105" t="s">
        <v>388</v>
      </c>
      <c r="F59" s="139">
        <v>47.5</v>
      </c>
      <c r="G59" s="130">
        <v>94.95</v>
      </c>
      <c r="H59" s="103"/>
      <c r="I59" s="103">
        <f t="shared" si="0"/>
        <v>0</v>
      </c>
    </row>
    <row r="60" spans="1:9" s="1" customFormat="1">
      <c r="A60" s="104" t="s">
        <v>374</v>
      </c>
      <c r="B60" s="106" t="s">
        <v>555</v>
      </c>
      <c r="C60" s="107" t="s">
        <v>44</v>
      </c>
      <c r="D60" s="105" t="s">
        <v>60</v>
      </c>
      <c r="E60" s="105" t="s">
        <v>24</v>
      </c>
      <c r="F60" s="139">
        <v>47.5</v>
      </c>
      <c r="G60" s="130">
        <v>94.95</v>
      </c>
      <c r="H60" s="103"/>
      <c r="I60" s="103">
        <f t="shared" si="0"/>
        <v>0</v>
      </c>
    </row>
    <row r="61" spans="1:9" s="1" customFormat="1">
      <c r="A61" s="104" t="s">
        <v>375</v>
      </c>
      <c r="B61" s="106" t="s">
        <v>556</v>
      </c>
      <c r="C61" s="107" t="s">
        <v>44</v>
      </c>
      <c r="D61" s="105" t="s">
        <v>60</v>
      </c>
      <c r="E61" s="105" t="s">
        <v>25</v>
      </c>
      <c r="F61" s="139">
        <v>47.5</v>
      </c>
      <c r="G61" s="130">
        <v>94.95</v>
      </c>
      <c r="H61" s="103"/>
      <c r="I61" s="103">
        <f t="shared" si="0"/>
        <v>0</v>
      </c>
    </row>
    <row r="62" spans="1:9" s="1" customFormat="1">
      <c r="A62" s="104" t="s">
        <v>376</v>
      </c>
      <c r="B62" s="106" t="s">
        <v>557</v>
      </c>
      <c r="C62" s="107" t="s">
        <v>44</v>
      </c>
      <c r="D62" s="105" t="s">
        <v>60</v>
      </c>
      <c r="E62" s="105" t="s">
        <v>26</v>
      </c>
      <c r="F62" s="139">
        <v>47.5</v>
      </c>
      <c r="G62" s="130">
        <v>94.95</v>
      </c>
      <c r="H62" s="103"/>
      <c r="I62" s="103">
        <f t="shared" si="0"/>
        <v>0</v>
      </c>
    </row>
    <row r="63" spans="1:9" s="1" customFormat="1">
      <c r="A63" s="104" t="s">
        <v>377</v>
      </c>
      <c r="B63" s="106" t="s">
        <v>558</v>
      </c>
      <c r="C63" s="107" t="s">
        <v>44</v>
      </c>
      <c r="D63" s="105" t="s">
        <v>60</v>
      </c>
      <c r="E63" s="105" t="s">
        <v>27</v>
      </c>
      <c r="F63" s="139">
        <v>47.5</v>
      </c>
      <c r="G63" s="130">
        <v>94.95</v>
      </c>
      <c r="H63" s="103"/>
      <c r="I63" s="103">
        <f t="shared" si="0"/>
        <v>0</v>
      </c>
    </row>
    <row r="64" spans="1:9" s="1" customFormat="1">
      <c r="A64" s="104" t="s">
        <v>378</v>
      </c>
      <c r="B64" s="106" t="s">
        <v>559</v>
      </c>
      <c r="C64" s="107" t="s">
        <v>44</v>
      </c>
      <c r="D64" s="105" t="s">
        <v>60</v>
      </c>
      <c r="E64" s="105" t="s">
        <v>28</v>
      </c>
      <c r="F64" s="139">
        <v>47.5</v>
      </c>
      <c r="G64" s="130">
        <v>94.95</v>
      </c>
      <c r="H64" s="103"/>
      <c r="I64" s="103">
        <f t="shared" si="0"/>
        <v>0</v>
      </c>
    </row>
    <row r="65" spans="1:13" s="1" customFormat="1">
      <c r="A65" s="104" t="s">
        <v>379</v>
      </c>
      <c r="B65" s="106" t="s">
        <v>560</v>
      </c>
      <c r="C65" s="107" t="s">
        <v>44</v>
      </c>
      <c r="D65" s="105" t="s">
        <v>60</v>
      </c>
      <c r="E65" s="105" t="s">
        <v>35</v>
      </c>
      <c r="F65" s="139">
        <v>47.5</v>
      </c>
      <c r="G65" s="130">
        <v>94.95</v>
      </c>
      <c r="H65" s="103"/>
      <c r="I65" s="103">
        <f t="shared" si="0"/>
        <v>0</v>
      </c>
    </row>
    <row r="66" spans="1:13" s="1" customFormat="1">
      <c r="A66" s="104" t="s">
        <v>380</v>
      </c>
      <c r="B66" s="106" t="s">
        <v>497</v>
      </c>
      <c r="C66" s="107" t="s">
        <v>45</v>
      </c>
      <c r="D66" s="105" t="s">
        <v>60</v>
      </c>
      <c r="E66" s="105" t="s">
        <v>388</v>
      </c>
      <c r="F66" s="139">
        <v>47.5</v>
      </c>
      <c r="G66" s="130">
        <v>94.95</v>
      </c>
      <c r="H66" s="103"/>
      <c r="I66" s="103">
        <f t="shared" si="0"/>
        <v>0</v>
      </c>
    </row>
    <row r="67" spans="1:13" s="1" customFormat="1">
      <c r="A67" s="104" t="s">
        <v>381</v>
      </c>
      <c r="B67" s="106" t="s">
        <v>498</v>
      </c>
      <c r="C67" s="107" t="s">
        <v>45</v>
      </c>
      <c r="D67" s="105" t="s">
        <v>60</v>
      </c>
      <c r="E67" s="105" t="s">
        <v>24</v>
      </c>
      <c r="F67" s="139">
        <v>47.5</v>
      </c>
      <c r="G67" s="130">
        <v>94.95</v>
      </c>
      <c r="H67" s="103"/>
      <c r="I67" s="103">
        <f t="shared" si="0"/>
        <v>0</v>
      </c>
    </row>
    <row r="68" spans="1:13" s="1" customFormat="1">
      <c r="A68" s="104" t="s">
        <v>382</v>
      </c>
      <c r="B68" s="106" t="s">
        <v>499</v>
      </c>
      <c r="C68" s="107" t="s">
        <v>45</v>
      </c>
      <c r="D68" s="105" t="s">
        <v>60</v>
      </c>
      <c r="E68" s="105" t="s">
        <v>25</v>
      </c>
      <c r="F68" s="139">
        <v>47.5</v>
      </c>
      <c r="G68" s="130">
        <v>94.95</v>
      </c>
      <c r="H68" s="103"/>
      <c r="I68" s="103">
        <f t="shared" ref="I68:I131" si="1">H68*F68</f>
        <v>0</v>
      </c>
    </row>
    <row r="69" spans="1:13" s="1" customFormat="1">
      <c r="A69" s="104" t="s">
        <v>383</v>
      </c>
      <c r="B69" s="106" t="s">
        <v>500</v>
      </c>
      <c r="C69" s="107" t="s">
        <v>45</v>
      </c>
      <c r="D69" s="105" t="s">
        <v>60</v>
      </c>
      <c r="E69" s="105" t="s">
        <v>26</v>
      </c>
      <c r="F69" s="139">
        <v>47.5</v>
      </c>
      <c r="G69" s="130">
        <v>94.95</v>
      </c>
      <c r="H69" s="103"/>
      <c r="I69" s="103">
        <f t="shared" si="1"/>
        <v>0</v>
      </c>
    </row>
    <row r="70" spans="1:13" s="1" customFormat="1">
      <c r="A70" s="104" t="s">
        <v>384</v>
      </c>
      <c r="B70" s="106" t="s">
        <v>501</v>
      </c>
      <c r="C70" s="107" t="s">
        <v>45</v>
      </c>
      <c r="D70" s="105" t="s">
        <v>60</v>
      </c>
      <c r="E70" s="105" t="s">
        <v>27</v>
      </c>
      <c r="F70" s="139">
        <v>47.5</v>
      </c>
      <c r="G70" s="130">
        <v>94.95</v>
      </c>
      <c r="H70" s="103"/>
      <c r="I70" s="103">
        <f t="shared" si="1"/>
        <v>0</v>
      </c>
    </row>
    <row r="71" spans="1:13" s="1" customFormat="1">
      <c r="A71" s="104" t="s">
        <v>385</v>
      </c>
      <c r="B71" s="106" t="s">
        <v>502</v>
      </c>
      <c r="C71" s="107" t="s">
        <v>45</v>
      </c>
      <c r="D71" s="105" t="s">
        <v>60</v>
      </c>
      <c r="E71" s="105" t="s">
        <v>28</v>
      </c>
      <c r="F71" s="139">
        <v>47.5</v>
      </c>
      <c r="G71" s="130">
        <v>94.95</v>
      </c>
      <c r="H71" s="103"/>
      <c r="I71" s="103">
        <f t="shared" si="1"/>
        <v>0</v>
      </c>
    </row>
    <row r="72" spans="1:13" s="1" customFormat="1">
      <c r="A72" s="104" t="s">
        <v>386</v>
      </c>
      <c r="B72" s="106" t="s">
        <v>503</v>
      </c>
      <c r="C72" s="107" t="s">
        <v>45</v>
      </c>
      <c r="D72" s="105" t="s">
        <v>60</v>
      </c>
      <c r="E72" s="105" t="s">
        <v>35</v>
      </c>
      <c r="F72" s="139">
        <v>47.5</v>
      </c>
      <c r="G72" s="130">
        <v>94.95</v>
      </c>
      <c r="H72" s="103"/>
      <c r="I72" s="103">
        <f t="shared" si="1"/>
        <v>0</v>
      </c>
    </row>
    <row r="73" spans="1:13" s="6" customFormat="1">
      <c r="A73" s="104" t="s">
        <v>387</v>
      </c>
      <c r="B73" s="105" t="s">
        <v>574</v>
      </c>
      <c r="C73" s="105" t="s">
        <v>63</v>
      </c>
      <c r="D73" s="105" t="s">
        <v>61</v>
      </c>
      <c r="E73" s="105" t="s">
        <v>388</v>
      </c>
      <c r="F73" s="139">
        <v>47.5</v>
      </c>
      <c r="G73" s="130">
        <v>94.95</v>
      </c>
      <c r="H73" s="103"/>
      <c r="I73" s="103">
        <f t="shared" si="1"/>
        <v>0</v>
      </c>
      <c r="K73" s="1"/>
      <c r="L73" s="1"/>
      <c r="M73" s="1"/>
    </row>
    <row r="74" spans="1:13" s="6" customFormat="1">
      <c r="A74" s="104" t="s">
        <v>389</v>
      </c>
      <c r="B74" s="105" t="s">
        <v>575</v>
      </c>
      <c r="C74" s="105" t="s">
        <v>63</v>
      </c>
      <c r="D74" s="105" t="s">
        <v>61</v>
      </c>
      <c r="E74" s="105" t="s">
        <v>24</v>
      </c>
      <c r="F74" s="139">
        <v>47.5</v>
      </c>
      <c r="G74" s="130">
        <v>94.95</v>
      </c>
      <c r="H74" s="103"/>
      <c r="I74" s="103">
        <f t="shared" si="1"/>
        <v>0</v>
      </c>
      <c r="K74" s="1"/>
      <c r="L74" s="1"/>
      <c r="M74" s="1"/>
    </row>
    <row r="75" spans="1:13" s="6" customFormat="1">
      <c r="A75" s="104" t="s">
        <v>390</v>
      </c>
      <c r="B75" s="105" t="s">
        <v>576</v>
      </c>
      <c r="C75" s="105" t="s">
        <v>63</v>
      </c>
      <c r="D75" s="105" t="s">
        <v>61</v>
      </c>
      <c r="E75" s="105" t="s">
        <v>25</v>
      </c>
      <c r="F75" s="139">
        <v>47.5</v>
      </c>
      <c r="G75" s="130">
        <v>94.95</v>
      </c>
      <c r="H75" s="103"/>
      <c r="I75" s="103">
        <f t="shared" si="1"/>
        <v>0</v>
      </c>
      <c r="K75" s="1"/>
      <c r="L75" s="1"/>
      <c r="M75" s="1"/>
    </row>
    <row r="76" spans="1:13" s="1" customFormat="1">
      <c r="A76" s="104" t="s">
        <v>391</v>
      </c>
      <c r="B76" s="105" t="s">
        <v>577</v>
      </c>
      <c r="C76" s="105" t="s">
        <v>63</v>
      </c>
      <c r="D76" s="105" t="s">
        <v>61</v>
      </c>
      <c r="E76" s="105" t="s">
        <v>26</v>
      </c>
      <c r="F76" s="139">
        <v>47.5</v>
      </c>
      <c r="G76" s="130">
        <v>94.95</v>
      </c>
      <c r="H76" s="103"/>
      <c r="I76" s="103">
        <f t="shared" si="1"/>
        <v>0</v>
      </c>
    </row>
    <row r="77" spans="1:13" s="1" customFormat="1">
      <c r="A77" s="104" t="s">
        <v>392</v>
      </c>
      <c r="B77" s="105" t="s">
        <v>578</v>
      </c>
      <c r="C77" s="105" t="s">
        <v>63</v>
      </c>
      <c r="D77" s="105" t="s">
        <v>61</v>
      </c>
      <c r="E77" s="105" t="s">
        <v>27</v>
      </c>
      <c r="F77" s="139">
        <v>47.5</v>
      </c>
      <c r="G77" s="130">
        <v>94.95</v>
      </c>
      <c r="H77" s="103"/>
      <c r="I77" s="103">
        <f t="shared" si="1"/>
        <v>0</v>
      </c>
    </row>
    <row r="78" spans="1:13" s="1" customFormat="1">
      <c r="A78" s="104" t="s">
        <v>393</v>
      </c>
      <c r="B78" s="105" t="s">
        <v>579</v>
      </c>
      <c r="C78" s="105" t="s">
        <v>63</v>
      </c>
      <c r="D78" s="105" t="s">
        <v>61</v>
      </c>
      <c r="E78" s="105" t="s">
        <v>28</v>
      </c>
      <c r="F78" s="139">
        <v>47.5</v>
      </c>
      <c r="G78" s="130">
        <v>94.95</v>
      </c>
      <c r="H78" s="103"/>
      <c r="I78" s="103">
        <f t="shared" si="1"/>
        <v>0</v>
      </c>
    </row>
    <row r="79" spans="1:13" s="1" customFormat="1">
      <c r="A79" s="104" t="s">
        <v>394</v>
      </c>
      <c r="B79" s="105" t="s">
        <v>580</v>
      </c>
      <c r="C79" s="105" t="s">
        <v>63</v>
      </c>
      <c r="D79" s="105" t="s">
        <v>61</v>
      </c>
      <c r="E79" s="105" t="s">
        <v>35</v>
      </c>
      <c r="F79" s="139">
        <v>47.5</v>
      </c>
      <c r="G79" s="130">
        <v>94.95</v>
      </c>
      <c r="H79" s="103"/>
      <c r="I79" s="103">
        <f t="shared" si="1"/>
        <v>0</v>
      </c>
    </row>
    <row r="80" spans="1:13" s="1" customFormat="1">
      <c r="A80" s="104" t="s">
        <v>395</v>
      </c>
      <c r="B80" s="105" t="s">
        <v>518</v>
      </c>
      <c r="C80" s="105" t="s">
        <v>58</v>
      </c>
      <c r="D80" s="105" t="s">
        <v>61</v>
      </c>
      <c r="E80" s="105" t="s">
        <v>388</v>
      </c>
      <c r="F80" s="139">
        <v>42.5</v>
      </c>
      <c r="G80" s="130">
        <v>84.95</v>
      </c>
      <c r="H80" s="103"/>
      <c r="I80" s="103">
        <f t="shared" si="1"/>
        <v>0</v>
      </c>
    </row>
    <row r="81" spans="1:9" s="1" customFormat="1">
      <c r="A81" s="104" t="s">
        <v>396</v>
      </c>
      <c r="B81" s="105" t="s">
        <v>519</v>
      </c>
      <c r="C81" s="105" t="s">
        <v>58</v>
      </c>
      <c r="D81" s="105" t="s">
        <v>61</v>
      </c>
      <c r="E81" s="105" t="s">
        <v>24</v>
      </c>
      <c r="F81" s="139">
        <v>42.5</v>
      </c>
      <c r="G81" s="130">
        <v>84.95</v>
      </c>
      <c r="H81" s="103"/>
      <c r="I81" s="103">
        <f t="shared" si="1"/>
        <v>0</v>
      </c>
    </row>
    <row r="82" spans="1:9" s="1" customFormat="1">
      <c r="A82" s="104" t="s">
        <v>397</v>
      </c>
      <c r="B82" s="105" t="s">
        <v>520</v>
      </c>
      <c r="C82" s="105" t="s">
        <v>58</v>
      </c>
      <c r="D82" s="105" t="s">
        <v>61</v>
      </c>
      <c r="E82" s="105" t="s">
        <v>25</v>
      </c>
      <c r="F82" s="139">
        <v>42.5</v>
      </c>
      <c r="G82" s="130">
        <v>84.95</v>
      </c>
      <c r="H82" s="103"/>
      <c r="I82" s="103">
        <f t="shared" si="1"/>
        <v>0</v>
      </c>
    </row>
    <row r="83" spans="1:9" s="1" customFormat="1">
      <c r="A83" s="108">
        <v>7330057024456</v>
      </c>
      <c r="B83" s="105" t="s">
        <v>521</v>
      </c>
      <c r="C83" s="105" t="s">
        <v>58</v>
      </c>
      <c r="D83" s="105" t="s">
        <v>61</v>
      </c>
      <c r="E83" s="105" t="s">
        <v>26</v>
      </c>
      <c r="F83" s="139">
        <v>42.5</v>
      </c>
      <c r="G83" s="130">
        <v>84.95</v>
      </c>
      <c r="H83" s="103"/>
      <c r="I83" s="103">
        <f t="shared" si="1"/>
        <v>0</v>
      </c>
    </row>
    <row r="84" spans="1:9" s="1" customFormat="1">
      <c r="A84" s="108">
        <v>7330057024463</v>
      </c>
      <c r="B84" s="105" t="s">
        <v>522</v>
      </c>
      <c r="C84" s="105" t="s">
        <v>58</v>
      </c>
      <c r="D84" s="105" t="s">
        <v>61</v>
      </c>
      <c r="E84" s="105" t="s">
        <v>27</v>
      </c>
      <c r="F84" s="139">
        <v>42.5</v>
      </c>
      <c r="G84" s="130">
        <v>84.95</v>
      </c>
      <c r="H84" s="103"/>
      <c r="I84" s="103">
        <f t="shared" si="1"/>
        <v>0</v>
      </c>
    </row>
    <row r="85" spans="1:9" s="1" customFormat="1">
      <c r="A85" s="108">
        <v>7330057024470</v>
      </c>
      <c r="B85" s="105" t="s">
        <v>523</v>
      </c>
      <c r="C85" s="105" t="s">
        <v>58</v>
      </c>
      <c r="D85" s="105" t="s">
        <v>61</v>
      </c>
      <c r="E85" s="105" t="s">
        <v>28</v>
      </c>
      <c r="F85" s="139">
        <v>42.5</v>
      </c>
      <c r="G85" s="130">
        <v>84.95</v>
      </c>
      <c r="H85" s="103"/>
      <c r="I85" s="103">
        <f t="shared" si="1"/>
        <v>0</v>
      </c>
    </row>
    <row r="86" spans="1:9" s="1" customFormat="1">
      <c r="A86" s="108">
        <v>7330057024487</v>
      </c>
      <c r="B86" s="105" t="s">
        <v>524</v>
      </c>
      <c r="C86" s="105" t="s">
        <v>58</v>
      </c>
      <c r="D86" s="105" t="s">
        <v>61</v>
      </c>
      <c r="E86" s="105" t="s">
        <v>35</v>
      </c>
      <c r="F86" s="139">
        <v>42.5</v>
      </c>
      <c r="G86" s="130">
        <v>84.95</v>
      </c>
      <c r="H86" s="103"/>
      <c r="I86" s="103">
        <f t="shared" si="1"/>
        <v>0</v>
      </c>
    </row>
    <row r="87" spans="1:9" s="1" customFormat="1">
      <c r="A87" s="108">
        <v>7330057024494</v>
      </c>
      <c r="B87" s="106" t="s">
        <v>469</v>
      </c>
      <c r="C87" s="105" t="s">
        <v>59</v>
      </c>
      <c r="D87" s="105" t="s">
        <v>61</v>
      </c>
      <c r="E87" s="105" t="s">
        <v>388</v>
      </c>
      <c r="F87" s="159">
        <v>25</v>
      </c>
      <c r="G87" s="103">
        <v>49.95</v>
      </c>
      <c r="H87" s="103"/>
      <c r="I87" s="103">
        <f t="shared" si="1"/>
        <v>0</v>
      </c>
    </row>
    <row r="88" spans="1:9" s="1" customFormat="1">
      <c r="A88" s="108">
        <v>7330057024500</v>
      </c>
      <c r="B88" s="106" t="s">
        <v>470</v>
      </c>
      <c r="C88" s="105" t="s">
        <v>59</v>
      </c>
      <c r="D88" s="105" t="s">
        <v>61</v>
      </c>
      <c r="E88" s="105" t="s">
        <v>24</v>
      </c>
      <c r="F88" s="159">
        <v>25</v>
      </c>
      <c r="G88" s="103">
        <v>49.95</v>
      </c>
      <c r="H88" s="103"/>
      <c r="I88" s="103">
        <f t="shared" si="1"/>
        <v>0</v>
      </c>
    </row>
    <row r="89" spans="1:9" s="1" customFormat="1">
      <c r="A89" s="108">
        <v>7330057024517</v>
      </c>
      <c r="B89" s="106" t="s">
        <v>471</v>
      </c>
      <c r="C89" s="105" t="s">
        <v>59</v>
      </c>
      <c r="D89" s="105" t="s">
        <v>61</v>
      </c>
      <c r="E89" s="105" t="s">
        <v>25</v>
      </c>
      <c r="F89" s="159">
        <v>25</v>
      </c>
      <c r="G89" s="103">
        <v>49.95</v>
      </c>
      <c r="H89" s="103"/>
      <c r="I89" s="103">
        <f t="shared" si="1"/>
        <v>0</v>
      </c>
    </row>
    <row r="90" spans="1:9" s="1" customFormat="1">
      <c r="A90" s="108">
        <v>7330057024524</v>
      </c>
      <c r="B90" s="106" t="s">
        <v>472</v>
      </c>
      <c r="C90" s="105" t="s">
        <v>59</v>
      </c>
      <c r="D90" s="105" t="s">
        <v>61</v>
      </c>
      <c r="E90" s="105" t="s">
        <v>26</v>
      </c>
      <c r="F90" s="159">
        <v>25</v>
      </c>
      <c r="G90" s="103">
        <v>49.95</v>
      </c>
      <c r="H90" s="103"/>
      <c r="I90" s="103">
        <f t="shared" si="1"/>
        <v>0</v>
      </c>
    </row>
    <row r="91" spans="1:9" s="1" customFormat="1">
      <c r="A91" s="108">
        <v>7330057024531</v>
      </c>
      <c r="B91" s="106" t="s">
        <v>473</v>
      </c>
      <c r="C91" s="105" t="s">
        <v>59</v>
      </c>
      <c r="D91" s="105" t="s">
        <v>61</v>
      </c>
      <c r="E91" s="105" t="s">
        <v>27</v>
      </c>
      <c r="F91" s="159">
        <v>25</v>
      </c>
      <c r="G91" s="103">
        <v>49.95</v>
      </c>
      <c r="H91" s="103"/>
      <c r="I91" s="103">
        <f t="shared" si="1"/>
        <v>0</v>
      </c>
    </row>
    <row r="92" spans="1:9" s="1" customFormat="1">
      <c r="A92" s="108">
        <v>7330057024548</v>
      </c>
      <c r="B92" s="106" t="s">
        <v>474</v>
      </c>
      <c r="C92" s="105" t="s">
        <v>59</v>
      </c>
      <c r="D92" s="105" t="s">
        <v>61</v>
      </c>
      <c r="E92" s="105" t="s">
        <v>28</v>
      </c>
      <c r="F92" s="159">
        <v>25</v>
      </c>
      <c r="G92" s="103">
        <v>49.95</v>
      </c>
      <c r="H92" s="103"/>
      <c r="I92" s="103">
        <f t="shared" si="1"/>
        <v>0</v>
      </c>
    </row>
    <row r="93" spans="1:9" s="1" customFormat="1">
      <c r="A93" s="108">
        <v>7330057024555</v>
      </c>
      <c r="B93" s="106" t="s">
        <v>475</v>
      </c>
      <c r="C93" s="105" t="s">
        <v>59</v>
      </c>
      <c r="D93" s="105" t="s">
        <v>61</v>
      </c>
      <c r="E93" s="105" t="s">
        <v>35</v>
      </c>
      <c r="F93" s="159">
        <v>25</v>
      </c>
      <c r="G93" s="103">
        <v>49.95</v>
      </c>
      <c r="H93" s="103"/>
      <c r="I93" s="103">
        <f t="shared" si="1"/>
        <v>0</v>
      </c>
    </row>
    <row r="94" spans="1:9" s="1" customFormat="1">
      <c r="A94" s="108">
        <v>7330057024562</v>
      </c>
      <c r="B94" s="106" t="s">
        <v>546</v>
      </c>
      <c r="C94" s="107" t="s">
        <v>44</v>
      </c>
      <c r="D94" s="105" t="s">
        <v>61</v>
      </c>
      <c r="E94" s="105" t="s">
        <v>388</v>
      </c>
      <c r="F94" s="139">
        <v>47.5</v>
      </c>
      <c r="G94" s="130">
        <v>94.95</v>
      </c>
      <c r="H94" s="103"/>
      <c r="I94" s="103">
        <f t="shared" si="1"/>
        <v>0</v>
      </c>
    </row>
    <row r="95" spans="1:9" s="1" customFormat="1">
      <c r="A95" s="108">
        <v>7330057024579</v>
      </c>
      <c r="B95" s="106" t="s">
        <v>547</v>
      </c>
      <c r="C95" s="107" t="s">
        <v>44</v>
      </c>
      <c r="D95" s="105" t="s">
        <v>61</v>
      </c>
      <c r="E95" s="105" t="s">
        <v>24</v>
      </c>
      <c r="F95" s="139">
        <v>47.5</v>
      </c>
      <c r="G95" s="130">
        <v>94.95</v>
      </c>
      <c r="H95" s="103"/>
      <c r="I95" s="103">
        <f t="shared" si="1"/>
        <v>0</v>
      </c>
    </row>
    <row r="96" spans="1:9" s="1" customFormat="1">
      <c r="A96" s="108">
        <v>7330057024586</v>
      </c>
      <c r="B96" s="106" t="s">
        <v>548</v>
      </c>
      <c r="C96" s="107" t="s">
        <v>44</v>
      </c>
      <c r="D96" s="105" t="s">
        <v>61</v>
      </c>
      <c r="E96" s="105" t="s">
        <v>25</v>
      </c>
      <c r="F96" s="139">
        <v>47.5</v>
      </c>
      <c r="G96" s="130">
        <v>94.95</v>
      </c>
      <c r="H96" s="103"/>
      <c r="I96" s="103">
        <f t="shared" si="1"/>
        <v>0</v>
      </c>
    </row>
    <row r="97" spans="1:13" s="1" customFormat="1">
      <c r="A97" s="108">
        <v>7330057024593</v>
      </c>
      <c r="B97" s="106" t="s">
        <v>549</v>
      </c>
      <c r="C97" s="107" t="s">
        <v>44</v>
      </c>
      <c r="D97" s="105" t="s">
        <v>61</v>
      </c>
      <c r="E97" s="105" t="s">
        <v>26</v>
      </c>
      <c r="F97" s="139">
        <v>47.5</v>
      </c>
      <c r="G97" s="130">
        <v>94.95</v>
      </c>
      <c r="H97" s="103"/>
      <c r="I97" s="103">
        <f t="shared" si="1"/>
        <v>0</v>
      </c>
    </row>
    <row r="98" spans="1:13" s="1" customFormat="1">
      <c r="A98" s="108">
        <v>7330057024609</v>
      </c>
      <c r="B98" s="106" t="s">
        <v>550</v>
      </c>
      <c r="C98" s="107" t="s">
        <v>44</v>
      </c>
      <c r="D98" s="105" t="s">
        <v>61</v>
      </c>
      <c r="E98" s="105" t="s">
        <v>27</v>
      </c>
      <c r="F98" s="139">
        <v>47.5</v>
      </c>
      <c r="G98" s="130">
        <v>94.95</v>
      </c>
      <c r="H98" s="103"/>
      <c r="I98" s="103">
        <f t="shared" si="1"/>
        <v>0</v>
      </c>
    </row>
    <row r="99" spans="1:13" s="1" customFormat="1">
      <c r="A99" s="108">
        <v>7330057024616</v>
      </c>
      <c r="B99" s="106" t="s">
        <v>551</v>
      </c>
      <c r="C99" s="107" t="s">
        <v>44</v>
      </c>
      <c r="D99" s="105" t="s">
        <v>61</v>
      </c>
      <c r="E99" s="105" t="s">
        <v>28</v>
      </c>
      <c r="F99" s="139">
        <v>47.5</v>
      </c>
      <c r="G99" s="130">
        <v>94.95</v>
      </c>
      <c r="H99" s="103"/>
      <c r="I99" s="103">
        <f t="shared" si="1"/>
        <v>0</v>
      </c>
    </row>
    <row r="100" spans="1:13" s="1" customFormat="1">
      <c r="A100" s="108">
        <v>7330057024623</v>
      </c>
      <c r="B100" s="106" t="s">
        <v>552</v>
      </c>
      <c r="C100" s="107" t="s">
        <v>44</v>
      </c>
      <c r="D100" s="105" t="s">
        <v>61</v>
      </c>
      <c r="E100" s="105" t="s">
        <v>35</v>
      </c>
      <c r="F100" s="139">
        <v>47.5</v>
      </c>
      <c r="G100" s="130">
        <v>94.95</v>
      </c>
      <c r="H100" s="103"/>
      <c r="I100" s="103">
        <f t="shared" si="1"/>
        <v>0</v>
      </c>
    </row>
    <row r="101" spans="1:13" s="1" customFormat="1">
      <c r="A101" s="108">
        <v>7330057024630</v>
      </c>
      <c r="B101" s="107" t="s">
        <v>490</v>
      </c>
      <c r="C101" s="107" t="s">
        <v>45</v>
      </c>
      <c r="D101" s="105" t="s">
        <v>61</v>
      </c>
      <c r="E101" s="105" t="s">
        <v>388</v>
      </c>
      <c r="F101" s="139">
        <v>47.5</v>
      </c>
      <c r="G101" s="130">
        <v>94.95</v>
      </c>
      <c r="H101" s="103"/>
      <c r="I101" s="103">
        <f t="shared" si="1"/>
        <v>0</v>
      </c>
    </row>
    <row r="102" spans="1:13" s="1" customFormat="1">
      <c r="A102" s="108">
        <v>7330057024647</v>
      </c>
      <c r="B102" s="107" t="s">
        <v>491</v>
      </c>
      <c r="C102" s="107" t="s">
        <v>45</v>
      </c>
      <c r="D102" s="105" t="s">
        <v>61</v>
      </c>
      <c r="E102" s="105" t="s">
        <v>24</v>
      </c>
      <c r="F102" s="139">
        <v>47.5</v>
      </c>
      <c r="G102" s="130">
        <v>94.95</v>
      </c>
      <c r="H102" s="103"/>
      <c r="I102" s="103">
        <f t="shared" si="1"/>
        <v>0</v>
      </c>
    </row>
    <row r="103" spans="1:13" s="1" customFormat="1">
      <c r="A103" s="108">
        <v>7330057024654</v>
      </c>
      <c r="B103" s="107" t="s">
        <v>492</v>
      </c>
      <c r="C103" s="107" t="s">
        <v>45</v>
      </c>
      <c r="D103" s="105" t="s">
        <v>61</v>
      </c>
      <c r="E103" s="105" t="s">
        <v>25</v>
      </c>
      <c r="F103" s="139">
        <v>47.5</v>
      </c>
      <c r="G103" s="130">
        <v>94.95</v>
      </c>
      <c r="H103" s="103"/>
      <c r="I103" s="103">
        <f t="shared" si="1"/>
        <v>0</v>
      </c>
    </row>
    <row r="104" spans="1:13" s="1" customFormat="1">
      <c r="A104" s="108">
        <v>7330057024661</v>
      </c>
      <c r="B104" s="107" t="s">
        <v>493</v>
      </c>
      <c r="C104" s="107" t="s">
        <v>45</v>
      </c>
      <c r="D104" s="105" t="s">
        <v>61</v>
      </c>
      <c r="E104" s="105" t="s">
        <v>26</v>
      </c>
      <c r="F104" s="139">
        <v>47.5</v>
      </c>
      <c r="G104" s="130">
        <v>94.95</v>
      </c>
      <c r="H104" s="103"/>
      <c r="I104" s="103">
        <f t="shared" si="1"/>
        <v>0</v>
      </c>
    </row>
    <row r="105" spans="1:13" s="1" customFormat="1">
      <c r="A105" s="108">
        <v>7330057024678</v>
      </c>
      <c r="B105" s="107" t="s">
        <v>494</v>
      </c>
      <c r="C105" s="107" t="s">
        <v>45</v>
      </c>
      <c r="D105" s="105" t="s">
        <v>61</v>
      </c>
      <c r="E105" s="105" t="s">
        <v>27</v>
      </c>
      <c r="F105" s="139">
        <v>47.5</v>
      </c>
      <c r="G105" s="130">
        <v>94.95</v>
      </c>
      <c r="H105" s="103"/>
      <c r="I105" s="103">
        <f t="shared" si="1"/>
        <v>0</v>
      </c>
    </row>
    <row r="106" spans="1:13" s="1" customFormat="1">
      <c r="A106" s="108">
        <v>7330057024685</v>
      </c>
      <c r="B106" s="107" t="s">
        <v>495</v>
      </c>
      <c r="C106" s="107" t="s">
        <v>45</v>
      </c>
      <c r="D106" s="105" t="s">
        <v>61</v>
      </c>
      <c r="E106" s="105" t="s">
        <v>28</v>
      </c>
      <c r="F106" s="139">
        <v>47.5</v>
      </c>
      <c r="G106" s="130">
        <v>94.95</v>
      </c>
      <c r="H106" s="103"/>
      <c r="I106" s="103">
        <f t="shared" si="1"/>
        <v>0</v>
      </c>
    </row>
    <row r="107" spans="1:13" s="1" customFormat="1">
      <c r="A107" s="108">
        <v>7330057024692</v>
      </c>
      <c r="B107" s="107" t="s">
        <v>496</v>
      </c>
      <c r="C107" s="107" t="s">
        <v>45</v>
      </c>
      <c r="D107" s="105" t="s">
        <v>61</v>
      </c>
      <c r="E107" s="105" t="s">
        <v>35</v>
      </c>
      <c r="F107" s="139">
        <v>47.5</v>
      </c>
      <c r="G107" s="130">
        <v>94.95</v>
      </c>
      <c r="H107" s="103"/>
      <c r="I107" s="103">
        <f t="shared" si="1"/>
        <v>0</v>
      </c>
    </row>
    <row r="108" spans="1:13" s="6" customFormat="1">
      <c r="A108" s="108">
        <v>7330057024708</v>
      </c>
      <c r="B108" s="105" t="s">
        <v>567</v>
      </c>
      <c r="C108" s="105" t="s">
        <v>63</v>
      </c>
      <c r="D108" s="105" t="s">
        <v>62</v>
      </c>
      <c r="E108" s="105" t="s">
        <v>388</v>
      </c>
      <c r="F108" s="139">
        <v>47.5</v>
      </c>
      <c r="G108" s="130">
        <v>94.95</v>
      </c>
      <c r="H108" s="103"/>
      <c r="I108" s="103">
        <f t="shared" si="1"/>
        <v>0</v>
      </c>
      <c r="K108" s="1"/>
      <c r="L108" s="1"/>
      <c r="M108" s="1"/>
    </row>
    <row r="109" spans="1:13" s="6" customFormat="1">
      <c r="A109" s="108">
        <v>7330057024715</v>
      </c>
      <c r="B109" s="105" t="s">
        <v>568</v>
      </c>
      <c r="C109" s="105" t="s">
        <v>63</v>
      </c>
      <c r="D109" s="105" t="s">
        <v>62</v>
      </c>
      <c r="E109" s="105" t="s">
        <v>24</v>
      </c>
      <c r="F109" s="139">
        <v>47.5</v>
      </c>
      <c r="G109" s="130">
        <v>94.95</v>
      </c>
      <c r="H109" s="103"/>
      <c r="I109" s="103">
        <f t="shared" si="1"/>
        <v>0</v>
      </c>
      <c r="K109" s="1"/>
      <c r="L109" s="1"/>
      <c r="M109" s="1"/>
    </row>
    <row r="110" spans="1:13" s="6" customFormat="1">
      <c r="A110" s="108">
        <v>7330057024722</v>
      </c>
      <c r="B110" s="105" t="s">
        <v>569</v>
      </c>
      <c r="C110" s="105" t="s">
        <v>63</v>
      </c>
      <c r="D110" s="105" t="s">
        <v>62</v>
      </c>
      <c r="E110" s="105" t="s">
        <v>25</v>
      </c>
      <c r="F110" s="139">
        <v>47.5</v>
      </c>
      <c r="G110" s="130">
        <v>94.95</v>
      </c>
      <c r="H110" s="103"/>
      <c r="I110" s="103">
        <f t="shared" si="1"/>
        <v>0</v>
      </c>
      <c r="K110" s="1"/>
      <c r="L110" s="1"/>
      <c r="M110" s="1"/>
    </row>
    <row r="111" spans="1:13" s="1" customFormat="1">
      <c r="A111" s="108">
        <v>7330057024739</v>
      </c>
      <c r="B111" s="105" t="s">
        <v>570</v>
      </c>
      <c r="C111" s="105" t="s">
        <v>63</v>
      </c>
      <c r="D111" s="105" t="s">
        <v>62</v>
      </c>
      <c r="E111" s="105" t="s">
        <v>26</v>
      </c>
      <c r="F111" s="139">
        <v>47.5</v>
      </c>
      <c r="G111" s="130">
        <v>94.95</v>
      </c>
      <c r="H111" s="103"/>
      <c r="I111" s="103">
        <f t="shared" si="1"/>
        <v>0</v>
      </c>
    </row>
    <row r="112" spans="1:13" s="1" customFormat="1">
      <c r="A112" s="108">
        <v>7330057024746</v>
      </c>
      <c r="B112" s="105" t="s">
        <v>571</v>
      </c>
      <c r="C112" s="105" t="s">
        <v>63</v>
      </c>
      <c r="D112" s="105" t="s">
        <v>62</v>
      </c>
      <c r="E112" s="105" t="s">
        <v>27</v>
      </c>
      <c r="F112" s="139">
        <v>47.5</v>
      </c>
      <c r="G112" s="130">
        <v>94.95</v>
      </c>
      <c r="H112" s="103"/>
      <c r="I112" s="103">
        <f t="shared" si="1"/>
        <v>0</v>
      </c>
    </row>
    <row r="113" spans="1:9" s="1" customFormat="1">
      <c r="A113" s="108">
        <v>7330057024753</v>
      </c>
      <c r="B113" s="105" t="s">
        <v>572</v>
      </c>
      <c r="C113" s="105" t="s">
        <v>63</v>
      </c>
      <c r="D113" s="105" t="s">
        <v>62</v>
      </c>
      <c r="E113" s="105" t="s">
        <v>28</v>
      </c>
      <c r="F113" s="139">
        <v>47.5</v>
      </c>
      <c r="G113" s="130">
        <v>94.95</v>
      </c>
      <c r="H113" s="103"/>
      <c r="I113" s="103">
        <f t="shared" si="1"/>
        <v>0</v>
      </c>
    </row>
    <row r="114" spans="1:9" s="1" customFormat="1">
      <c r="A114" s="108">
        <v>7330057024760</v>
      </c>
      <c r="B114" s="105" t="s">
        <v>573</v>
      </c>
      <c r="C114" s="105" t="s">
        <v>63</v>
      </c>
      <c r="D114" s="105" t="s">
        <v>62</v>
      </c>
      <c r="E114" s="105" t="s">
        <v>35</v>
      </c>
      <c r="F114" s="139">
        <v>47.5</v>
      </c>
      <c r="G114" s="130">
        <v>94.95</v>
      </c>
      <c r="H114" s="103"/>
      <c r="I114" s="103">
        <f t="shared" si="1"/>
        <v>0</v>
      </c>
    </row>
    <row r="115" spans="1:9" s="1" customFormat="1">
      <c r="A115" s="108">
        <v>7330057024777</v>
      </c>
      <c r="B115" s="105" t="s">
        <v>511</v>
      </c>
      <c r="C115" s="105" t="s">
        <v>58</v>
      </c>
      <c r="D115" s="105" t="s">
        <v>62</v>
      </c>
      <c r="E115" s="105" t="s">
        <v>388</v>
      </c>
      <c r="F115" s="139">
        <v>42.5</v>
      </c>
      <c r="G115" s="130">
        <v>84.95</v>
      </c>
      <c r="H115" s="103"/>
      <c r="I115" s="103">
        <f t="shared" si="1"/>
        <v>0</v>
      </c>
    </row>
    <row r="116" spans="1:9" s="1" customFormat="1">
      <c r="A116" s="108">
        <v>7330057024784</v>
      </c>
      <c r="B116" s="105" t="s">
        <v>512</v>
      </c>
      <c r="C116" s="105" t="s">
        <v>58</v>
      </c>
      <c r="D116" s="105" t="s">
        <v>62</v>
      </c>
      <c r="E116" s="105" t="s">
        <v>24</v>
      </c>
      <c r="F116" s="139">
        <v>42.5</v>
      </c>
      <c r="G116" s="130">
        <v>84.95</v>
      </c>
      <c r="H116" s="103"/>
      <c r="I116" s="103">
        <f t="shared" si="1"/>
        <v>0</v>
      </c>
    </row>
    <row r="117" spans="1:9" s="1" customFormat="1">
      <c r="A117" s="108">
        <v>7330057024791</v>
      </c>
      <c r="B117" s="105" t="s">
        <v>513</v>
      </c>
      <c r="C117" s="105" t="s">
        <v>58</v>
      </c>
      <c r="D117" s="105" t="s">
        <v>62</v>
      </c>
      <c r="E117" s="105" t="s">
        <v>25</v>
      </c>
      <c r="F117" s="139">
        <v>42.5</v>
      </c>
      <c r="G117" s="130">
        <v>84.95</v>
      </c>
      <c r="H117" s="103"/>
      <c r="I117" s="103">
        <f t="shared" si="1"/>
        <v>0</v>
      </c>
    </row>
    <row r="118" spans="1:9" s="1" customFormat="1">
      <c r="A118" s="108">
        <v>7330057024807</v>
      </c>
      <c r="B118" s="105" t="s">
        <v>514</v>
      </c>
      <c r="C118" s="105" t="s">
        <v>58</v>
      </c>
      <c r="D118" s="105" t="s">
        <v>62</v>
      </c>
      <c r="E118" s="105" t="s">
        <v>26</v>
      </c>
      <c r="F118" s="139">
        <v>42.5</v>
      </c>
      <c r="G118" s="130">
        <v>84.95</v>
      </c>
      <c r="H118" s="103"/>
      <c r="I118" s="103">
        <f t="shared" si="1"/>
        <v>0</v>
      </c>
    </row>
    <row r="119" spans="1:9" s="1" customFormat="1">
      <c r="A119" s="108">
        <v>7330057024814</v>
      </c>
      <c r="B119" s="105" t="s">
        <v>515</v>
      </c>
      <c r="C119" s="105" t="s">
        <v>58</v>
      </c>
      <c r="D119" s="105" t="s">
        <v>62</v>
      </c>
      <c r="E119" s="105" t="s">
        <v>27</v>
      </c>
      <c r="F119" s="139">
        <v>42.5</v>
      </c>
      <c r="G119" s="130">
        <v>84.95</v>
      </c>
      <c r="H119" s="103"/>
      <c r="I119" s="103">
        <f t="shared" si="1"/>
        <v>0</v>
      </c>
    </row>
    <row r="120" spans="1:9" s="1" customFormat="1">
      <c r="A120" s="108">
        <v>7330057024821</v>
      </c>
      <c r="B120" s="105" t="s">
        <v>516</v>
      </c>
      <c r="C120" s="105" t="s">
        <v>58</v>
      </c>
      <c r="D120" s="105" t="s">
        <v>62</v>
      </c>
      <c r="E120" s="105" t="s">
        <v>28</v>
      </c>
      <c r="F120" s="139">
        <v>42.5</v>
      </c>
      <c r="G120" s="130">
        <v>84.95</v>
      </c>
      <c r="H120" s="103"/>
      <c r="I120" s="103">
        <f t="shared" si="1"/>
        <v>0</v>
      </c>
    </row>
    <row r="121" spans="1:9" s="1" customFormat="1">
      <c r="A121" s="108">
        <v>7330057024838</v>
      </c>
      <c r="B121" s="105" t="s">
        <v>517</v>
      </c>
      <c r="C121" s="105" t="s">
        <v>58</v>
      </c>
      <c r="D121" s="105" t="s">
        <v>62</v>
      </c>
      <c r="E121" s="105" t="s">
        <v>35</v>
      </c>
      <c r="F121" s="139">
        <v>42.5</v>
      </c>
      <c r="G121" s="130">
        <v>84.95</v>
      </c>
      <c r="H121" s="103"/>
      <c r="I121" s="103">
        <f t="shared" si="1"/>
        <v>0</v>
      </c>
    </row>
    <row r="122" spans="1:9" s="1" customFormat="1">
      <c r="A122" s="108">
        <v>7330057024845</v>
      </c>
      <c r="B122" s="106" t="s">
        <v>476</v>
      </c>
      <c r="C122" s="105" t="s">
        <v>59</v>
      </c>
      <c r="D122" s="105" t="s">
        <v>62</v>
      </c>
      <c r="E122" s="105" t="s">
        <v>388</v>
      </c>
      <c r="F122" s="159">
        <v>25</v>
      </c>
      <c r="G122" s="103">
        <v>49.95</v>
      </c>
      <c r="H122" s="103"/>
      <c r="I122" s="103">
        <f t="shared" si="1"/>
        <v>0</v>
      </c>
    </row>
    <row r="123" spans="1:9" s="1" customFormat="1">
      <c r="A123" s="108">
        <v>7330057024852</v>
      </c>
      <c r="B123" s="106" t="s">
        <v>477</v>
      </c>
      <c r="C123" s="105" t="s">
        <v>59</v>
      </c>
      <c r="D123" s="105" t="s">
        <v>62</v>
      </c>
      <c r="E123" s="105" t="s">
        <v>24</v>
      </c>
      <c r="F123" s="159">
        <v>25</v>
      </c>
      <c r="G123" s="103">
        <v>49.95</v>
      </c>
      <c r="H123" s="103"/>
      <c r="I123" s="103">
        <f t="shared" si="1"/>
        <v>0</v>
      </c>
    </row>
    <row r="124" spans="1:9" s="1" customFormat="1">
      <c r="A124" s="108">
        <v>7330057024869</v>
      </c>
      <c r="B124" s="106" t="s">
        <v>478</v>
      </c>
      <c r="C124" s="105" t="s">
        <v>59</v>
      </c>
      <c r="D124" s="105" t="s">
        <v>62</v>
      </c>
      <c r="E124" s="105" t="s">
        <v>25</v>
      </c>
      <c r="F124" s="159">
        <v>25</v>
      </c>
      <c r="G124" s="103">
        <v>49.95</v>
      </c>
      <c r="H124" s="103"/>
      <c r="I124" s="103">
        <f t="shared" si="1"/>
        <v>0</v>
      </c>
    </row>
    <row r="125" spans="1:9" s="1" customFormat="1">
      <c r="A125" s="108">
        <v>7330057024876</v>
      </c>
      <c r="B125" s="106" t="s">
        <v>479</v>
      </c>
      <c r="C125" s="105" t="s">
        <v>59</v>
      </c>
      <c r="D125" s="105" t="s">
        <v>62</v>
      </c>
      <c r="E125" s="105" t="s">
        <v>26</v>
      </c>
      <c r="F125" s="159">
        <v>25</v>
      </c>
      <c r="G125" s="103">
        <v>49.95</v>
      </c>
      <c r="H125" s="103"/>
      <c r="I125" s="103">
        <f t="shared" si="1"/>
        <v>0</v>
      </c>
    </row>
    <row r="126" spans="1:9" s="1" customFormat="1">
      <c r="A126" s="108">
        <v>7330057024883</v>
      </c>
      <c r="B126" s="106" t="s">
        <v>480</v>
      </c>
      <c r="C126" s="105" t="s">
        <v>59</v>
      </c>
      <c r="D126" s="105" t="s">
        <v>62</v>
      </c>
      <c r="E126" s="105" t="s">
        <v>27</v>
      </c>
      <c r="F126" s="159">
        <v>25</v>
      </c>
      <c r="G126" s="103">
        <v>49.95</v>
      </c>
      <c r="H126" s="103"/>
      <c r="I126" s="103">
        <f t="shared" si="1"/>
        <v>0</v>
      </c>
    </row>
    <row r="127" spans="1:9" s="1" customFormat="1">
      <c r="A127" s="108">
        <v>7330057024890</v>
      </c>
      <c r="B127" s="106" t="s">
        <v>481</v>
      </c>
      <c r="C127" s="105" t="s">
        <v>59</v>
      </c>
      <c r="D127" s="105" t="s">
        <v>62</v>
      </c>
      <c r="E127" s="105" t="s">
        <v>28</v>
      </c>
      <c r="F127" s="159">
        <v>25</v>
      </c>
      <c r="G127" s="103">
        <v>49.95</v>
      </c>
      <c r="H127" s="103"/>
      <c r="I127" s="103">
        <f t="shared" si="1"/>
        <v>0</v>
      </c>
    </row>
    <row r="128" spans="1:9" s="1" customFormat="1">
      <c r="A128" s="108">
        <v>7330057024906</v>
      </c>
      <c r="B128" s="106" t="s">
        <v>482</v>
      </c>
      <c r="C128" s="105" t="s">
        <v>59</v>
      </c>
      <c r="D128" s="105" t="s">
        <v>62</v>
      </c>
      <c r="E128" s="105" t="s">
        <v>35</v>
      </c>
      <c r="F128" s="159">
        <v>25</v>
      </c>
      <c r="G128" s="103">
        <v>49.95</v>
      </c>
      <c r="H128" s="103"/>
      <c r="I128" s="103">
        <f t="shared" si="1"/>
        <v>0</v>
      </c>
    </row>
    <row r="129" spans="1:13" s="1" customFormat="1">
      <c r="A129" s="108">
        <v>7330057024913</v>
      </c>
      <c r="B129" s="107" t="s">
        <v>539</v>
      </c>
      <c r="C129" s="107" t="s">
        <v>44</v>
      </c>
      <c r="D129" s="105" t="s">
        <v>62</v>
      </c>
      <c r="E129" s="105" t="s">
        <v>388</v>
      </c>
      <c r="F129" s="139">
        <v>47.5</v>
      </c>
      <c r="G129" s="130">
        <v>94.95</v>
      </c>
      <c r="H129" s="103"/>
      <c r="I129" s="103">
        <f t="shared" si="1"/>
        <v>0</v>
      </c>
    </row>
    <row r="130" spans="1:13" s="1" customFormat="1">
      <c r="A130" s="108">
        <v>7330057024920</v>
      </c>
      <c r="B130" s="107" t="s">
        <v>540</v>
      </c>
      <c r="C130" s="107" t="s">
        <v>44</v>
      </c>
      <c r="D130" s="105" t="s">
        <v>62</v>
      </c>
      <c r="E130" s="105" t="s">
        <v>24</v>
      </c>
      <c r="F130" s="139">
        <v>47.5</v>
      </c>
      <c r="G130" s="130">
        <v>94.95</v>
      </c>
      <c r="H130" s="103"/>
      <c r="I130" s="103">
        <f t="shared" si="1"/>
        <v>0</v>
      </c>
    </row>
    <row r="131" spans="1:13" s="1" customFormat="1">
      <c r="A131" s="108">
        <v>7330057024937</v>
      </c>
      <c r="B131" s="107" t="s">
        <v>541</v>
      </c>
      <c r="C131" s="107" t="s">
        <v>44</v>
      </c>
      <c r="D131" s="105" t="s">
        <v>62</v>
      </c>
      <c r="E131" s="105" t="s">
        <v>25</v>
      </c>
      <c r="F131" s="139">
        <v>47.5</v>
      </c>
      <c r="G131" s="130">
        <v>94.95</v>
      </c>
      <c r="H131" s="103"/>
      <c r="I131" s="103">
        <f t="shared" si="1"/>
        <v>0</v>
      </c>
    </row>
    <row r="132" spans="1:13" s="1" customFormat="1">
      <c r="A132" s="108">
        <v>7330057024944</v>
      </c>
      <c r="B132" s="107" t="s">
        <v>542</v>
      </c>
      <c r="C132" s="107" t="s">
        <v>44</v>
      </c>
      <c r="D132" s="105" t="s">
        <v>62</v>
      </c>
      <c r="E132" s="105" t="s">
        <v>26</v>
      </c>
      <c r="F132" s="139">
        <v>47.5</v>
      </c>
      <c r="G132" s="130">
        <v>94.95</v>
      </c>
      <c r="H132" s="103"/>
      <c r="I132" s="103">
        <f t="shared" ref="I132:I195" si="2">H132*F132</f>
        <v>0</v>
      </c>
    </row>
    <row r="133" spans="1:13" s="1" customFormat="1">
      <c r="A133" s="108">
        <v>7330057024951</v>
      </c>
      <c r="B133" s="107" t="s">
        <v>543</v>
      </c>
      <c r="C133" s="107" t="s">
        <v>44</v>
      </c>
      <c r="D133" s="105" t="s">
        <v>62</v>
      </c>
      <c r="E133" s="105" t="s">
        <v>27</v>
      </c>
      <c r="F133" s="139">
        <v>47.5</v>
      </c>
      <c r="G133" s="130">
        <v>94.95</v>
      </c>
      <c r="H133" s="103"/>
      <c r="I133" s="103">
        <f t="shared" si="2"/>
        <v>0</v>
      </c>
    </row>
    <row r="134" spans="1:13" s="1" customFormat="1">
      <c r="A134" s="108">
        <v>7330057024968</v>
      </c>
      <c r="B134" s="107" t="s">
        <v>544</v>
      </c>
      <c r="C134" s="107" t="s">
        <v>44</v>
      </c>
      <c r="D134" s="105" t="s">
        <v>62</v>
      </c>
      <c r="E134" s="105" t="s">
        <v>28</v>
      </c>
      <c r="F134" s="139">
        <v>47.5</v>
      </c>
      <c r="G134" s="130">
        <v>94.95</v>
      </c>
      <c r="H134" s="103"/>
      <c r="I134" s="103">
        <f t="shared" si="2"/>
        <v>0</v>
      </c>
    </row>
    <row r="135" spans="1:13" s="1" customFormat="1">
      <c r="A135" s="108">
        <v>7330057024975</v>
      </c>
      <c r="B135" s="107" t="s">
        <v>545</v>
      </c>
      <c r="C135" s="107" t="s">
        <v>44</v>
      </c>
      <c r="D135" s="105" t="s">
        <v>62</v>
      </c>
      <c r="E135" s="105" t="s">
        <v>35</v>
      </c>
      <c r="F135" s="139">
        <v>47.5</v>
      </c>
      <c r="G135" s="130">
        <v>94.95</v>
      </c>
      <c r="H135" s="103"/>
      <c r="I135" s="103">
        <f t="shared" si="2"/>
        <v>0</v>
      </c>
    </row>
    <row r="136" spans="1:13" s="1" customFormat="1">
      <c r="A136" s="108">
        <v>7330057024982</v>
      </c>
      <c r="B136" s="107" t="s">
        <v>483</v>
      </c>
      <c r="C136" s="107" t="s">
        <v>45</v>
      </c>
      <c r="D136" s="105" t="s">
        <v>62</v>
      </c>
      <c r="E136" s="105" t="s">
        <v>388</v>
      </c>
      <c r="F136" s="139">
        <v>47.5</v>
      </c>
      <c r="G136" s="130">
        <v>94.95</v>
      </c>
      <c r="H136" s="103"/>
      <c r="I136" s="103">
        <f t="shared" si="2"/>
        <v>0</v>
      </c>
    </row>
    <row r="137" spans="1:13" s="1" customFormat="1">
      <c r="A137" s="108">
        <v>7330057024999</v>
      </c>
      <c r="B137" s="107" t="s">
        <v>484</v>
      </c>
      <c r="C137" s="107" t="s">
        <v>45</v>
      </c>
      <c r="D137" s="105" t="s">
        <v>62</v>
      </c>
      <c r="E137" s="105" t="s">
        <v>24</v>
      </c>
      <c r="F137" s="139">
        <v>47.5</v>
      </c>
      <c r="G137" s="130">
        <v>94.95</v>
      </c>
      <c r="H137" s="103"/>
      <c r="I137" s="103">
        <f t="shared" si="2"/>
        <v>0</v>
      </c>
    </row>
    <row r="138" spans="1:13" s="1" customFormat="1">
      <c r="A138" s="108">
        <v>7330057025002</v>
      </c>
      <c r="B138" s="107" t="s">
        <v>485</v>
      </c>
      <c r="C138" s="107" t="s">
        <v>45</v>
      </c>
      <c r="D138" s="105" t="s">
        <v>62</v>
      </c>
      <c r="E138" s="105" t="s">
        <v>25</v>
      </c>
      <c r="F138" s="139">
        <v>47.5</v>
      </c>
      <c r="G138" s="130">
        <v>94.95</v>
      </c>
      <c r="H138" s="103"/>
      <c r="I138" s="103">
        <f t="shared" si="2"/>
        <v>0</v>
      </c>
    </row>
    <row r="139" spans="1:13" s="1" customFormat="1">
      <c r="A139" s="108">
        <v>7330057025019</v>
      </c>
      <c r="B139" s="107" t="s">
        <v>486</v>
      </c>
      <c r="C139" s="107" t="s">
        <v>45</v>
      </c>
      <c r="D139" s="105" t="s">
        <v>62</v>
      </c>
      <c r="E139" s="105" t="s">
        <v>26</v>
      </c>
      <c r="F139" s="139">
        <v>47.5</v>
      </c>
      <c r="G139" s="130">
        <v>94.95</v>
      </c>
      <c r="H139" s="103"/>
      <c r="I139" s="103">
        <f t="shared" si="2"/>
        <v>0</v>
      </c>
    </row>
    <row r="140" spans="1:13" s="1" customFormat="1">
      <c r="A140" s="108">
        <v>7330057025026</v>
      </c>
      <c r="B140" s="107" t="s">
        <v>487</v>
      </c>
      <c r="C140" s="107" t="s">
        <v>45</v>
      </c>
      <c r="D140" s="105" t="s">
        <v>62</v>
      </c>
      <c r="E140" s="105" t="s">
        <v>27</v>
      </c>
      <c r="F140" s="139">
        <v>47.5</v>
      </c>
      <c r="G140" s="130">
        <v>94.95</v>
      </c>
      <c r="H140" s="103"/>
      <c r="I140" s="103">
        <f t="shared" si="2"/>
        <v>0</v>
      </c>
    </row>
    <row r="141" spans="1:13" s="1" customFormat="1">
      <c r="A141" s="108">
        <v>7330057025033</v>
      </c>
      <c r="B141" s="107" t="s">
        <v>488</v>
      </c>
      <c r="C141" s="107" t="s">
        <v>45</v>
      </c>
      <c r="D141" s="105" t="s">
        <v>62</v>
      </c>
      <c r="E141" s="105" t="s">
        <v>28</v>
      </c>
      <c r="F141" s="139">
        <v>47.5</v>
      </c>
      <c r="G141" s="130">
        <v>94.95</v>
      </c>
      <c r="H141" s="103"/>
      <c r="I141" s="103">
        <f t="shared" si="2"/>
        <v>0</v>
      </c>
    </row>
    <row r="142" spans="1:13" s="1" customFormat="1">
      <c r="A142" s="108">
        <v>7330057025040</v>
      </c>
      <c r="B142" s="107" t="s">
        <v>489</v>
      </c>
      <c r="C142" s="107" t="s">
        <v>45</v>
      </c>
      <c r="D142" s="105" t="s">
        <v>62</v>
      </c>
      <c r="E142" s="105" t="s">
        <v>35</v>
      </c>
      <c r="F142" s="139">
        <v>47.5</v>
      </c>
      <c r="G142" s="130">
        <v>94.95</v>
      </c>
      <c r="H142" s="103"/>
      <c r="I142" s="103">
        <f t="shared" si="2"/>
        <v>0</v>
      </c>
    </row>
    <row r="143" spans="1:13" s="6" customFormat="1">
      <c r="A143" s="104" t="s">
        <v>1098</v>
      </c>
      <c r="B143" s="105" t="s">
        <v>1453</v>
      </c>
      <c r="C143" s="105" t="s">
        <v>56</v>
      </c>
      <c r="D143" s="105" t="s">
        <v>815</v>
      </c>
      <c r="E143" s="105" t="s">
        <v>388</v>
      </c>
      <c r="F143" s="139">
        <v>47.5</v>
      </c>
      <c r="G143" s="130">
        <v>94.95</v>
      </c>
      <c r="H143" s="103"/>
      <c r="I143" s="103">
        <f t="shared" si="2"/>
        <v>0</v>
      </c>
      <c r="K143" s="1"/>
      <c r="L143" s="1"/>
      <c r="M143" s="1"/>
    </row>
    <row r="144" spans="1:13" s="6" customFormat="1">
      <c r="A144" s="104" t="s">
        <v>1099</v>
      </c>
      <c r="B144" s="105" t="s">
        <v>1454</v>
      </c>
      <c r="C144" s="105" t="s">
        <v>56</v>
      </c>
      <c r="D144" s="105" t="s">
        <v>815</v>
      </c>
      <c r="E144" s="105" t="s">
        <v>24</v>
      </c>
      <c r="F144" s="139">
        <v>47.5</v>
      </c>
      <c r="G144" s="130">
        <v>94.95</v>
      </c>
      <c r="H144" s="103"/>
      <c r="I144" s="103">
        <f t="shared" si="2"/>
        <v>0</v>
      </c>
      <c r="K144" s="1"/>
      <c r="L144" s="1"/>
      <c r="M144" s="1"/>
    </row>
    <row r="145" spans="1:13" s="6" customFormat="1">
      <c r="A145" s="104" t="s">
        <v>1100</v>
      </c>
      <c r="B145" s="105" t="s">
        <v>1455</v>
      </c>
      <c r="C145" s="105" t="s">
        <v>56</v>
      </c>
      <c r="D145" s="105" t="s">
        <v>815</v>
      </c>
      <c r="E145" s="105" t="s">
        <v>25</v>
      </c>
      <c r="F145" s="139">
        <v>47.5</v>
      </c>
      <c r="G145" s="130">
        <v>94.95</v>
      </c>
      <c r="H145" s="103"/>
      <c r="I145" s="103">
        <f t="shared" si="2"/>
        <v>0</v>
      </c>
      <c r="K145" s="1"/>
      <c r="L145" s="1"/>
      <c r="M145" s="1"/>
    </row>
    <row r="146" spans="1:13" s="1" customFormat="1">
      <c r="A146" s="104" t="s">
        <v>1101</v>
      </c>
      <c r="B146" s="105" t="s">
        <v>1456</v>
      </c>
      <c r="C146" s="105" t="s">
        <v>56</v>
      </c>
      <c r="D146" s="105" t="s">
        <v>815</v>
      </c>
      <c r="E146" s="105" t="s">
        <v>26</v>
      </c>
      <c r="F146" s="139">
        <v>47.5</v>
      </c>
      <c r="G146" s="130">
        <v>94.95</v>
      </c>
      <c r="H146" s="103"/>
      <c r="I146" s="103">
        <f t="shared" si="2"/>
        <v>0</v>
      </c>
    </row>
    <row r="147" spans="1:13" s="1" customFormat="1">
      <c r="A147" s="104" t="s">
        <v>1102</v>
      </c>
      <c r="B147" s="105" t="s">
        <v>1457</v>
      </c>
      <c r="C147" s="105" t="s">
        <v>56</v>
      </c>
      <c r="D147" s="105" t="s">
        <v>815</v>
      </c>
      <c r="E147" s="105" t="s">
        <v>27</v>
      </c>
      <c r="F147" s="139">
        <v>47.5</v>
      </c>
      <c r="G147" s="130">
        <v>94.95</v>
      </c>
      <c r="H147" s="103"/>
      <c r="I147" s="103">
        <f t="shared" si="2"/>
        <v>0</v>
      </c>
    </row>
    <row r="148" spans="1:13" s="1" customFormat="1">
      <c r="A148" s="104" t="s">
        <v>1103</v>
      </c>
      <c r="B148" s="105" t="s">
        <v>1458</v>
      </c>
      <c r="C148" s="105" t="s">
        <v>56</v>
      </c>
      <c r="D148" s="105" t="s">
        <v>815</v>
      </c>
      <c r="E148" s="105" t="s">
        <v>28</v>
      </c>
      <c r="F148" s="139">
        <v>47.5</v>
      </c>
      <c r="G148" s="130">
        <v>94.95</v>
      </c>
      <c r="H148" s="103"/>
      <c r="I148" s="103">
        <f t="shared" si="2"/>
        <v>0</v>
      </c>
    </row>
    <row r="149" spans="1:13" s="1" customFormat="1">
      <c r="A149" s="104" t="s">
        <v>1104</v>
      </c>
      <c r="B149" s="105" t="s">
        <v>1459</v>
      </c>
      <c r="C149" s="105" t="s">
        <v>56</v>
      </c>
      <c r="D149" s="105" t="s">
        <v>815</v>
      </c>
      <c r="E149" s="105" t="s">
        <v>35</v>
      </c>
      <c r="F149" s="139">
        <v>47.5</v>
      </c>
      <c r="G149" s="130">
        <v>94.95</v>
      </c>
      <c r="H149" s="103"/>
      <c r="I149" s="103">
        <f t="shared" si="2"/>
        <v>0</v>
      </c>
    </row>
    <row r="150" spans="1:13" s="1" customFormat="1">
      <c r="A150" s="104" t="s">
        <v>1105</v>
      </c>
      <c r="B150" s="105" t="s">
        <v>1495</v>
      </c>
      <c r="C150" s="105" t="s">
        <v>58</v>
      </c>
      <c r="D150" s="105" t="s">
        <v>815</v>
      </c>
      <c r="E150" s="105" t="s">
        <v>388</v>
      </c>
      <c r="F150" s="139">
        <v>42.5</v>
      </c>
      <c r="G150" s="130">
        <v>84.95</v>
      </c>
      <c r="H150" s="103"/>
      <c r="I150" s="103">
        <f t="shared" si="2"/>
        <v>0</v>
      </c>
    </row>
    <row r="151" spans="1:13" s="1" customFormat="1">
      <c r="A151" s="104" t="s">
        <v>1106</v>
      </c>
      <c r="B151" s="105" t="s">
        <v>1496</v>
      </c>
      <c r="C151" s="105" t="s">
        <v>58</v>
      </c>
      <c r="D151" s="105" t="s">
        <v>815</v>
      </c>
      <c r="E151" s="105" t="s">
        <v>24</v>
      </c>
      <c r="F151" s="139">
        <v>42.5</v>
      </c>
      <c r="G151" s="130">
        <v>84.95</v>
      </c>
      <c r="H151" s="103"/>
      <c r="I151" s="103">
        <f t="shared" si="2"/>
        <v>0</v>
      </c>
    </row>
    <row r="152" spans="1:13" s="1" customFormat="1">
      <c r="A152" s="104" t="s">
        <v>1107</v>
      </c>
      <c r="B152" s="105" t="s">
        <v>1497</v>
      </c>
      <c r="C152" s="105" t="s">
        <v>58</v>
      </c>
      <c r="D152" s="105" t="s">
        <v>815</v>
      </c>
      <c r="E152" s="105" t="s">
        <v>25</v>
      </c>
      <c r="F152" s="139">
        <v>42.5</v>
      </c>
      <c r="G152" s="130">
        <v>84.95</v>
      </c>
      <c r="H152" s="103"/>
      <c r="I152" s="103">
        <f t="shared" si="2"/>
        <v>0</v>
      </c>
    </row>
    <row r="153" spans="1:13" s="1" customFormat="1">
      <c r="A153" s="104" t="s">
        <v>1108</v>
      </c>
      <c r="B153" s="105" t="s">
        <v>1498</v>
      </c>
      <c r="C153" s="105" t="s">
        <v>58</v>
      </c>
      <c r="D153" s="105" t="s">
        <v>815</v>
      </c>
      <c r="E153" s="105" t="s">
        <v>26</v>
      </c>
      <c r="F153" s="139">
        <v>42.5</v>
      </c>
      <c r="G153" s="130">
        <v>84.95</v>
      </c>
      <c r="H153" s="103"/>
      <c r="I153" s="103">
        <f t="shared" si="2"/>
        <v>0</v>
      </c>
    </row>
    <row r="154" spans="1:13" s="1" customFormat="1">
      <c r="A154" s="104" t="s">
        <v>1109</v>
      </c>
      <c r="B154" s="105" t="s">
        <v>1499</v>
      </c>
      <c r="C154" s="105" t="s">
        <v>58</v>
      </c>
      <c r="D154" s="105" t="s">
        <v>815</v>
      </c>
      <c r="E154" s="105" t="s">
        <v>27</v>
      </c>
      <c r="F154" s="139">
        <v>42.5</v>
      </c>
      <c r="G154" s="130">
        <v>84.95</v>
      </c>
      <c r="H154" s="103"/>
      <c r="I154" s="103">
        <f t="shared" si="2"/>
        <v>0</v>
      </c>
    </row>
    <row r="155" spans="1:13" s="1" customFormat="1">
      <c r="A155" s="104" t="s">
        <v>1110</v>
      </c>
      <c r="B155" s="105" t="s">
        <v>1500</v>
      </c>
      <c r="C155" s="105" t="s">
        <v>58</v>
      </c>
      <c r="D155" s="105" t="s">
        <v>815</v>
      </c>
      <c r="E155" s="105" t="s">
        <v>28</v>
      </c>
      <c r="F155" s="139">
        <v>42.5</v>
      </c>
      <c r="G155" s="130">
        <v>84.95</v>
      </c>
      <c r="H155" s="103"/>
      <c r="I155" s="103">
        <f t="shared" si="2"/>
        <v>0</v>
      </c>
    </row>
    <row r="156" spans="1:13" s="1" customFormat="1">
      <c r="A156" s="104" t="s">
        <v>1111</v>
      </c>
      <c r="B156" s="105" t="s">
        <v>1501</v>
      </c>
      <c r="C156" s="105" t="s">
        <v>58</v>
      </c>
      <c r="D156" s="105" t="s">
        <v>815</v>
      </c>
      <c r="E156" s="105" t="s">
        <v>35</v>
      </c>
      <c r="F156" s="139">
        <v>42.5</v>
      </c>
      <c r="G156" s="130">
        <v>84.95</v>
      </c>
      <c r="H156" s="103"/>
      <c r="I156" s="103">
        <f t="shared" si="2"/>
        <v>0</v>
      </c>
    </row>
    <row r="157" spans="1:13" s="1" customFormat="1">
      <c r="A157" s="104" t="s">
        <v>1112</v>
      </c>
      <c r="B157" s="105" t="s">
        <v>1467</v>
      </c>
      <c r="C157" s="105" t="s">
        <v>59</v>
      </c>
      <c r="D157" s="105" t="s">
        <v>815</v>
      </c>
      <c r="E157" s="105" t="s">
        <v>388</v>
      </c>
      <c r="F157" s="159">
        <v>25</v>
      </c>
      <c r="G157" s="103">
        <v>49.95</v>
      </c>
      <c r="H157" s="103"/>
      <c r="I157" s="103">
        <f t="shared" si="2"/>
        <v>0</v>
      </c>
    </row>
    <row r="158" spans="1:13" s="1" customFormat="1">
      <c r="A158" s="104" t="s">
        <v>1113</v>
      </c>
      <c r="B158" s="105" t="s">
        <v>1468</v>
      </c>
      <c r="C158" s="105" t="s">
        <v>59</v>
      </c>
      <c r="D158" s="105" t="s">
        <v>815</v>
      </c>
      <c r="E158" s="105" t="s">
        <v>24</v>
      </c>
      <c r="F158" s="159">
        <v>25</v>
      </c>
      <c r="G158" s="103">
        <v>49.95</v>
      </c>
      <c r="H158" s="103"/>
      <c r="I158" s="103">
        <f t="shared" si="2"/>
        <v>0</v>
      </c>
    </row>
    <row r="159" spans="1:13" s="1" customFormat="1">
      <c r="A159" s="104" t="s">
        <v>1114</v>
      </c>
      <c r="B159" s="105" t="s">
        <v>1469</v>
      </c>
      <c r="C159" s="105" t="s">
        <v>59</v>
      </c>
      <c r="D159" s="105" t="s">
        <v>815</v>
      </c>
      <c r="E159" s="105" t="s">
        <v>25</v>
      </c>
      <c r="F159" s="159">
        <v>25</v>
      </c>
      <c r="G159" s="103">
        <v>49.95</v>
      </c>
      <c r="H159" s="103"/>
      <c r="I159" s="103">
        <f t="shared" si="2"/>
        <v>0</v>
      </c>
    </row>
    <row r="160" spans="1:13" s="1" customFormat="1">
      <c r="A160" s="104" t="s">
        <v>1115</v>
      </c>
      <c r="B160" s="105" t="s">
        <v>1470</v>
      </c>
      <c r="C160" s="105" t="s">
        <v>59</v>
      </c>
      <c r="D160" s="105" t="s">
        <v>815</v>
      </c>
      <c r="E160" s="105" t="s">
        <v>26</v>
      </c>
      <c r="F160" s="159">
        <v>25</v>
      </c>
      <c r="G160" s="103">
        <v>49.95</v>
      </c>
      <c r="H160" s="103"/>
      <c r="I160" s="103">
        <f t="shared" si="2"/>
        <v>0</v>
      </c>
    </row>
    <row r="161" spans="1:9" s="1" customFormat="1">
      <c r="A161" s="104" t="s">
        <v>1116</v>
      </c>
      <c r="B161" s="105" t="s">
        <v>1471</v>
      </c>
      <c r="C161" s="105" t="s">
        <v>59</v>
      </c>
      <c r="D161" s="105" t="s">
        <v>815</v>
      </c>
      <c r="E161" s="105" t="s">
        <v>27</v>
      </c>
      <c r="F161" s="159">
        <v>25</v>
      </c>
      <c r="G161" s="103">
        <v>49.95</v>
      </c>
      <c r="H161" s="103"/>
      <c r="I161" s="103">
        <f t="shared" si="2"/>
        <v>0</v>
      </c>
    </row>
    <row r="162" spans="1:9" s="1" customFormat="1">
      <c r="A162" s="104" t="s">
        <v>1117</v>
      </c>
      <c r="B162" s="105" t="s">
        <v>1472</v>
      </c>
      <c r="C162" s="105" t="s">
        <v>59</v>
      </c>
      <c r="D162" s="105" t="s">
        <v>815</v>
      </c>
      <c r="E162" s="105" t="s">
        <v>28</v>
      </c>
      <c r="F162" s="159">
        <v>25</v>
      </c>
      <c r="G162" s="103">
        <v>49.95</v>
      </c>
      <c r="H162" s="103"/>
      <c r="I162" s="103">
        <f t="shared" si="2"/>
        <v>0</v>
      </c>
    </row>
    <row r="163" spans="1:9" s="1" customFormat="1">
      <c r="A163" s="104" t="s">
        <v>1118</v>
      </c>
      <c r="B163" s="105" t="s">
        <v>1473</v>
      </c>
      <c r="C163" s="105" t="s">
        <v>59</v>
      </c>
      <c r="D163" s="105" t="s">
        <v>815</v>
      </c>
      <c r="E163" s="105" t="s">
        <v>35</v>
      </c>
      <c r="F163" s="159">
        <v>25</v>
      </c>
      <c r="G163" s="103">
        <v>49.95</v>
      </c>
      <c r="H163" s="103"/>
      <c r="I163" s="103">
        <f t="shared" si="2"/>
        <v>0</v>
      </c>
    </row>
    <row r="164" spans="1:9" s="1" customFormat="1">
      <c r="A164" s="104" t="s">
        <v>1119</v>
      </c>
      <c r="B164" s="106" t="s">
        <v>1481</v>
      </c>
      <c r="C164" s="107" t="s">
        <v>44</v>
      </c>
      <c r="D164" s="105" t="s">
        <v>815</v>
      </c>
      <c r="E164" s="105" t="s">
        <v>388</v>
      </c>
      <c r="F164" s="139">
        <v>47.5</v>
      </c>
      <c r="G164" s="130">
        <v>94.95</v>
      </c>
      <c r="H164" s="103"/>
      <c r="I164" s="103">
        <f t="shared" si="2"/>
        <v>0</v>
      </c>
    </row>
    <row r="165" spans="1:9" s="1" customFormat="1">
      <c r="A165" s="104" t="s">
        <v>1120</v>
      </c>
      <c r="B165" s="106" t="s">
        <v>1482</v>
      </c>
      <c r="C165" s="107" t="s">
        <v>44</v>
      </c>
      <c r="D165" s="105" t="s">
        <v>815</v>
      </c>
      <c r="E165" s="105" t="s">
        <v>24</v>
      </c>
      <c r="F165" s="139">
        <v>47.5</v>
      </c>
      <c r="G165" s="130">
        <v>94.95</v>
      </c>
      <c r="H165" s="103"/>
      <c r="I165" s="103">
        <f t="shared" si="2"/>
        <v>0</v>
      </c>
    </row>
    <row r="166" spans="1:9" s="1" customFormat="1">
      <c r="A166" s="104" t="s">
        <v>1121</v>
      </c>
      <c r="B166" s="106" t="s">
        <v>1483</v>
      </c>
      <c r="C166" s="107" t="s">
        <v>44</v>
      </c>
      <c r="D166" s="105" t="s">
        <v>815</v>
      </c>
      <c r="E166" s="105" t="s">
        <v>25</v>
      </c>
      <c r="F166" s="139">
        <v>47.5</v>
      </c>
      <c r="G166" s="130">
        <v>94.95</v>
      </c>
      <c r="H166" s="103"/>
      <c r="I166" s="103">
        <f t="shared" si="2"/>
        <v>0</v>
      </c>
    </row>
    <row r="167" spans="1:9" s="1" customFormat="1">
      <c r="A167" s="104" t="s">
        <v>1122</v>
      </c>
      <c r="B167" s="106" t="s">
        <v>1484</v>
      </c>
      <c r="C167" s="107" t="s">
        <v>44</v>
      </c>
      <c r="D167" s="105" t="s">
        <v>815</v>
      </c>
      <c r="E167" s="105" t="s">
        <v>26</v>
      </c>
      <c r="F167" s="139">
        <v>47.5</v>
      </c>
      <c r="G167" s="130">
        <v>94.95</v>
      </c>
      <c r="H167" s="103"/>
      <c r="I167" s="103">
        <f t="shared" si="2"/>
        <v>0</v>
      </c>
    </row>
    <row r="168" spans="1:9" s="1" customFormat="1">
      <c r="A168" s="104" t="s">
        <v>1123</v>
      </c>
      <c r="B168" s="106" t="s">
        <v>1485</v>
      </c>
      <c r="C168" s="107" t="s">
        <v>44</v>
      </c>
      <c r="D168" s="105" t="s">
        <v>815</v>
      </c>
      <c r="E168" s="105" t="s">
        <v>27</v>
      </c>
      <c r="F168" s="139">
        <v>47.5</v>
      </c>
      <c r="G168" s="130">
        <v>94.95</v>
      </c>
      <c r="H168" s="103"/>
      <c r="I168" s="103">
        <f t="shared" si="2"/>
        <v>0</v>
      </c>
    </row>
    <row r="169" spans="1:9" s="1" customFormat="1">
      <c r="A169" s="104" t="s">
        <v>1124</v>
      </c>
      <c r="B169" s="106" t="s">
        <v>1486</v>
      </c>
      <c r="C169" s="107" t="s">
        <v>44</v>
      </c>
      <c r="D169" s="105" t="s">
        <v>815</v>
      </c>
      <c r="E169" s="105" t="s">
        <v>28</v>
      </c>
      <c r="F169" s="139">
        <v>47.5</v>
      </c>
      <c r="G169" s="130">
        <v>94.95</v>
      </c>
      <c r="H169" s="103"/>
      <c r="I169" s="103">
        <f t="shared" si="2"/>
        <v>0</v>
      </c>
    </row>
    <row r="170" spans="1:9" s="1" customFormat="1">
      <c r="A170" s="104" t="s">
        <v>1125</v>
      </c>
      <c r="B170" s="106" t="s">
        <v>1487</v>
      </c>
      <c r="C170" s="107" t="s">
        <v>44</v>
      </c>
      <c r="D170" s="105" t="s">
        <v>815</v>
      </c>
      <c r="E170" s="105" t="s">
        <v>35</v>
      </c>
      <c r="F170" s="139">
        <v>47.5</v>
      </c>
      <c r="G170" s="130">
        <v>94.95</v>
      </c>
      <c r="H170" s="103"/>
      <c r="I170" s="103">
        <f t="shared" si="2"/>
        <v>0</v>
      </c>
    </row>
    <row r="171" spans="1:9" s="1" customFormat="1">
      <c r="A171" s="104" t="s">
        <v>1126</v>
      </c>
      <c r="B171" s="106" t="s">
        <v>1509</v>
      </c>
      <c r="C171" s="107" t="s">
        <v>45</v>
      </c>
      <c r="D171" s="105" t="s">
        <v>815</v>
      </c>
      <c r="E171" s="105" t="s">
        <v>388</v>
      </c>
      <c r="F171" s="139">
        <v>47.5</v>
      </c>
      <c r="G171" s="130">
        <v>94.95</v>
      </c>
      <c r="H171" s="103"/>
      <c r="I171" s="103">
        <f t="shared" si="2"/>
        <v>0</v>
      </c>
    </row>
    <row r="172" spans="1:9" s="1" customFormat="1">
      <c r="A172" s="104" t="s">
        <v>1127</v>
      </c>
      <c r="B172" s="106" t="s">
        <v>1510</v>
      </c>
      <c r="C172" s="107" t="s">
        <v>45</v>
      </c>
      <c r="D172" s="105" t="s">
        <v>815</v>
      </c>
      <c r="E172" s="105" t="s">
        <v>24</v>
      </c>
      <c r="F172" s="139">
        <v>47.5</v>
      </c>
      <c r="G172" s="130">
        <v>94.95</v>
      </c>
      <c r="H172" s="103"/>
      <c r="I172" s="103">
        <f t="shared" si="2"/>
        <v>0</v>
      </c>
    </row>
    <row r="173" spans="1:9" s="1" customFormat="1">
      <c r="A173" s="104" t="s">
        <v>1128</v>
      </c>
      <c r="B173" s="106" t="s">
        <v>1511</v>
      </c>
      <c r="C173" s="107" t="s">
        <v>45</v>
      </c>
      <c r="D173" s="105" t="s">
        <v>815</v>
      </c>
      <c r="E173" s="105" t="s">
        <v>25</v>
      </c>
      <c r="F173" s="139">
        <v>47.5</v>
      </c>
      <c r="G173" s="130">
        <v>94.95</v>
      </c>
      <c r="H173" s="103"/>
      <c r="I173" s="103">
        <f t="shared" si="2"/>
        <v>0</v>
      </c>
    </row>
    <row r="174" spans="1:9" s="1" customFormat="1">
      <c r="A174" s="104" t="s">
        <v>1129</v>
      </c>
      <c r="B174" s="106" t="s">
        <v>1512</v>
      </c>
      <c r="C174" s="107" t="s">
        <v>45</v>
      </c>
      <c r="D174" s="105" t="s">
        <v>815</v>
      </c>
      <c r="E174" s="105" t="s">
        <v>26</v>
      </c>
      <c r="F174" s="139">
        <v>47.5</v>
      </c>
      <c r="G174" s="130">
        <v>94.95</v>
      </c>
      <c r="H174" s="103"/>
      <c r="I174" s="103">
        <f t="shared" si="2"/>
        <v>0</v>
      </c>
    </row>
    <row r="175" spans="1:9" s="1" customFormat="1">
      <c r="A175" s="104" t="s">
        <v>1130</v>
      </c>
      <c r="B175" s="106" t="s">
        <v>1513</v>
      </c>
      <c r="C175" s="107" t="s">
        <v>45</v>
      </c>
      <c r="D175" s="105" t="s">
        <v>815</v>
      </c>
      <c r="E175" s="105" t="s">
        <v>27</v>
      </c>
      <c r="F175" s="139">
        <v>47.5</v>
      </c>
      <c r="G175" s="130">
        <v>94.95</v>
      </c>
      <c r="H175" s="103"/>
      <c r="I175" s="103">
        <f t="shared" si="2"/>
        <v>0</v>
      </c>
    </row>
    <row r="176" spans="1:9" s="1" customFormat="1">
      <c r="A176" s="104" t="s">
        <v>1131</v>
      </c>
      <c r="B176" s="106" t="s">
        <v>1514</v>
      </c>
      <c r="C176" s="107" t="s">
        <v>45</v>
      </c>
      <c r="D176" s="105" t="s">
        <v>815</v>
      </c>
      <c r="E176" s="105" t="s">
        <v>28</v>
      </c>
      <c r="F176" s="139">
        <v>47.5</v>
      </c>
      <c r="G176" s="130">
        <v>94.95</v>
      </c>
      <c r="H176" s="103"/>
      <c r="I176" s="103">
        <f t="shared" si="2"/>
        <v>0</v>
      </c>
    </row>
    <row r="177" spans="1:13" s="1" customFormat="1">
      <c r="A177" s="104" t="s">
        <v>1132</v>
      </c>
      <c r="B177" s="106" t="s">
        <v>1515</v>
      </c>
      <c r="C177" s="107" t="s">
        <v>45</v>
      </c>
      <c r="D177" s="105" t="s">
        <v>815</v>
      </c>
      <c r="E177" s="105" t="s">
        <v>35</v>
      </c>
      <c r="F177" s="139">
        <v>47.5</v>
      </c>
      <c r="G177" s="130">
        <v>94.95</v>
      </c>
      <c r="H177" s="103"/>
      <c r="I177" s="103">
        <f t="shared" si="2"/>
        <v>0</v>
      </c>
    </row>
    <row r="178" spans="1:13" s="6" customFormat="1">
      <c r="A178" s="104" t="s">
        <v>1133</v>
      </c>
      <c r="B178" s="105" t="s">
        <v>1460</v>
      </c>
      <c r="C178" s="105" t="s">
        <v>63</v>
      </c>
      <c r="D178" s="105" t="s">
        <v>816</v>
      </c>
      <c r="E178" s="105" t="s">
        <v>388</v>
      </c>
      <c r="F178" s="139">
        <v>47.5</v>
      </c>
      <c r="G178" s="130">
        <v>94.95</v>
      </c>
      <c r="H178" s="103"/>
      <c r="I178" s="103">
        <f t="shared" si="2"/>
        <v>0</v>
      </c>
      <c r="K178" s="1"/>
      <c r="L178" s="1"/>
      <c r="M178" s="1"/>
    </row>
    <row r="179" spans="1:13" s="6" customFormat="1">
      <c r="A179" s="104" t="s">
        <v>1134</v>
      </c>
      <c r="B179" s="105" t="s">
        <v>1461</v>
      </c>
      <c r="C179" s="105" t="s">
        <v>63</v>
      </c>
      <c r="D179" s="105" t="s">
        <v>816</v>
      </c>
      <c r="E179" s="105" t="s">
        <v>24</v>
      </c>
      <c r="F179" s="139">
        <v>47.5</v>
      </c>
      <c r="G179" s="130">
        <v>94.95</v>
      </c>
      <c r="H179" s="103"/>
      <c r="I179" s="103">
        <f t="shared" si="2"/>
        <v>0</v>
      </c>
      <c r="K179" s="1"/>
      <c r="L179" s="1"/>
      <c r="M179" s="1"/>
    </row>
    <row r="180" spans="1:13" s="6" customFormat="1">
      <c r="A180" s="104" t="s">
        <v>1135</v>
      </c>
      <c r="B180" s="105" t="s">
        <v>1462</v>
      </c>
      <c r="C180" s="105" t="s">
        <v>63</v>
      </c>
      <c r="D180" s="105" t="s">
        <v>816</v>
      </c>
      <c r="E180" s="105" t="s">
        <v>25</v>
      </c>
      <c r="F180" s="139">
        <v>47.5</v>
      </c>
      <c r="G180" s="130">
        <v>94.95</v>
      </c>
      <c r="H180" s="103"/>
      <c r="I180" s="103">
        <f t="shared" si="2"/>
        <v>0</v>
      </c>
      <c r="K180" s="1"/>
      <c r="L180" s="1"/>
      <c r="M180" s="1"/>
    </row>
    <row r="181" spans="1:13" s="1" customFormat="1">
      <c r="A181" s="104" t="s">
        <v>1136</v>
      </c>
      <c r="B181" s="105" t="s">
        <v>1463</v>
      </c>
      <c r="C181" s="105" t="s">
        <v>63</v>
      </c>
      <c r="D181" s="105" t="s">
        <v>816</v>
      </c>
      <c r="E181" s="105" t="s">
        <v>26</v>
      </c>
      <c r="F181" s="139">
        <v>47.5</v>
      </c>
      <c r="G181" s="130">
        <v>94.95</v>
      </c>
      <c r="H181" s="103"/>
      <c r="I181" s="103">
        <f t="shared" si="2"/>
        <v>0</v>
      </c>
    </row>
    <row r="182" spans="1:13" s="1" customFormat="1">
      <c r="A182" s="104" t="s">
        <v>1137</v>
      </c>
      <c r="B182" s="105" t="s">
        <v>1464</v>
      </c>
      <c r="C182" s="105" t="s">
        <v>63</v>
      </c>
      <c r="D182" s="105" t="s">
        <v>816</v>
      </c>
      <c r="E182" s="105" t="s">
        <v>27</v>
      </c>
      <c r="F182" s="139">
        <v>47.5</v>
      </c>
      <c r="G182" s="130">
        <v>94.95</v>
      </c>
      <c r="H182" s="103"/>
      <c r="I182" s="103">
        <f t="shared" si="2"/>
        <v>0</v>
      </c>
    </row>
    <row r="183" spans="1:13" s="1" customFormat="1">
      <c r="A183" s="104" t="s">
        <v>1138</v>
      </c>
      <c r="B183" s="105" t="s">
        <v>1465</v>
      </c>
      <c r="C183" s="105" t="s">
        <v>63</v>
      </c>
      <c r="D183" s="105" t="s">
        <v>816</v>
      </c>
      <c r="E183" s="105" t="s">
        <v>28</v>
      </c>
      <c r="F183" s="139">
        <v>47.5</v>
      </c>
      <c r="G183" s="130">
        <v>94.95</v>
      </c>
      <c r="H183" s="103"/>
      <c r="I183" s="103">
        <f t="shared" si="2"/>
        <v>0</v>
      </c>
    </row>
    <row r="184" spans="1:13" s="1" customFormat="1">
      <c r="A184" s="104" t="s">
        <v>1139</v>
      </c>
      <c r="B184" s="105" t="s">
        <v>1466</v>
      </c>
      <c r="C184" s="105" t="s">
        <v>63</v>
      </c>
      <c r="D184" s="105" t="s">
        <v>816</v>
      </c>
      <c r="E184" s="105" t="s">
        <v>35</v>
      </c>
      <c r="F184" s="139">
        <v>47.5</v>
      </c>
      <c r="G184" s="130">
        <v>94.95</v>
      </c>
      <c r="H184" s="103"/>
      <c r="I184" s="103">
        <f t="shared" si="2"/>
        <v>0</v>
      </c>
    </row>
    <row r="185" spans="1:13" s="1" customFormat="1">
      <c r="A185" s="104" t="s">
        <v>1140</v>
      </c>
      <c r="B185" s="105" t="s">
        <v>1502</v>
      </c>
      <c r="C185" s="105" t="s">
        <v>58</v>
      </c>
      <c r="D185" s="105" t="s">
        <v>816</v>
      </c>
      <c r="E185" s="105" t="s">
        <v>388</v>
      </c>
      <c r="F185" s="139">
        <v>42.5</v>
      </c>
      <c r="G185" s="130">
        <v>84.95</v>
      </c>
      <c r="H185" s="103"/>
      <c r="I185" s="103">
        <f t="shared" si="2"/>
        <v>0</v>
      </c>
    </row>
    <row r="186" spans="1:13" s="1" customFormat="1">
      <c r="A186" s="104" t="s">
        <v>1141</v>
      </c>
      <c r="B186" s="105" t="s">
        <v>1503</v>
      </c>
      <c r="C186" s="105" t="s">
        <v>58</v>
      </c>
      <c r="D186" s="105" t="s">
        <v>816</v>
      </c>
      <c r="E186" s="105" t="s">
        <v>24</v>
      </c>
      <c r="F186" s="139">
        <v>42.5</v>
      </c>
      <c r="G186" s="130">
        <v>84.95</v>
      </c>
      <c r="H186" s="103"/>
      <c r="I186" s="103">
        <f t="shared" si="2"/>
        <v>0</v>
      </c>
    </row>
    <row r="187" spans="1:13" s="1" customFormat="1">
      <c r="A187" s="104" t="s">
        <v>1142</v>
      </c>
      <c r="B187" s="105" t="s">
        <v>1504</v>
      </c>
      <c r="C187" s="105" t="s">
        <v>58</v>
      </c>
      <c r="D187" s="105" t="s">
        <v>816</v>
      </c>
      <c r="E187" s="105" t="s">
        <v>25</v>
      </c>
      <c r="F187" s="139">
        <v>42.5</v>
      </c>
      <c r="G187" s="130">
        <v>84.95</v>
      </c>
      <c r="H187" s="103"/>
      <c r="I187" s="103">
        <f t="shared" si="2"/>
        <v>0</v>
      </c>
    </row>
    <row r="188" spans="1:13" s="1" customFormat="1">
      <c r="A188" s="104" t="s">
        <v>1143</v>
      </c>
      <c r="B188" s="105" t="s">
        <v>1505</v>
      </c>
      <c r="C188" s="105" t="s">
        <v>58</v>
      </c>
      <c r="D188" s="105" t="s">
        <v>816</v>
      </c>
      <c r="E188" s="105" t="s">
        <v>26</v>
      </c>
      <c r="F188" s="139">
        <v>42.5</v>
      </c>
      <c r="G188" s="130">
        <v>84.95</v>
      </c>
      <c r="H188" s="103"/>
      <c r="I188" s="103">
        <f t="shared" si="2"/>
        <v>0</v>
      </c>
    </row>
    <row r="189" spans="1:13" s="1" customFormat="1">
      <c r="A189" s="104" t="s">
        <v>1144</v>
      </c>
      <c r="B189" s="105" t="s">
        <v>1506</v>
      </c>
      <c r="C189" s="105" t="s">
        <v>58</v>
      </c>
      <c r="D189" s="105" t="s">
        <v>816</v>
      </c>
      <c r="E189" s="105" t="s">
        <v>27</v>
      </c>
      <c r="F189" s="139">
        <v>42.5</v>
      </c>
      <c r="G189" s="130">
        <v>84.95</v>
      </c>
      <c r="H189" s="103"/>
      <c r="I189" s="103">
        <f t="shared" si="2"/>
        <v>0</v>
      </c>
    </row>
    <row r="190" spans="1:13" s="1" customFormat="1">
      <c r="A190" s="104" t="s">
        <v>1145</v>
      </c>
      <c r="B190" s="105" t="s">
        <v>1507</v>
      </c>
      <c r="C190" s="105" t="s">
        <v>58</v>
      </c>
      <c r="D190" s="105" t="s">
        <v>816</v>
      </c>
      <c r="E190" s="105" t="s">
        <v>28</v>
      </c>
      <c r="F190" s="139">
        <v>42.5</v>
      </c>
      <c r="G190" s="130">
        <v>84.95</v>
      </c>
      <c r="H190" s="103"/>
      <c r="I190" s="103">
        <f t="shared" si="2"/>
        <v>0</v>
      </c>
    </row>
    <row r="191" spans="1:13" s="1" customFormat="1">
      <c r="A191" s="104" t="s">
        <v>1146</v>
      </c>
      <c r="B191" s="105" t="s">
        <v>1508</v>
      </c>
      <c r="C191" s="105" t="s">
        <v>58</v>
      </c>
      <c r="D191" s="105" t="s">
        <v>816</v>
      </c>
      <c r="E191" s="105" t="s">
        <v>35</v>
      </c>
      <c r="F191" s="139">
        <v>42.5</v>
      </c>
      <c r="G191" s="130">
        <v>84.95</v>
      </c>
      <c r="H191" s="103"/>
      <c r="I191" s="103">
        <f t="shared" si="2"/>
        <v>0</v>
      </c>
    </row>
    <row r="192" spans="1:13" s="1" customFormat="1">
      <c r="A192" s="104" t="s">
        <v>1147</v>
      </c>
      <c r="B192" s="106" t="s">
        <v>1474</v>
      </c>
      <c r="C192" s="105" t="s">
        <v>59</v>
      </c>
      <c r="D192" s="105" t="s">
        <v>816</v>
      </c>
      <c r="E192" s="105" t="s">
        <v>388</v>
      </c>
      <c r="F192" s="159">
        <v>25</v>
      </c>
      <c r="G192" s="103">
        <v>49.95</v>
      </c>
      <c r="H192" s="103"/>
      <c r="I192" s="103">
        <f t="shared" si="2"/>
        <v>0</v>
      </c>
    </row>
    <row r="193" spans="1:9" s="1" customFormat="1">
      <c r="A193" s="104" t="s">
        <v>1148</v>
      </c>
      <c r="B193" s="106" t="s">
        <v>1475</v>
      </c>
      <c r="C193" s="105" t="s">
        <v>59</v>
      </c>
      <c r="D193" s="105" t="s">
        <v>816</v>
      </c>
      <c r="E193" s="105" t="s">
        <v>24</v>
      </c>
      <c r="F193" s="159">
        <v>25</v>
      </c>
      <c r="G193" s="103">
        <v>49.95</v>
      </c>
      <c r="H193" s="103"/>
      <c r="I193" s="103">
        <f t="shared" si="2"/>
        <v>0</v>
      </c>
    </row>
    <row r="194" spans="1:9" s="1" customFormat="1">
      <c r="A194" s="104" t="s">
        <v>1149</v>
      </c>
      <c r="B194" s="106" t="s">
        <v>1476</v>
      </c>
      <c r="C194" s="105" t="s">
        <v>59</v>
      </c>
      <c r="D194" s="105" t="s">
        <v>816</v>
      </c>
      <c r="E194" s="105" t="s">
        <v>25</v>
      </c>
      <c r="F194" s="159">
        <v>25</v>
      </c>
      <c r="G194" s="103">
        <v>49.95</v>
      </c>
      <c r="H194" s="103"/>
      <c r="I194" s="103">
        <f t="shared" si="2"/>
        <v>0</v>
      </c>
    </row>
    <row r="195" spans="1:9" s="1" customFormat="1">
      <c r="A195" s="104" t="s">
        <v>1150</v>
      </c>
      <c r="B195" s="106" t="s">
        <v>1477</v>
      </c>
      <c r="C195" s="105" t="s">
        <v>59</v>
      </c>
      <c r="D195" s="105" t="s">
        <v>816</v>
      </c>
      <c r="E195" s="105" t="s">
        <v>26</v>
      </c>
      <c r="F195" s="159">
        <v>25</v>
      </c>
      <c r="G195" s="103">
        <v>49.95</v>
      </c>
      <c r="H195" s="103"/>
      <c r="I195" s="103">
        <f t="shared" si="2"/>
        <v>0</v>
      </c>
    </row>
    <row r="196" spans="1:9" s="1" customFormat="1">
      <c r="A196" s="104" t="s">
        <v>1151</v>
      </c>
      <c r="B196" s="106" t="s">
        <v>1478</v>
      </c>
      <c r="C196" s="105" t="s">
        <v>59</v>
      </c>
      <c r="D196" s="105" t="s">
        <v>816</v>
      </c>
      <c r="E196" s="105" t="s">
        <v>27</v>
      </c>
      <c r="F196" s="159">
        <v>25</v>
      </c>
      <c r="G196" s="103">
        <v>49.95</v>
      </c>
      <c r="H196" s="103"/>
      <c r="I196" s="103">
        <f t="shared" ref="I196:I262" si="3">H196*F196</f>
        <v>0</v>
      </c>
    </row>
    <row r="197" spans="1:9" s="1" customFormat="1">
      <c r="A197" s="104" t="s">
        <v>1152</v>
      </c>
      <c r="B197" s="106" t="s">
        <v>1479</v>
      </c>
      <c r="C197" s="105" t="s">
        <v>59</v>
      </c>
      <c r="D197" s="105" t="s">
        <v>816</v>
      </c>
      <c r="E197" s="105" t="s">
        <v>28</v>
      </c>
      <c r="F197" s="159">
        <v>25</v>
      </c>
      <c r="G197" s="103">
        <v>49.95</v>
      </c>
      <c r="H197" s="103"/>
      <c r="I197" s="103">
        <f t="shared" si="3"/>
        <v>0</v>
      </c>
    </row>
    <row r="198" spans="1:9" s="1" customFormat="1">
      <c r="A198" s="104" t="s">
        <v>1153</v>
      </c>
      <c r="B198" s="106" t="s">
        <v>1480</v>
      </c>
      <c r="C198" s="105" t="s">
        <v>59</v>
      </c>
      <c r="D198" s="105" t="s">
        <v>816</v>
      </c>
      <c r="E198" s="105" t="s">
        <v>35</v>
      </c>
      <c r="F198" s="159">
        <v>25</v>
      </c>
      <c r="G198" s="103">
        <v>49.95</v>
      </c>
      <c r="H198" s="103"/>
      <c r="I198" s="103">
        <f t="shared" si="3"/>
        <v>0</v>
      </c>
    </row>
    <row r="199" spans="1:9" s="1" customFormat="1">
      <c r="A199" s="104" t="s">
        <v>1154</v>
      </c>
      <c r="B199" s="107" t="s">
        <v>1488</v>
      </c>
      <c r="C199" s="107" t="s">
        <v>44</v>
      </c>
      <c r="D199" s="105" t="s">
        <v>816</v>
      </c>
      <c r="E199" s="105" t="s">
        <v>388</v>
      </c>
      <c r="F199" s="139">
        <v>47.5</v>
      </c>
      <c r="G199" s="130">
        <v>94.95</v>
      </c>
      <c r="H199" s="103"/>
      <c r="I199" s="103">
        <f t="shared" si="3"/>
        <v>0</v>
      </c>
    </row>
    <row r="200" spans="1:9" s="1" customFormat="1">
      <c r="A200" s="104" t="s">
        <v>1155</v>
      </c>
      <c r="B200" s="107" t="s">
        <v>1489</v>
      </c>
      <c r="C200" s="107" t="s">
        <v>44</v>
      </c>
      <c r="D200" s="105" t="s">
        <v>816</v>
      </c>
      <c r="E200" s="105" t="s">
        <v>24</v>
      </c>
      <c r="F200" s="139">
        <v>47.5</v>
      </c>
      <c r="G200" s="130">
        <v>94.95</v>
      </c>
      <c r="H200" s="103"/>
      <c r="I200" s="103">
        <f t="shared" si="3"/>
        <v>0</v>
      </c>
    </row>
    <row r="201" spans="1:9" s="1" customFormat="1">
      <c r="A201" s="104" t="s">
        <v>1156</v>
      </c>
      <c r="B201" s="107" t="s">
        <v>1490</v>
      </c>
      <c r="C201" s="107" t="s">
        <v>44</v>
      </c>
      <c r="D201" s="105" t="s">
        <v>816</v>
      </c>
      <c r="E201" s="105" t="s">
        <v>25</v>
      </c>
      <c r="F201" s="139">
        <v>47.5</v>
      </c>
      <c r="G201" s="130">
        <v>94.95</v>
      </c>
      <c r="H201" s="103"/>
      <c r="I201" s="103">
        <f t="shared" si="3"/>
        <v>0</v>
      </c>
    </row>
    <row r="202" spans="1:9" s="1" customFormat="1">
      <c r="A202" s="104" t="s">
        <v>1157</v>
      </c>
      <c r="B202" s="107" t="s">
        <v>1491</v>
      </c>
      <c r="C202" s="107" t="s">
        <v>44</v>
      </c>
      <c r="D202" s="105" t="s">
        <v>816</v>
      </c>
      <c r="E202" s="105" t="s">
        <v>26</v>
      </c>
      <c r="F202" s="139">
        <v>47.5</v>
      </c>
      <c r="G202" s="130">
        <v>94.95</v>
      </c>
      <c r="H202" s="103"/>
      <c r="I202" s="103">
        <f t="shared" si="3"/>
        <v>0</v>
      </c>
    </row>
    <row r="203" spans="1:9" s="1" customFormat="1">
      <c r="A203" s="104" t="s">
        <v>1158</v>
      </c>
      <c r="B203" s="107" t="s">
        <v>1492</v>
      </c>
      <c r="C203" s="107" t="s">
        <v>44</v>
      </c>
      <c r="D203" s="105" t="s">
        <v>816</v>
      </c>
      <c r="E203" s="105" t="s">
        <v>27</v>
      </c>
      <c r="F203" s="139">
        <v>47.5</v>
      </c>
      <c r="G203" s="130">
        <v>94.95</v>
      </c>
      <c r="H203" s="103"/>
      <c r="I203" s="103">
        <f t="shared" si="3"/>
        <v>0</v>
      </c>
    </row>
    <row r="204" spans="1:9" s="1" customFormat="1">
      <c r="A204" s="104" t="s">
        <v>1159</v>
      </c>
      <c r="B204" s="107" t="s">
        <v>1493</v>
      </c>
      <c r="C204" s="107" t="s">
        <v>44</v>
      </c>
      <c r="D204" s="105" t="s">
        <v>816</v>
      </c>
      <c r="E204" s="105" t="s">
        <v>28</v>
      </c>
      <c r="F204" s="139">
        <v>47.5</v>
      </c>
      <c r="G204" s="130">
        <v>94.95</v>
      </c>
      <c r="H204" s="103"/>
      <c r="I204" s="103">
        <f t="shared" si="3"/>
        <v>0</v>
      </c>
    </row>
    <row r="205" spans="1:9" s="1" customFormat="1">
      <c r="A205" s="104" t="s">
        <v>1160</v>
      </c>
      <c r="B205" s="107" t="s">
        <v>1494</v>
      </c>
      <c r="C205" s="107" t="s">
        <v>44</v>
      </c>
      <c r="D205" s="105" t="s">
        <v>816</v>
      </c>
      <c r="E205" s="105" t="s">
        <v>35</v>
      </c>
      <c r="F205" s="139">
        <v>47.5</v>
      </c>
      <c r="G205" s="130">
        <v>94.95</v>
      </c>
      <c r="H205" s="103"/>
      <c r="I205" s="103">
        <f t="shared" si="3"/>
        <v>0</v>
      </c>
    </row>
    <row r="206" spans="1:9" s="1" customFormat="1">
      <c r="A206" s="104" t="s">
        <v>1161</v>
      </c>
      <c r="B206" s="107" t="s">
        <v>1516</v>
      </c>
      <c r="C206" s="107" t="s">
        <v>45</v>
      </c>
      <c r="D206" s="105" t="s">
        <v>816</v>
      </c>
      <c r="E206" s="105" t="s">
        <v>388</v>
      </c>
      <c r="F206" s="139">
        <v>47.5</v>
      </c>
      <c r="G206" s="130">
        <v>94.95</v>
      </c>
      <c r="H206" s="103"/>
      <c r="I206" s="103">
        <f t="shared" si="3"/>
        <v>0</v>
      </c>
    </row>
    <row r="207" spans="1:9" s="1" customFormat="1">
      <c r="A207" s="104" t="s">
        <v>1162</v>
      </c>
      <c r="B207" s="107" t="s">
        <v>1517</v>
      </c>
      <c r="C207" s="107" t="s">
        <v>45</v>
      </c>
      <c r="D207" s="105" t="s">
        <v>816</v>
      </c>
      <c r="E207" s="105" t="s">
        <v>24</v>
      </c>
      <c r="F207" s="139">
        <v>47.5</v>
      </c>
      <c r="G207" s="130">
        <v>94.95</v>
      </c>
      <c r="H207" s="103"/>
      <c r="I207" s="103">
        <f t="shared" si="3"/>
        <v>0</v>
      </c>
    </row>
    <row r="208" spans="1:9" s="1" customFormat="1">
      <c r="A208" s="104" t="s">
        <v>1163</v>
      </c>
      <c r="B208" s="107" t="s">
        <v>1518</v>
      </c>
      <c r="C208" s="107" t="s">
        <v>45</v>
      </c>
      <c r="D208" s="105" t="s">
        <v>816</v>
      </c>
      <c r="E208" s="105" t="s">
        <v>25</v>
      </c>
      <c r="F208" s="139">
        <v>47.5</v>
      </c>
      <c r="G208" s="130">
        <v>94.95</v>
      </c>
      <c r="H208" s="103"/>
      <c r="I208" s="103">
        <f t="shared" si="3"/>
        <v>0</v>
      </c>
    </row>
    <row r="209" spans="1:13" s="1" customFormat="1">
      <c r="A209" s="104" t="s">
        <v>1164</v>
      </c>
      <c r="B209" s="107" t="s">
        <v>1519</v>
      </c>
      <c r="C209" s="107" t="s">
        <v>45</v>
      </c>
      <c r="D209" s="105" t="s">
        <v>816</v>
      </c>
      <c r="E209" s="105" t="s">
        <v>26</v>
      </c>
      <c r="F209" s="139">
        <v>47.5</v>
      </c>
      <c r="G209" s="130">
        <v>94.95</v>
      </c>
      <c r="H209" s="103"/>
      <c r="I209" s="103">
        <f t="shared" si="3"/>
        <v>0</v>
      </c>
    </row>
    <row r="210" spans="1:13" s="1" customFormat="1">
      <c r="A210" s="104" t="s">
        <v>1165</v>
      </c>
      <c r="B210" s="107" t="s">
        <v>1520</v>
      </c>
      <c r="C210" s="107" t="s">
        <v>45</v>
      </c>
      <c r="D210" s="105" t="s">
        <v>816</v>
      </c>
      <c r="E210" s="105" t="s">
        <v>27</v>
      </c>
      <c r="F210" s="139">
        <v>47.5</v>
      </c>
      <c r="G210" s="130">
        <v>94.95</v>
      </c>
      <c r="H210" s="103"/>
      <c r="I210" s="103">
        <f t="shared" si="3"/>
        <v>0</v>
      </c>
    </row>
    <row r="211" spans="1:13" s="1" customFormat="1">
      <c r="A211" s="104" t="s">
        <v>1166</v>
      </c>
      <c r="B211" s="107" t="s">
        <v>1521</v>
      </c>
      <c r="C211" s="107" t="s">
        <v>45</v>
      </c>
      <c r="D211" s="105" t="s">
        <v>816</v>
      </c>
      <c r="E211" s="105" t="s">
        <v>28</v>
      </c>
      <c r="F211" s="139">
        <v>47.5</v>
      </c>
      <c r="G211" s="130">
        <v>94.95</v>
      </c>
      <c r="H211" s="103"/>
      <c r="I211" s="103">
        <f t="shared" si="3"/>
        <v>0</v>
      </c>
    </row>
    <row r="212" spans="1:13" s="1" customFormat="1">
      <c r="A212" s="104" t="s">
        <v>1167</v>
      </c>
      <c r="B212" s="107" t="s">
        <v>1522</v>
      </c>
      <c r="C212" s="107" t="s">
        <v>45</v>
      </c>
      <c r="D212" s="105" t="s">
        <v>816</v>
      </c>
      <c r="E212" s="105" t="s">
        <v>35</v>
      </c>
      <c r="F212" s="139">
        <v>47.5</v>
      </c>
      <c r="G212" s="130">
        <v>94.95</v>
      </c>
      <c r="H212" s="103"/>
      <c r="I212" s="103">
        <f t="shared" si="3"/>
        <v>0</v>
      </c>
    </row>
    <row r="213" spans="1:13" s="98" customFormat="1" ht="17" customHeight="1">
      <c r="A213" s="124"/>
      <c r="B213" s="91"/>
      <c r="C213" s="92"/>
      <c r="D213" s="93"/>
      <c r="E213" s="93"/>
      <c r="F213" s="160"/>
      <c r="G213" s="109" t="s">
        <v>1711</v>
      </c>
      <c r="H213" s="96">
        <f>SUM(H3:H212)</f>
        <v>0</v>
      </c>
      <c r="I213" s="97">
        <f>SUM(I3:I212)</f>
        <v>0</v>
      </c>
    </row>
    <row r="214" spans="1:13" s="84" customFormat="1">
      <c r="A214" s="90"/>
      <c r="B214" s="91"/>
      <c r="C214" s="99"/>
      <c r="D214" s="93"/>
      <c r="E214" s="93"/>
      <c r="F214" s="141"/>
      <c r="G214" s="94"/>
      <c r="H214" s="93"/>
      <c r="I214" s="94"/>
    </row>
    <row r="215" spans="1:13" s="11" customFormat="1">
      <c r="A215" s="25" t="s">
        <v>1705</v>
      </c>
      <c r="B215" s="24"/>
      <c r="C215" s="24"/>
      <c r="D215" s="24"/>
      <c r="E215" s="24"/>
      <c r="F215" s="138"/>
      <c r="G215" s="20"/>
      <c r="H215" s="20"/>
      <c r="I215" s="20"/>
      <c r="J215" s="27"/>
      <c r="K215" s="27"/>
      <c r="L215" s="5"/>
      <c r="M215" s="5"/>
    </row>
    <row r="216" spans="1:13" s="4" customFormat="1">
      <c r="A216" s="110">
        <v>7330057025958</v>
      </c>
      <c r="B216" s="111" t="s">
        <v>1596</v>
      </c>
      <c r="C216" s="112" t="s">
        <v>10</v>
      </c>
      <c r="D216" s="113" t="s">
        <v>57</v>
      </c>
      <c r="E216" s="114" t="s">
        <v>388</v>
      </c>
      <c r="F216" s="159">
        <v>60</v>
      </c>
      <c r="G216" s="103">
        <v>119.95</v>
      </c>
      <c r="H216" s="103"/>
      <c r="I216" s="103">
        <f t="shared" si="3"/>
        <v>0</v>
      </c>
    </row>
    <row r="217" spans="1:13" s="4" customFormat="1">
      <c r="A217" s="110">
        <v>7330057025965</v>
      </c>
      <c r="B217" s="111" t="s">
        <v>1597</v>
      </c>
      <c r="C217" s="112" t="s">
        <v>10</v>
      </c>
      <c r="D217" s="113" t="s">
        <v>57</v>
      </c>
      <c r="E217" s="114" t="s">
        <v>24</v>
      </c>
      <c r="F217" s="159">
        <v>60</v>
      </c>
      <c r="G217" s="103">
        <v>119.95</v>
      </c>
      <c r="H217" s="103"/>
      <c r="I217" s="103">
        <f t="shared" si="3"/>
        <v>0</v>
      </c>
    </row>
    <row r="218" spans="1:13" s="4" customFormat="1">
      <c r="A218" s="110">
        <v>7330057025972</v>
      </c>
      <c r="B218" s="111" t="s">
        <v>1598</v>
      </c>
      <c r="C218" s="112" t="s">
        <v>10</v>
      </c>
      <c r="D218" s="113" t="s">
        <v>57</v>
      </c>
      <c r="E218" s="114" t="s">
        <v>25</v>
      </c>
      <c r="F218" s="159">
        <v>60</v>
      </c>
      <c r="G218" s="103">
        <v>119.95</v>
      </c>
      <c r="H218" s="103"/>
      <c r="I218" s="103">
        <f t="shared" si="3"/>
        <v>0</v>
      </c>
    </row>
    <row r="219" spans="1:13" s="4" customFormat="1">
      <c r="A219" s="110">
        <v>7330057025989</v>
      </c>
      <c r="B219" s="111" t="s">
        <v>1599</v>
      </c>
      <c r="C219" s="112" t="s">
        <v>10</v>
      </c>
      <c r="D219" s="113" t="s">
        <v>57</v>
      </c>
      <c r="E219" s="114" t="s">
        <v>26</v>
      </c>
      <c r="F219" s="159">
        <v>60</v>
      </c>
      <c r="G219" s="103">
        <v>119.95</v>
      </c>
      <c r="H219" s="103"/>
      <c r="I219" s="103">
        <f t="shared" si="3"/>
        <v>0</v>
      </c>
    </row>
    <row r="220" spans="1:13" s="4" customFormat="1">
      <c r="A220" s="110">
        <v>7330057025996</v>
      </c>
      <c r="B220" s="111" t="s">
        <v>1600</v>
      </c>
      <c r="C220" s="112" t="s">
        <v>10</v>
      </c>
      <c r="D220" s="113" t="s">
        <v>57</v>
      </c>
      <c r="E220" s="114" t="s">
        <v>27</v>
      </c>
      <c r="F220" s="159">
        <v>60</v>
      </c>
      <c r="G220" s="103">
        <v>119.95</v>
      </c>
      <c r="H220" s="103"/>
      <c r="I220" s="103">
        <f t="shared" si="3"/>
        <v>0</v>
      </c>
    </row>
    <row r="221" spans="1:13" s="4" customFormat="1">
      <c r="A221" s="110">
        <v>7330057026009</v>
      </c>
      <c r="B221" s="111" t="s">
        <v>1601</v>
      </c>
      <c r="C221" s="112" t="s">
        <v>10</v>
      </c>
      <c r="D221" s="113" t="s">
        <v>57</v>
      </c>
      <c r="E221" s="114" t="s">
        <v>28</v>
      </c>
      <c r="F221" s="159">
        <v>60</v>
      </c>
      <c r="G221" s="103">
        <v>119.95</v>
      </c>
      <c r="H221" s="103"/>
      <c r="I221" s="103">
        <f t="shared" si="3"/>
        <v>0</v>
      </c>
    </row>
    <row r="222" spans="1:13" s="4" customFormat="1">
      <c r="A222" s="110">
        <v>7330057026016</v>
      </c>
      <c r="B222" s="111" t="s">
        <v>1602</v>
      </c>
      <c r="C222" s="112" t="s">
        <v>10</v>
      </c>
      <c r="D222" s="113" t="s">
        <v>57</v>
      </c>
      <c r="E222" s="114" t="s">
        <v>35</v>
      </c>
      <c r="F222" s="159">
        <v>60</v>
      </c>
      <c r="G222" s="103">
        <v>119.95</v>
      </c>
      <c r="H222" s="103"/>
      <c r="I222" s="103">
        <f t="shared" si="3"/>
        <v>0</v>
      </c>
    </row>
    <row r="223" spans="1:13" s="4" customFormat="1">
      <c r="A223" s="110">
        <v>7330057026023</v>
      </c>
      <c r="B223" s="111" t="s">
        <v>1603</v>
      </c>
      <c r="C223" s="112" t="s">
        <v>10</v>
      </c>
      <c r="D223" s="113" t="s">
        <v>60</v>
      </c>
      <c r="E223" s="114" t="s">
        <v>388</v>
      </c>
      <c r="F223" s="159">
        <v>60</v>
      </c>
      <c r="G223" s="103">
        <v>119.95</v>
      </c>
      <c r="H223" s="103"/>
      <c r="I223" s="103">
        <f t="shared" si="3"/>
        <v>0</v>
      </c>
    </row>
    <row r="224" spans="1:13" s="4" customFormat="1">
      <c r="A224" s="110">
        <v>7330057026030</v>
      </c>
      <c r="B224" s="111" t="s">
        <v>1604</v>
      </c>
      <c r="C224" s="112" t="s">
        <v>10</v>
      </c>
      <c r="D224" s="113" t="s">
        <v>60</v>
      </c>
      <c r="E224" s="114" t="s">
        <v>24</v>
      </c>
      <c r="F224" s="159">
        <v>60</v>
      </c>
      <c r="G224" s="103">
        <v>119.95</v>
      </c>
      <c r="H224" s="103"/>
      <c r="I224" s="103">
        <f t="shared" si="3"/>
        <v>0</v>
      </c>
    </row>
    <row r="225" spans="1:9" s="4" customFormat="1">
      <c r="A225" s="110">
        <v>7330057026047</v>
      </c>
      <c r="B225" s="111" t="s">
        <v>1605</v>
      </c>
      <c r="C225" s="112" t="s">
        <v>10</v>
      </c>
      <c r="D225" s="113" t="s">
        <v>60</v>
      </c>
      <c r="E225" s="114" t="s">
        <v>25</v>
      </c>
      <c r="F225" s="159">
        <v>60</v>
      </c>
      <c r="G225" s="103">
        <v>119.95</v>
      </c>
      <c r="H225" s="103"/>
      <c r="I225" s="103">
        <f t="shared" si="3"/>
        <v>0</v>
      </c>
    </row>
    <row r="226" spans="1:9" s="4" customFormat="1">
      <c r="A226" s="110">
        <v>7330057026054</v>
      </c>
      <c r="B226" s="111" t="s">
        <v>1606</v>
      </c>
      <c r="C226" s="112" t="s">
        <v>10</v>
      </c>
      <c r="D226" s="113" t="s">
        <v>60</v>
      </c>
      <c r="E226" s="114" t="s">
        <v>26</v>
      </c>
      <c r="F226" s="159">
        <v>60</v>
      </c>
      <c r="G226" s="103">
        <v>119.95</v>
      </c>
      <c r="H226" s="103"/>
      <c r="I226" s="103">
        <f t="shared" si="3"/>
        <v>0</v>
      </c>
    </row>
    <row r="227" spans="1:9" s="4" customFormat="1">
      <c r="A227" s="110">
        <v>7330057026061</v>
      </c>
      <c r="B227" s="111" t="s">
        <v>1607</v>
      </c>
      <c r="C227" s="112" t="s">
        <v>10</v>
      </c>
      <c r="D227" s="113" t="s">
        <v>60</v>
      </c>
      <c r="E227" s="114" t="s">
        <v>27</v>
      </c>
      <c r="F227" s="159">
        <v>60</v>
      </c>
      <c r="G227" s="103">
        <v>119.95</v>
      </c>
      <c r="H227" s="103"/>
      <c r="I227" s="103">
        <f t="shared" si="3"/>
        <v>0</v>
      </c>
    </row>
    <row r="228" spans="1:9" s="4" customFormat="1">
      <c r="A228" s="110">
        <v>7330057026078</v>
      </c>
      <c r="B228" s="111" t="s">
        <v>1608</v>
      </c>
      <c r="C228" s="112" t="s">
        <v>10</v>
      </c>
      <c r="D228" s="113" t="s">
        <v>60</v>
      </c>
      <c r="E228" s="114" t="s">
        <v>28</v>
      </c>
      <c r="F228" s="159">
        <v>60</v>
      </c>
      <c r="G228" s="103">
        <v>119.95</v>
      </c>
      <c r="H228" s="103"/>
      <c r="I228" s="103">
        <f t="shared" si="3"/>
        <v>0</v>
      </c>
    </row>
    <row r="229" spans="1:9" s="4" customFormat="1">
      <c r="A229" s="110">
        <v>7330057026085</v>
      </c>
      <c r="B229" s="111" t="s">
        <v>1609</v>
      </c>
      <c r="C229" s="112" t="s">
        <v>10</v>
      </c>
      <c r="D229" s="113" t="s">
        <v>60</v>
      </c>
      <c r="E229" s="114" t="s">
        <v>35</v>
      </c>
      <c r="F229" s="159">
        <v>60</v>
      </c>
      <c r="G229" s="103">
        <v>119.95</v>
      </c>
      <c r="H229" s="103"/>
      <c r="I229" s="103">
        <f t="shared" si="3"/>
        <v>0</v>
      </c>
    </row>
    <row r="230" spans="1:9" s="4" customFormat="1">
      <c r="A230" s="110">
        <v>7330057026092</v>
      </c>
      <c r="B230" s="111" t="s">
        <v>1610</v>
      </c>
      <c r="C230" s="112" t="s">
        <v>10</v>
      </c>
      <c r="D230" s="105" t="s">
        <v>61</v>
      </c>
      <c r="E230" s="114" t="s">
        <v>388</v>
      </c>
      <c r="F230" s="159">
        <v>60</v>
      </c>
      <c r="G230" s="103">
        <v>119.95</v>
      </c>
      <c r="H230" s="103"/>
      <c r="I230" s="103">
        <f t="shared" si="3"/>
        <v>0</v>
      </c>
    </row>
    <row r="231" spans="1:9" s="4" customFormat="1">
      <c r="A231" s="110">
        <v>7330057026108</v>
      </c>
      <c r="B231" s="111" t="s">
        <v>1611</v>
      </c>
      <c r="C231" s="112" t="s">
        <v>10</v>
      </c>
      <c r="D231" s="105" t="s">
        <v>61</v>
      </c>
      <c r="E231" s="114" t="s">
        <v>24</v>
      </c>
      <c r="F231" s="159">
        <v>60</v>
      </c>
      <c r="G231" s="103">
        <v>119.95</v>
      </c>
      <c r="H231" s="103"/>
      <c r="I231" s="103">
        <f t="shared" si="3"/>
        <v>0</v>
      </c>
    </row>
    <row r="232" spans="1:9" s="4" customFormat="1">
      <c r="A232" s="110">
        <v>7330057026115</v>
      </c>
      <c r="B232" s="111" t="s">
        <v>1612</v>
      </c>
      <c r="C232" s="112" t="s">
        <v>10</v>
      </c>
      <c r="D232" s="105" t="s">
        <v>61</v>
      </c>
      <c r="E232" s="114" t="s">
        <v>25</v>
      </c>
      <c r="F232" s="159">
        <v>60</v>
      </c>
      <c r="G232" s="103">
        <v>119.95</v>
      </c>
      <c r="H232" s="103"/>
      <c r="I232" s="103">
        <f t="shared" si="3"/>
        <v>0</v>
      </c>
    </row>
    <row r="233" spans="1:9" s="4" customFormat="1">
      <c r="A233" s="110">
        <v>7330057026122</v>
      </c>
      <c r="B233" s="111" t="s">
        <v>1613</v>
      </c>
      <c r="C233" s="112" t="s">
        <v>10</v>
      </c>
      <c r="D233" s="105" t="s">
        <v>61</v>
      </c>
      <c r="E233" s="114" t="s">
        <v>26</v>
      </c>
      <c r="F233" s="159">
        <v>60</v>
      </c>
      <c r="G233" s="103">
        <v>119.95</v>
      </c>
      <c r="H233" s="103"/>
      <c r="I233" s="103">
        <f t="shared" si="3"/>
        <v>0</v>
      </c>
    </row>
    <row r="234" spans="1:9" s="4" customFormat="1">
      <c r="A234" s="110">
        <v>7330057026139</v>
      </c>
      <c r="B234" s="111" t="s">
        <v>1614</v>
      </c>
      <c r="C234" s="112" t="s">
        <v>10</v>
      </c>
      <c r="D234" s="105" t="s">
        <v>61</v>
      </c>
      <c r="E234" s="114" t="s">
        <v>27</v>
      </c>
      <c r="F234" s="159">
        <v>60</v>
      </c>
      <c r="G234" s="103">
        <v>119.95</v>
      </c>
      <c r="H234" s="103"/>
      <c r="I234" s="103">
        <f t="shared" si="3"/>
        <v>0</v>
      </c>
    </row>
    <row r="235" spans="1:9" s="4" customFormat="1">
      <c r="A235" s="110">
        <v>7330057026146</v>
      </c>
      <c r="B235" s="111" t="s">
        <v>1615</v>
      </c>
      <c r="C235" s="112" t="s">
        <v>10</v>
      </c>
      <c r="D235" s="105" t="s">
        <v>61</v>
      </c>
      <c r="E235" s="114" t="s">
        <v>28</v>
      </c>
      <c r="F235" s="159">
        <v>60</v>
      </c>
      <c r="G235" s="103">
        <v>119.95</v>
      </c>
      <c r="H235" s="103"/>
      <c r="I235" s="103">
        <f t="shared" si="3"/>
        <v>0</v>
      </c>
    </row>
    <row r="236" spans="1:9" s="4" customFormat="1">
      <c r="A236" s="110">
        <v>7330057026153</v>
      </c>
      <c r="B236" s="111" t="s">
        <v>1616</v>
      </c>
      <c r="C236" s="112" t="s">
        <v>10</v>
      </c>
      <c r="D236" s="105" t="s">
        <v>61</v>
      </c>
      <c r="E236" s="114" t="s">
        <v>35</v>
      </c>
      <c r="F236" s="159">
        <v>60</v>
      </c>
      <c r="G236" s="103">
        <v>119.95</v>
      </c>
      <c r="H236" s="103"/>
      <c r="I236" s="103">
        <f t="shared" si="3"/>
        <v>0</v>
      </c>
    </row>
    <row r="237" spans="1:9" s="4" customFormat="1">
      <c r="A237" s="110">
        <v>7330057026160</v>
      </c>
      <c r="B237" s="111" t="s">
        <v>1617</v>
      </c>
      <c r="C237" s="112" t="s">
        <v>10</v>
      </c>
      <c r="D237" s="105" t="s">
        <v>62</v>
      </c>
      <c r="E237" s="114" t="s">
        <v>388</v>
      </c>
      <c r="F237" s="159">
        <v>60</v>
      </c>
      <c r="G237" s="103">
        <v>119.95</v>
      </c>
      <c r="H237" s="103"/>
      <c r="I237" s="103">
        <f t="shared" si="3"/>
        <v>0</v>
      </c>
    </row>
    <row r="238" spans="1:9" s="4" customFormat="1">
      <c r="A238" s="110">
        <v>7330057026177</v>
      </c>
      <c r="B238" s="111" t="s">
        <v>1618</v>
      </c>
      <c r="C238" s="112" t="s">
        <v>10</v>
      </c>
      <c r="D238" s="105" t="s">
        <v>62</v>
      </c>
      <c r="E238" s="114" t="s">
        <v>24</v>
      </c>
      <c r="F238" s="159">
        <v>60</v>
      </c>
      <c r="G238" s="103">
        <v>119.95</v>
      </c>
      <c r="H238" s="103"/>
      <c r="I238" s="103">
        <f t="shared" si="3"/>
        <v>0</v>
      </c>
    </row>
    <row r="239" spans="1:9" s="4" customFormat="1">
      <c r="A239" s="110">
        <v>7330057026184</v>
      </c>
      <c r="B239" s="111" t="s">
        <v>1619</v>
      </c>
      <c r="C239" s="112" t="s">
        <v>10</v>
      </c>
      <c r="D239" s="105" t="s">
        <v>62</v>
      </c>
      <c r="E239" s="114" t="s">
        <v>25</v>
      </c>
      <c r="F239" s="159">
        <v>60</v>
      </c>
      <c r="G239" s="103">
        <v>119.95</v>
      </c>
      <c r="H239" s="103"/>
      <c r="I239" s="103">
        <f t="shared" si="3"/>
        <v>0</v>
      </c>
    </row>
    <row r="240" spans="1:9" s="4" customFormat="1">
      <c r="A240" s="110">
        <v>7330057026191</v>
      </c>
      <c r="B240" s="111" t="s">
        <v>1620</v>
      </c>
      <c r="C240" s="112" t="s">
        <v>10</v>
      </c>
      <c r="D240" s="105" t="s">
        <v>62</v>
      </c>
      <c r="E240" s="114" t="s">
        <v>26</v>
      </c>
      <c r="F240" s="159">
        <v>60</v>
      </c>
      <c r="G240" s="103">
        <v>119.95</v>
      </c>
      <c r="H240" s="103"/>
      <c r="I240" s="103">
        <f t="shared" si="3"/>
        <v>0</v>
      </c>
    </row>
    <row r="241" spans="1:9" s="4" customFormat="1">
      <c r="A241" s="110">
        <v>7330057026207</v>
      </c>
      <c r="B241" s="111" t="s">
        <v>1621</v>
      </c>
      <c r="C241" s="112" t="s">
        <v>10</v>
      </c>
      <c r="D241" s="105" t="s">
        <v>62</v>
      </c>
      <c r="E241" s="114" t="s">
        <v>27</v>
      </c>
      <c r="F241" s="159">
        <v>60</v>
      </c>
      <c r="G241" s="103">
        <v>119.95</v>
      </c>
      <c r="H241" s="103"/>
      <c r="I241" s="103">
        <f t="shared" si="3"/>
        <v>0</v>
      </c>
    </row>
    <row r="242" spans="1:9" s="4" customFormat="1">
      <c r="A242" s="110">
        <v>7330057026214</v>
      </c>
      <c r="B242" s="111" t="s">
        <v>1622</v>
      </c>
      <c r="C242" s="112" t="s">
        <v>10</v>
      </c>
      <c r="D242" s="105" t="s">
        <v>62</v>
      </c>
      <c r="E242" s="114" t="s">
        <v>28</v>
      </c>
      <c r="F242" s="159">
        <v>60</v>
      </c>
      <c r="G242" s="103">
        <v>119.95</v>
      </c>
      <c r="H242" s="103"/>
      <c r="I242" s="103">
        <f t="shared" si="3"/>
        <v>0</v>
      </c>
    </row>
    <row r="243" spans="1:9" s="4" customFormat="1">
      <c r="A243" s="110">
        <v>7330057026221</v>
      </c>
      <c r="B243" s="111" t="s">
        <v>1623</v>
      </c>
      <c r="C243" s="112" t="s">
        <v>10</v>
      </c>
      <c r="D243" s="105" t="s">
        <v>62</v>
      </c>
      <c r="E243" s="114" t="s">
        <v>35</v>
      </c>
      <c r="F243" s="159">
        <v>60</v>
      </c>
      <c r="G243" s="103">
        <v>119.95</v>
      </c>
      <c r="H243" s="103"/>
      <c r="I243" s="103">
        <f t="shared" si="3"/>
        <v>0</v>
      </c>
    </row>
    <row r="244" spans="1:9" s="4" customFormat="1">
      <c r="A244" s="104" t="s">
        <v>1523</v>
      </c>
      <c r="B244" s="111" t="s">
        <v>1537</v>
      </c>
      <c r="C244" s="112" t="s">
        <v>10</v>
      </c>
      <c r="D244" s="105" t="s">
        <v>815</v>
      </c>
      <c r="E244" s="114" t="s">
        <v>388</v>
      </c>
      <c r="F244" s="159">
        <v>60</v>
      </c>
      <c r="G244" s="103">
        <v>119.95</v>
      </c>
      <c r="H244" s="103"/>
      <c r="I244" s="103">
        <f t="shared" si="3"/>
        <v>0</v>
      </c>
    </row>
    <row r="245" spans="1:9" s="4" customFormat="1">
      <c r="A245" s="104" t="s">
        <v>1524</v>
      </c>
      <c r="B245" s="111" t="s">
        <v>1538</v>
      </c>
      <c r="C245" s="112" t="s">
        <v>10</v>
      </c>
      <c r="D245" s="105" t="s">
        <v>815</v>
      </c>
      <c r="E245" s="114" t="s">
        <v>24</v>
      </c>
      <c r="F245" s="159">
        <v>60</v>
      </c>
      <c r="G245" s="103">
        <v>119.95</v>
      </c>
      <c r="H245" s="103"/>
      <c r="I245" s="103">
        <f t="shared" si="3"/>
        <v>0</v>
      </c>
    </row>
    <row r="246" spans="1:9" s="4" customFormat="1">
      <c r="A246" s="104" t="s">
        <v>1525</v>
      </c>
      <c r="B246" s="111" t="s">
        <v>1539</v>
      </c>
      <c r="C246" s="112" t="s">
        <v>10</v>
      </c>
      <c r="D246" s="105" t="s">
        <v>815</v>
      </c>
      <c r="E246" s="114" t="s">
        <v>25</v>
      </c>
      <c r="F246" s="159">
        <v>60</v>
      </c>
      <c r="G246" s="103">
        <v>119.95</v>
      </c>
      <c r="H246" s="103"/>
      <c r="I246" s="103">
        <f t="shared" si="3"/>
        <v>0</v>
      </c>
    </row>
    <row r="247" spans="1:9" s="4" customFormat="1">
      <c r="A247" s="104" t="s">
        <v>1526</v>
      </c>
      <c r="B247" s="111" t="s">
        <v>1540</v>
      </c>
      <c r="C247" s="112" t="s">
        <v>10</v>
      </c>
      <c r="D247" s="105" t="s">
        <v>815</v>
      </c>
      <c r="E247" s="114" t="s">
        <v>26</v>
      </c>
      <c r="F247" s="159">
        <v>60</v>
      </c>
      <c r="G247" s="103">
        <v>119.95</v>
      </c>
      <c r="H247" s="103"/>
      <c r="I247" s="103">
        <f t="shared" si="3"/>
        <v>0</v>
      </c>
    </row>
    <row r="248" spans="1:9" s="4" customFormat="1">
      <c r="A248" s="104" t="s">
        <v>1527</v>
      </c>
      <c r="B248" s="111" t="s">
        <v>1541</v>
      </c>
      <c r="C248" s="112" t="s">
        <v>10</v>
      </c>
      <c r="D248" s="105" t="s">
        <v>815</v>
      </c>
      <c r="E248" s="114" t="s">
        <v>27</v>
      </c>
      <c r="F248" s="159">
        <v>60</v>
      </c>
      <c r="G248" s="103">
        <v>119.95</v>
      </c>
      <c r="H248" s="103"/>
      <c r="I248" s="103">
        <f t="shared" si="3"/>
        <v>0</v>
      </c>
    </row>
    <row r="249" spans="1:9" s="4" customFormat="1">
      <c r="A249" s="104" t="s">
        <v>1528</v>
      </c>
      <c r="B249" s="111" t="s">
        <v>1542</v>
      </c>
      <c r="C249" s="112" t="s">
        <v>10</v>
      </c>
      <c r="D249" s="105" t="s">
        <v>815</v>
      </c>
      <c r="E249" s="114" t="s">
        <v>28</v>
      </c>
      <c r="F249" s="159">
        <v>60</v>
      </c>
      <c r="G249" s="103">
        <v>119.95</v>
      </c>
      <c r="H249" s="103"/>
      <c r="I249" s="103">
        <f t="shared" si="3"/>
        <v>0</v>
      </c>
    </row>
    <row r="250" spans="1:9" s="4" customFormat="1">
      <c r="A250" s="104" t="s">
        <v>1529</v>
      </c>
      <c r="B250" s="111" t="s">
        <v>1543</v>
      </c>
      <c r="C250" s="112" t="s">
        <v>10</v>
      </c>
      <c r="D250" s="105" t="s">
        <v>815</v>
      </c>
      <c r="E250" s="114" t="s">
        <v>35</v>
      </c>
      <c r="F250" s="159">
        <v>60</v>
      </c>
      <c r="G250" s="103">
        <v>119.95</v>
      </c>
      <c r="H250" s="103"/>
      <c r="I250" s="103">
        <f t="shared" si="3"/>
        <v>0</v>
      </c>
    </row>
    <row r="251" spans="1:9" s="4" customFormat="1">
      <c r="A251" s="104" t="s">
        <v>1530</v>
      </c>
      <c r="B251" s="111" t="s">
        <v>1544</v>
      </c>
      <c r="C251" s="112" t="s">
        <v>10</v>
      </c>
      <c r="D251" s="105" t="s">
        <v>816</v>
      </c>
      <c r="E251" s="114" t="s">
        <v>388</v>
      </c>
      <c r="F251" s="159">
        <v>60</v>
      </c>
      <c r="G251" s="103">
        <v>119.95</v>
      </c>
      <c r="H251" s="103"/>
      <c r="I251" s="103">
        <f t="shared" si="3"/>
        <v>0</v>
      </c>
    </row>
    <row r="252" spans="1:9" s="4" customFormat="1">
      <c r="A252" s="104" t="s">
        <v>1531</v>
      </c>
      <c r="B252" s="111" t="s">
        <v>1545</v>
      </c>
      <c r="C252" s="112" t="s">
        <v>10</v>
      </c>
      <c r="D252" s="105" t="s">
        <v>816</v>
      </c>
      <c r="E252" s="114" t="s">
        <v>24</v>
      </c>
      <c r="F252" s="159">
        <v>60</v>
      </c>
      <c r="G252" s="103">
        <v>119.95</v>
      </c>
      <c r="H252" s="103"/>
      <c r="I252" s="103">
        <f t="shared" si="3"/>
        <v>0</v>
      </c>
    </row>
    <row r="253" spans="1:9" s="4" customFormat="1">
      <c r="A253" s="104" t="s">
        <v>1532</v>
      </c>
      <c r="B253" s="111" t="s">
        <v>1546</v>
      </c>
      <c r="C253" s="112" t="s">
        <v>10</v>
      </c>
      <c r="D253" s="105" t="s">
        <v>816</v>
      </c>
      <c r="E253" s="114" t="s">
        <v>25</v>
      </c>
      <c r="F253" s="159">
        <v>60</v>
      </c>
      <c r="G253" s="103">
        <v>119.95</v>
      </c>
      <c r="H253" s="103"/>
      <c r="I253" s="103">
        <f t="shared" si="3"/>
        <v>0</v>
      </c>
    </row>
    <row r="254" spans="1:9" s="4" customFormat="1">
      <c r="A254" s="104" t="s">
        <v>1533</v>
      </c>
      <c r="B254" s="111" t="s">
        <v>1547</v>
      </c>
      <c r="C254" s="112" t="s">
        <v>10</v>
      </c>
      <c r="D254" s="105" t="s">
        <v>816</v>
      </c>
      <c r="E254" s="114" t="s">
        <v>26</v>
      </c>
      <c r="F254" s="159">
        <v>60</v>
      </c>
      <c r="G254" s="103">
        <v>119.95</v>
      </c>
      <c r="H254" s="103"/>
      <c r="I254" s="103">
        <f t="shared" si="3"/>
        <v>0</v>
      </c>
    </row>
    <row r="255" spans="1:9" s="4" customFormat="1">
      <c r="A255" s="104" t="s">
        <v>1534</v>
      </c>
      <c r="B255" s="111" t="s">
        <v>1548</v>
      </c>
      <c r="C255" s="112" t="s">
        <v>10</v>
      </c>
      <c r="D255" s="105" t="s">
        <v>816</v>
      </c>
      <c r="E255" s="114" t="s">
        <v>27</v>
      </c>
      <c r="F255" s="159">
        <v>60</v>
      </c>
      <c r="G255" s="103">
        <v>119.95</v>
      </c>
      <c r="H255" s="103"/>
      <c r="I255" s="103">
        <f t="shared" si="3"/>
        <v>0</v>
      </c>
    </row>
    <row r="256" spans="1:9" s="4" customFormat="1">
      <c r="A256" s="104" t="s">
        <v>1535</v>
      </c>
      <c r="B256" s="111" t="s">
        <v>1549</v>
      </c>
      <c r="C256" s="112" t="s">
        <v>10</v>
      </c>
      <c r="D256" s="105" t="s">
        <v>816</v>
      </c>
      <c r="E256" s="114" t="s">
        <v>28</v>
      </c>
      <c r="F256" s="159">
        <v>60</v>
      </c>
      <c r="G256" s="103">
        <v>119.95</v>
      </c>
      <c r="H256" s="103"/>
      <c r="I256" s="103">
        <f t="shared" si="3"/>
        <v>0</v>
      </c>
    </row>
    <row r="257" spans="1:9" s="4" customFormat="1">
      <c r="A257" s="104" t="s">
        <v>1536</v>
      </c>
      <c r="B257" s="111" t="s">
        <v>1550</v>
      </c>
      <c r="C257" s="112" t="s">
        <v>10</v>
      </c>
      <c r="D257" s="105" t="s">
        <v>816</v>
      </c>
      <c r="E257" s="114" t="s">
        <v>35</v>
      </c>
      <c r="F257" s="159">
        <v>60</v>
      </c>
      <c r="G257" s="103">
        <v>119.95</v>
      </c>
      <c r="H257" s="103"/>
      <c r="I257" s="103">
        <f t="shared" si="3"/>
        <v>0</v>
      </c>
    </row>
    <row r="258" spans="1:9" s="4" customFormat="1">
      <c r="A258" s="104" t="s">
        <v>1168</v>
      </c>
      <c r="B258" s="111" t="s">
        <v>1588</v>
      </c>
      <c r="C258" s="112" t="s">
        <v>47</v>
      </c>
      <c r="D258" s="113" t="s">
        <v>57</v>
      </c>
      <c r="E258" s="114" t="s">
        <v>388</v>
      </c>
      <c r="F258" s="159">
        <v>60</v>
      </c>
      <c r="G258" s="103">
        <v>119.95</v>
      </c>
      <c r="H258" s="103"/>
      <c r="I258" s="103">
        <f t="shared" si="3"/>
        <v>0</v>
      </c>
    </row>
    <row r="259" spans="1:9" s="4" customFormat="1">
      <c r="A259" s="110">
        <v>7330057026238</v>
      </c>
      <c r="B259" s="111" t="s">
        <v>1568</v>
      </c>
      <c r="C259" s="112" t="s">
        <v>47</v>
      </c>
      <c r="D259" s="113" t="s">
        <v>57</v>
      </c>
      <c r="E259" s="114" t="s">
        <v>24</v>
      </c>
      <c r="F259" s="159">
        <v>60</v>
      </c>
      <c r="G259" s="103">
        <v>119.95</v>
      </c>
      <c r="H259" s="103"/>
      <c r="I259" s="103">
        <f t="shared" si="3"/>
        <v>0</v>
      </c>
    </row>
    <row r="260" spans="1:9" s="4" customFormat="1">
      <c r="A260" s="110">
        <v>7330057026245</v>
      </c>
      <c r="B260" s="111" t="s">
        <v>1569</v>
      </c>
      <c r="C260" s="112" t="s">
        <v>47</v>
      </c>
      <c r="D260" s="113" t="s">
        <v>57</v>
      </c>
      <c r="E260" s="114" t="s">
        <v>25</v>
      </c>
      <c r="F260" s="159">
        <v>60</v>
      </c>
      <c r="G260" s="103">
        <v>119.95</v>
      </c>
      <c r="H260" s="103"/>
      <c r="I260" s="103">
        <f t="shared" si="3"/>
        <v>0</v>
      </c>
    </row>
    <row r="261" spans="1:9" s="4" customFormat="1">
      <c r="A261" s="110">
        <v>7330057026252</v>
      </c>
      <c r="B261" s="111" t="s">
        <v>1570</v>
      </c>
      <c r="C261" s="112" t="s">
        <v>47</v>
      </c>
      <c r="D261" s="113" t="s">
        <v>57</v>
      </c>
      <c r="E261" s="114" t="s">
        <v>26</v>
      </c>
      <c r="F261" s="159">
        <v>60</v>
      </c>
      <c r="G261" s="103">
        <v>119.95</v>
      </c>
      <c r="H261" s="103"/>
      <c r="I261" s="103">
        <f t="shared" si="3"/>
        <v>0</v>
      </c>
    </row>
    <row r="262" spans="1:9" s="4" customFormat="1">
      <c r="A262" s="110">
        <v>7330057026269</v>
      </c>
      <c r="B262" s="111" t="s">
        <v>1571</v>
      </c>
      <c r="C262" s="112" t="s">
        <v>47</v>
      </c>
      <c r="D262" s="113" t="s">
        <v>57</v>
      </c>
      <c r="E262" s="114" t="s">
        <v>27</v>
      </c>
      <c r="F262" s="159">
        <v>60</v>
      </c>
      <c r="G262" s="103">
        <v>119.95</v>
      </c>
      <c r="H262" s="103"/>
      <c r="I262" s="103">
        <f t="shared" si="3"/>
        <v>0</v>
      </c>
    </row>
    <row r="263" spans="1:9" s="4" customFormat="1">
      <c r="A263" s="110">
        <v>7330057026276</v>
      </c>
      <c r="B263" s="111" t="s">
        <v>1572</v>
      </c>
      <c r="C263" s="112" t="s">
        <v>47</v>
      </c>
      <c r="D263" s="113" t="s">
        <v>57</v>
      </c>
      <c r="E263" s="114" t="s">
        <v>28</v>
      </c>
      <c r="F263" s="159">
        <v>60</v>
      </c>
      <c r="G263" s="103">
        <v>119.95</v>
      </c>
      <c r="H263" s="103"/>
      <c r="I263" s="103">
        <f t="shared" ref="I263:I332" si="4">H263*F263</f>
        <v>0</v>
      </c>
    </row>
    <row r="264" spans="1:9" s="4" customFormat="1">
      <c r="A264" s="104" t="s">
        <v>1169</v>
      </c>
      <c r="B264" s="111" t="s">
        <v>1589</v>
      </c>
      <c r="C264" s="112" t="s">
        <v>47</v>
      </c>
      <c r="D264" s="113" t="s">
        <v>57</v>
      </c>
      <c r="E264" s="114" t="s">
        <v>35</v>
      </c>
      <c r="F264" s="159">
        <v>60</v>
      </c>
      <c r="G264" s="103">
        <v>119.95</v>
      </c>
      <c r="H264" s="103"/>
      <c r="I264" s="103">
        <f t="shared" si="4"/>
        <v>0</v>
      </c>
    </row>
    <row r="265" spans="1:9" s="4" customFormat="1">
      <c r="A265" s="104" t="s">
        <v>1170</v>
      </c>
      <c r="B265" s="111" t="s">
        <v>1590</v>
      </c>
      <c r="C265" s="112" t="s">
        <v>47</v>
      </c>
      <c r="D265" s="113" t="s">
        <v>60</v>
      </c>
      <c r="E265" s="114" t="s">
        <v>388</v>
      </c>
      <c r="F265" s="159">
        <v>60</v>
      </c>
      <c r="G265" s="103">
        <v>119.95</v>
      </c>
      <c r="H265" s="103"/>
      <c r="I265" s="103">
        <f t="shared" si="4"/>
        <v>0</v>
      </c>
    </row>
    <row r="266" spans="1:9" s="4" customFormat="1">
      <c r="A266" s="110">
        <v>7330057026283</v>
      </c>
      <c r="B266" s="111" t="s">
        <v>1573</v>
      </c>
      <c r="C266" s="112" t="s">
        <v>47</v>
      </c>
      <c r="D266" s="113" t="s">
        <v>60</v>
      </c>
      <c r="E266" s="114" t="s">
        <v>24</v>
      </c>
      <c r="F266" s="159">
        <v>60</v>
      </c>
      <c r="G266" s="103">
        <v>119.95</v>
      </c>
      <c r="H266" s="103"/>
      <c r="I266" s="103">
        <f t="shared" si="4"/>
        <v>0</v>
      </c>
    </row>
    <row r="267" spans="1:9" s="4" customFormat="1">
      <c r="A267" s="110">
        <v>7330057026290</v>
      </c>
      <c r="B267" s="111" t="s">
        <v>1574</v>
      </c>
      <c r="C267" s="112" t="s">
        <v>47</v>
      </c>
      <c r="D267" s="113" t="s">
        <v>60</v>
      </c>
      <c r="E267" s="114" t="s">
        <v>25</v>
      </c>
      <c r="F267" s="159">
        <v>60</v>
      </c>
      <c r="G267" s="103">
        <v>119.95</v>
      </c>
      <c r="H267" s="103"/>
      <c r="I267" s="103">
        <f t="shared" si="4"/>
        <v>0</v>
      </c>
    </row>
    <row r="268" spans="1:9" s="4" customFormat="1">
      <c r="A268" s="110">
        <v>7330057026306</v>
      </c>
      <c r="B268" s="111" t="s">
        <v>1575</v>
      </c>
      <c r="C268" s="112" t="s">
        <v>47</v>
      </c>
      <c r="D268" s="113" t="s">
        <v>60</v>
      </c>
      <c r="E268" s="114" t="s">
        <v>26</v>
      </c>
      <c r="F268" s="159">
        <v>60</v>
      </c>
      <c r="G268" s="103">
        <v>119.95</v>
      </c>
      <c r="H268" s="103"/>
      <c r="I268" s="103">
        <f t="shared" si="4"/>
        <v>0</v>
      </c>
    </row>
    <row r="269" spans="1:9" s="4" customFormat="1">
      <c r="A269" s="110">
        <v>7330057026313</v>
      </c>
      <c r="B269" s="111" t="s">
        <v>1576</v>
      </c>
      <c r="C269" s="112" t="s">
        <v>47</v>
      </c>
      <c r="D269" s="113" t="s">
        <v>60</v>
      </c>
      <c r="E269" s="114" t="s">
        <v>27</v>
      </c>
      <c r="F269" s="159">
        <v>60</v>
      </c>
      <c r="G269" s="103">
        <v>119.95</v>
      </c>
      <c r="H269" s="103"/>
      <c r="I269" s="103">
        <f t="shared" si="4"/>
        <v>0</v>
      </c>
    </row>
    <row r="270" spans="1:9" s="4" customFormat="1">
      <c r="A270" s="110">
        <v>7330057026320</v>
      </c>
      <c r="B270" s="111" t="s">
        <v>1577</v>
      </c>
      <c r="C270" s="112" t="s">
        <v>47</v>
      </c>
      <c r="D270" s="113" t="s">
        <v>60</v>
      </c>
      <c r="E270" s="114" t="s">
        <v>28</v>
      </c>
      <c r="F270" s="159">
        <v>60</v>
      </c>
      <c r="G270" s="103">
        <v>119.95</v>
      </c>
      <c r="H270" s="103"/>
      <c r="I270" s="103">
        <f t="shared" si="4"/>
        <v>0</v>
      </c>
    </row>
    <row r="271" spans="1:9" s="4" customFormat="1">
      <c r="A271" s="104" t="s">
        <v>1171</v>
      </c>
      <c r="B271" s="111" t="s">
        <v>1591</v>
      </c>
      <c r="C271" s="112" t="s">
        <v>47</v>
      </c>
      <c r="D271" s="113" t="s">
        <v>60</v>
      </c>
      <c r="E271" s="114" t="s">
        <v>35</v>
      </c>
      <c r="F271" s="159">
        <v>60</v>
      </c>
      <c r="G271" s="103">
        <v>119.95</v>
      </c>
      <c r="H271" s="103"/>
      <c r="I271" s="103">
        <f t="shared" si="4"/>
        <v>0</v>
      </c>
    </row>
    <row r="272" spans="1:9" s="4" customFormat="1">
      <c r="A272" s="104" t="s">
        <v>1172</v>
      </c>
      <c r="B272" s="111" t="s">
        <v>1592</v>
      </c>
      <c r="C272" s="112" t="s">
        <v>47</v>
      </c>
      <c r="D272" s="105" t="s">
        <v>61</v>
      </c>
      <c r="E272" s="114" t="s">
        <v>388</v>
      </c>
      <c r="F272" s="159">
        <v>60</v>
      </c>
      <c r="G272" s="103">
        <v>119.95</v>
      </c>
      <c r="H272" s="103"/>
      <c r="I272" s="103">
        <f t="shared" si="4"/>
        <v>0</v>
      </c>
    </row>
    <row r="273" spans="1:13" s="4" customFormat="1">
      <c r="A273" s="110">
        <v>7330057026337</v>
      </c>
      <c r="B273" s="111" t="s">
        <v>1578</v>
      </c>
      <c r="C273" s="112" t="s">
        <v>47</v>
      </c>
      <c r="D273" s="105" t="s">
        <v>61</v>
      </c>
      <c r="E273" s="114" t="s">
        <v>24</v>
      </c>
      <c r="F273" s="159">
        <v>60</v>
      </c>
      <c r="G273" s="103">
        <v>119.95</v>
      </c>
      <c r="H273" s="103"/>
      <c r="I273" s="103">
        <f t="shared" si="4"/>
        <v>0</v>
      </c>
    </row>
    <row r="274" spans="1:13" s="4" customFormat="1">
      <c r="A274" s="110">
        <v>7330057026344</v>
      </c>
      <c r="B274" s="111" t="s">
        <v>1579</v>
      </c>
      <c r="C274" s="112" t="s">
        <v>47</v>
      </c>
      <c r="D274" s="105" t="s">
        <v>61</v>
      </c>
      <c r="E274" s="114" t="s">
        <v>25</v>
      </c>
      <c r="F274" s="159">
        <v>60</v>
      </c>
      <c r="G274" s="103">
        <v>119.95</v>
      </c>
      <c r="H274" s="103"/>
      <c r="I274" s="103">
        <f t="shared" si="4"/>
        <v>0</v>
      </c>
    </row>
    <row r="275" spans="1:13" s="4" customFormat="1">
      <c r="A275" s="110">
        <v>7330057026351</v>
      </c>
      <c r="B275" s="111" t="s">
        <v>1580</v>
      </c>
      <c r="C275" s="112" t="s">
        <v>47</v>
      </c>
      <c r="D275" s="105" t="s">
        <v>61</v>
      </c>
      <c r="E275" s="114" t="s">
        <v>26</v>
      </c>
      <c r="F275" s="159">
        <v>60</v>
      </c>
      <c r="G275" s="103">
        <v>119.95</v>
      </c>
      <c r="H275" s="103"/>
      <c r="I275" s="103">
        <f t="shared" si="4"/>
        <v>0</v>
      </c>
    </row>
    <row r="276" spans="1:13" s="4" customFormat="1">
      <c r="A276" s="110">
        <v>7330057026368</v>
      </c>
      <c r="B276" s="111" t="s">
        <v>1581</v>
      </c>
      <c r="C276" s="112" t="s">
        <v>47</v>
      </c>
      <c r="D276" s="105" t="s">
        <v>61</v>
      </c>
      <c r="E276" s="114" t="s">
        <v>27</v>
      </c>
      <c r="F276" s="159">
        <v>60</v>
      </c>
      <c r="G276" s="103">
        <v>119.95</v>
      </c>
      <c r="H276" s="103"/>
      <c r="I276" s="103">
        <f t="shared" si="4"/>
        <v>0</v>
      </c>
    </row>
    <row r="277" spans="1:13" s="4" customFormat="1">
      <c r="A277" s="110">
        <v>7330057026375</v>
      </c>
      <c r="B277" s="111" t="s">
        <v>1582</v>
      </c>
      <c r="C277" s="112" t="s">
        <v>47</v>
      </c>
      <c r="D277" s="105" t="s">
        <v>61</v>
      </c>
      <c r="E277" s="114" t="s">
        <v>28</v>
      </c>
      <c r="F277" s="159">
        <v>60</v>
      </c>
      <c r="G277" s="103">
        <v>119.95</v>
      </c>
      <c r="H277" s="103"/>
      <c r="I277" s="103">
        <f t="shared" si="4"/>
        <v>0</v>
      </c>
    </row>
    <row r="278" spans="1:13" s="4" customFormat="1">
      <c r="A278" s="115" t="s">
        <v>1173</v>
      </c>
      <c r="B278" s="111" t="s">
        <v>1593</v>
      </c>
      <c r="C278" s="112" t="s">
        <v>47</v>
      </c>
      <c r="D278" s="105" t="s">
        <v>61</v>
      </c>
      <c r="E278" s="114" t="s">
        <v>35</v>
      </c>
      <c r="F278" s="159">
        <v>60</v>
      </c>
      <c r="G278" s="103">
        <v>119.95</v>
      </c>
      <c r="H278" s="103"/>
      <c r="I278" s="103">
        <f t="shared" si="4"/>
        <v>0</v>
      </c>
    </row>
    <row r="279" spans="1:13" s="4" customFormat="1">
      <c r="A279" s="115" t="s">
        <v>1174</v>
      </c>
      <c r="B279" s="111" t="s">
        <v>1594</v>
      </c>
      <c r="C279" s="112" t="s">
        <v>47</v>
      </c>
      <c r="D279" s="105" t="s">
        <v>62</v>
      </c>
      <c r="E279" s="114" t="s">
        <v>388</v>
      </c>
      <c r="F279" s="159">
        <v>60</v>
      </c>
      <c r="G279" s="103">
        <v>119.95</v>
      </c>
      <c r="H279" s="103"/>
      <c r="I279" s="103">
        <f t="shared" si="4"/>
        <v>0</v>
      </c>
    </row>
    <row r="280" spans="1:13" s="4" customFormat="1">
      <c r="A280" s="110">
        <v>7330057026382</v>
      </c>
      <c r="B280" s="111" t="s">
        <v>1583</v>
      </c>
      <c r="C280" s="112" t="s">
        <v>47</v>
      </c>
      <c r="D280" s="105" t="s">
        <v>62</v>
      </c>
      <c r="E280" s="114" t="s">
        <v>24</v>
      </c>
      <c r="F280" s="159">
        <v>60</v>
      </c>
      <c r="G280" s="103">
        <v>119.95</v>
      </c>
      <c r="H280" s="103"/>
      <c r="I280" s="103">
        <f t="shared" si="4"/>
        <v>0</v>
      </c>
    </row>
    <row r="281" spans="1:13" s="4" customFormat="1">
      <c r="A281" s="110">
        <v>7330057026399</v>
      </c>
      <c r="B281" s="111" t="s">
        <v>1584</v>
      </c>
      <c r="C281" s="112" t="s">
        <v>47</v>
      </c>
      <c r="D281" s="105" t="s">
        <v>62</v>
      </c>
      <c r="E281" s="114" t="s">
        <v>25</v>
      </c>
      <c r="F281" s="159">
        <v>60</v>
      </c>
      <c r="G281" s="103">
        <v>119.95</v>
      </c>
      <c r="H281" s="103"/>
      <c r="I281" s="103">
        <f t="shared" si="4"/>
        <v>0</v>
      </c>
    </row>
    <row r="282" spans="1:13" s="4" customFormat="1">
      <c r="A282" s="110">
        <v>7330057026405</v>
      </c>
      <c r="B282" s="111" t="s">
        <v>1585</v>
      </c>
      <c r="C282" s="112" t="s">
        <v>47</v>
      </c>
      <c r="D282" s="105" t="s">
        <v>62</v>
      </c>
      <c r="E282" s="114" t="s">
        <v>26</v>
      </c>
      <c r="F282" s="159">
        <v>60</v>
      </c>
      <c r="G282" s="103">
        <v>119.95</v>
      </c>
      <c r="H282" s="103"/>
      <c r="I282" s="103">
        <f t="shared" si="4"/>
        <v>0</v>
      </c>
    </row>
    <row r="283" spans="1:13" s="4" customFormat="1">
      <c r="A283" s="110">
        <v>7330057026412</v>
      </c>
      <c r="B283" s="111" t="s">
        <v>1586</v>
      </c>
      <c r="C283" s="112" t="s">
        <v>47</v>
      </c>
      <c r="D283" s="105" t="s">
        <v>62</v>
      </c>
      <c r="E283" s="114" t="s">
        <v>27</v>
      </c>
      <c r="F283" s="159">
        <v>60</v>
      </c>
      <c r="G283" s="103">
        <v>119.95</v>
      </c>
      <c r="H283" s="103"/>
      <c r="I283" s="103">
        <f t="shared" si="4"/>
        <v>0</v>
      </c>
    </row>
    <row r="284" spans="1:13" s="4" customFormat="1">
      <c r="A284" s="110">
        <v>7330057026429</v>
      </c>
      <c r="B284" s="111" t="s">
        <v>1587</v>
      </c>
      <c r="C284" s="112" t="s">
        <v>47</v>
      </c>
      <c r="D284" s="105" t="s">
        <v>62</v>
      </c>
      <c r="E284" s="114" t="s">
        <v>28</v>
      </c>
      <c r="F284" s="159">
        <v>60</v>
      </c>
      <c r="G284" s="103">
        <v>119.95</v>
      </c>
      <c r="H284" s="103"/>
      <c r="I284" s="103">
        <f t="shared" si="4"/>
        <v>0</v>
      </c>
    </row>
    <row r="285" spans="1:13" s="4" customFormat="1">
      <c r="A285" s="115" t="s">
        <v>1175</v>
      </c>
      <c r="B285" s="111" t="s">
        <v>1595</v>
      </c>
      <c r="C285" s="112" t="s">
        <v>47</v>
      </c>
      <c r="D285" s="105" t="s">
        <v>62</v>
      </c>
      <c r="E285" s="114" t="s">
        <v>35</v>
      </c>
      <c r="F285" s="159">
        <v>60</v>
      </c>
      <c r="G285" s="103">
        <v>119.95</v>
      </c>
      <c r="H285" s="103"/>
      <c r="I285" s="103">
        <f t="shared" si="4"/>
        <v>0</v>
      </c>
    </row>
    <row r="286" spans="1:13" s="98" customFormat="1" ht="17" customHeight="1">
      <c r="A286" s="124"/>
      <c r="B286" s="91"/>
      <c r="C286" s="92"/>
      <c r="D286" s="93"/>
      <c r="E286" s="93"/>
      <c r="F286" s="160"/>
      <c r="G286" s="109" t="s">
        <v>1711</v>
      </c>
      <c r="H286" s="96">
        <f>SUM(H216:H285)</f>
        <v>0</v>
      </c>
      <c r="I286" s="97">
        <f>SUM(I216:I285)</f>
        <v>0</v>
      </c>
    </row>
    <row r="287" spans="1:13" s="84" customFormat="1">
      <c r="A287" s="90"/>
      <c r="B287" s="91"/>
      <c r="C287" s="99"/>
      <c r="D287" s="93"/>
      <c r="E287" s="93"/>
      <c r="F287" s="141"/>
      <c r="G287" s="94"/>
      <c r="H287" s="93"/>
      <c r="I287" s="94"/>
    </row>
    <row r="288" spans="1:13" s="11" customFormat="1">
      <c r="A288" s="25" t="s">
        <v>1701</v>
      </c>
      <c r="B288" s="24"/>
      <c r="C288" s="24"/>
      <c r="D288" s="24"/>
      <c r="E288" s="24"/>
      <c r="F288" s="138"/>
      <c r="G288" s="20"/>
      <c r="H288" s="20"/>
      <c r="I288" s="20"/>
      <c r="J288" s="27"/>
      <c r="K288" s="27"/>
      <c r="L288" s="5"/>
      <c r="M288" s="5"/>
    </row>
    <row r="289" spans="1:9" s="2" customFormat="1">
      <c r="A289" s="110">
        <v>7330057026436</v>
      </c>
      <c r="B289" s="111" t="s">
        <v>1564</v>
      </c>
      <c r="C289" s="112" t="s">
        <v>809</v>
      </c>
      <c r="D289" s="107" t="s">
        <v>57</v>
      </c>
      <c r="E289" s="114" t="s">
        <v>55</v>
      </c>
      <c r="F289" s="143">
        <v>18</v>
      </c>
      <c r="G289" s="19">
        <v>35.950000000000003</v>
      </c>
      <c r="H289" s="103"/>
      <c r="I289" s="103">
        <f t="shared" si="4"/>
        <v>0</v>
      </c>
    </row>
    <row r="290" spans="1:9" s="2" customFormat="1">
      <c r="A290" s="110" t="s">
        <v>1561</v>
      </c>
      <c r="B290" s="111" t="s">
        <v>1565</v>
      </c>
      <c r="C290" s="112" t="s">
        <v>809</v>
      </c>
      <c r="D290" s="107" t="s">
        <v>60</v>
      </c>
      <c r="E290" s="114" t="s">
        <v>55</v>
      </c>
      <c r="F290" s="143">
        <v>18</v>
      </c>
      <c r="G290" s="19">
        <v>35.950000000000003</v>
      </c>
      <c r="H290" s="103"/>
      <c r="I290" s="103">
        <f t="shared" si="4"/>
        <v>0</v>
      </c>
    </row>
    <row r="291" spans="1:9" s="2" customFormat="1">
      <c r="A291" s="110" t="s">
        <v>1562</v>
      </c>
      <c r="B291" s="111" t="s">
        <v>1566</v>
      </c>
      <c r="C291" s="112" t="s">
        <v>809</v>
      </c>
      <c r="D291" s="107" t="s">
        <v>61</v>
      </c>
      <c r="E291" s="114" t="s">
        <v>55</v>
      </c>
      <c r="F291" s="143">
        <v>18</v>
      </c>
      <c r="G291" s="19">
        <v>35.950000000000003</v>
      </c>
      <c r="H291" s="103"/>
      <c r="I291" s="103">
        <f t="shared" si="4"/>
        <v>0</v>
      </c>
    </row>
    <row r="292" spans="1:9" s="2" customFormat="1">
      <c r="A292" s="110" t="s">
        <v>1563</v>
      </c>
      <c r="B292" s="111" t="s">
        <v>1567</v>
      </c>
      <c r="C292" s="112" t="s">
        <v>809</v>
      </c>
      <c r="D292" s="107" t="s">
        <v>62</v>
      </c>
      <c r="E292" s="114" t="s">
        <v>55</v>
      </c>
      <c r="F292" s="143">
        <v>18</v>
      </c>
      <c r="G292" s="19">
        <v>35.950000000000003</v>
      </c>
      <c r="H292" s="103"/>
      <c r="I292" s="103">
        <f t="shared" si="4"/>
        <v>0</v>
      </c>
    </row>
    <row r="293" spans="1:9" s="3" customFormat="1">
      <c r="A293" s="108">
        <v>7330057025057</v>
      </c>
      <c r="B293" s="107" t="s">
        <v>447</v>
      </c>
      <c r="C293" s="107" t="s">
        <v>64</v>
      </c>
      <c r="D293" s="107" t="s">
        <v>57</v>
      </c>
      <c r="E293" s="105" t="s">
        <v>7</v>
      </c>
      <c r="F293" s="159">
        <v>20</v>
      </c>
      <c r="G293" s="103">
        <v>39.950000000000003</v>
      </c>
      <c r="H293" s="103"/>
      <c r="I293" s="103">
        <f t="shared" si="4"/>
        <v>0</v>
      </c>
    </row>
    <row r="294" spans="1:9" s="3" customFormat="1">
      <c r="A294" s="108">
        <v>7330057025064</v>
      </c>
      <c r="B294" s="107" t="s">
        <v>448</v>
      </c>
      <c r="C294" s="107" t="s">
        <v>64</v>
      </c>
      <c r="D294" s="107" t="s">
        <v>57</v>
      </c>
      <c r="E294" s="105" t="s">
        <v>8</v>
      </c>
      <c r="F294" s="159">
        <v>20</v>
      </c>
      <c r="G294" s="103">
        <v>39.950000000000003</v>
      </c>
      <c r="H294" s="103"/>
      <c r="I294" s="103">
        <f t="shared" si="4"/>
        <v>0</v>
      </c>
    </row>
    <row r="295" spans="1:9" s="3" customFormat="1">
      <c r="A295" s="108">
        <v>7330057025071</v>
      </c>
      <c r="B295" s="107" t="s">
        <v>449</v>
      </c>
      <c r="C295" s="107" t="s">
        <v>64</v>
      </c>
      <c r="D295" s="107" t="s">
        <v>60</v>
      </c>
      <c r="E295" s="105" t="s">
        <v>7</v>
      </c>
      <c r="F295" s="159">
        <v>20</v>
      </c>
      <c r="G295" s="103">
        <v>39.950000000000003</v>
      </c>
      <c r="H295" s="103"/>
      <c r="I295" s="103">
        <f t="shared" si="4"/>
        <v>0</v>
      </c>
    </row>
    <row r="296" spans="1:9" s="3" customFormat="1">
      <c r="A296" s="108">
        <v>7330057025088</v>
      </c>
      <c r="B296" s="107" t="s">
        <v>450</v>
      </c>
      <c r="C296" s="107" t="s">
        <v>64</v>
      </c>
      <c r="D296" s="107" t="s">
        <v>60</v>
      </c>
      <c r="E296" s="105" t="s">
        <v>8</v>
      </c>
      <c r="F296" s="159">
        <v>20</v>
      </c>
      <c r="G296" s="103">
        <v>39.950000000000003</v>
      </c>
      <c r="H296" s="103"/>
      <c r="I296" s="103">
        <f t="shared" si="4"/>
        <v>0</v>
      </c>
    </row>
    <row r="297" spans="1:9" s="3" customFormat="1">
      <c r="A297" s="108">
        <v>7330057025095</v>
      </c>
      <c r="B297" s="107" t="s">
        <v>451</v>
      </c>
      <c r="C297" s="107" t="s">
        <v>64</v>
      </c>
      <c r="D297" s="107" t="s">
        <v>61</v>
      </c>
      <c r="E297" s="105" t="s">
        <v>7</v>
      </c>
      <c r="F297" s="159">
        <v>20</v>
      </c>
      <c r="G297" s="103">
        <v>39.950000000000003</v>
      </c>
      <c r="H297" s="103"/>
      <c r="I297" s="103">
        <f t="shared" si="4"/>
        <v>0</v>
      </c>
    </row>
    <row r="298" spans="1:9" s="3" customFormat="1">
      <c r="A298" s="108">
        <v>7330057025101</v>
      </c>
      <c r="B298" s="107" t="s">
        <v>452</v>
      </c>
      <c r="C298" s="107" t="s">
        <v>64</v>
      </c>
      <c r="D298" s="107" t="s">
        <v>61</v>
      </c>
      <c r="E298" s="105" t="s">
        <v>8</v>
      </c>
      <c r="F298" s="159">
        <v>20</v>
      </c>
      <c r="G298" s="103">
        <v>39.950000000000003</v>
      </c>
      <c r="H298" s="103"/>
      <c r="I298" s="103">
        <f t="shared" si="4"/>
        <v>0</v>
      </c>
    </row>
    <row r="299" spans="1:9" s="3" customFormat="1">
      <c r="A299" s="108">
        <v>7330057025118</v>
      </c>
      <c r="B299" s="107" t="s">
        <v>453</v>
      </c>
      <c r="C299" s="107" t="s">
        <v>64</v>
      </c>
      <c r="D299" s="107" t="s">
        <v>62</v>
      </c>
      <c r="E299" s="105" t="s">
        <v>7</v>
      </c>
      <c r="F299" s="159">
        <v>20</v>
      </c>
      <c r="G299" s="103">
        <v>39.950000000000003</v>
      </c>
      <c r="H299" s="103"/>
      <c r="I299" s="103">
        <f t="shared" si="4"/>
        <v>0</v>
      </c>
    </row>
    <row r="300" spans="1:9" s="3" customFormat="1">
      <c r="A300" s="108">
        <v>7330057025125</v>
      </c>
      <c r="B300" s="107" t="s">
        <v>454</v>
      </c>
      <c r="C300" s="107" t="s">
        <v>64</v>
      </c>
      <c r="D300" s="107" t="s">
        <v>62</v>
      </c>
      <c r="E300" s="105" t="s">
        <v>8</v>
      </c>
      <c r="F300" s="159">
        <v>20</v>
      </c>
      <c r="G300" s="103">
        <v>39.950000000000003</v>
      </c>
      <c r="H300" s="103"/>
      <c r="I300" s="103">
        <f t="shared" si="4"/>
        <v>0</v>
      </c>
    </row>
    <row r="301" spans="1:9" s="3" customFormat="1">
      <c r="A301" s="115" t="s">
        <v>1176</v>
      </c>
      <c r="B301" s="107" t="s">
        <v>1551</v>
      </c>
      <c r="C301" s="107" t="s">
        <v>64</v>
      </c>
      <c r="D301" s="107" t="s">
        <v>815</v>
      </c>
      <c r="E301" s="105" t="s">
        <v>7</v>
      </c>
      <c r="F301" s="159">
        <v>20</v>
      </c>
      <c r="G301" s="103">
        <v>39.950000000000003</v>
      </c>
      <c r="H301" s="116"/>
      <c r="I301" s="103">
        <f t="shared" si="4"/>
        <v>0</v>
      </c>
    </row>
    <row r="302" spans="1:9" s="3" customFormat="1">
      <c r="A302" s="115" t="s">
        <v>1177</v>
      </c>
      <c r="B302" s="107" t="s">
        <v>1552</v>
      </c>
      <c r="C302" s="107" t="s">
        <v>64</v>
      </c>
      <c r="D302" s="107" t="s">
        <v>815</v>
      </c>
      <c r="E302" s="105" t="s">
        <v>8</v>
      </c>
      <c r="F302" s="159">
        <v>20</v>
      </c>
      <c r="G302" s="103">
        <v>39.950000000000003</v>
      </c>
      <c r="H302" s="103"/>
      <c r="I302" s="103">
        <f t="shared" si="4"/>
        <v>0</v>
      </c>
    </row>
    <row r="303" spans="1:9" s="3" customFormat="1">
      <c r="A303" s="115" t="s">
        <v>1178</v>
      </c>
      <c r="B303" s="107" t="s">
        <v>1553</v>
      </c>
      <c r="C303" s="107" t="s">
        <v>64</v>
      </c>
      <c r="D303" s="107" t="s">
        <v>816</v>
      </c>
      <c r="E303" s="105" t="s">
        <v>7</v>
      </c>
      <c r="F303" s="159">
        <v>20</v>
      </c>
      <c r="G303" s="103">
        <v>39.950000000000003</v>
      </c>
      <c r="H303" s="103"/>
      <c r="I303" s="103">
        <f t="shared" si="4"/>
        <v>0</v>
      </c>
    </row>
    <row r="304" spans="1:9" s="3" customFormat="1">
      <c r="A304" s="115" t="s">
        <v>1179</v>
      </c>
      <c r="B304" s="107" t="s">
        <v>1554</v>
      </c>
      <c r="C304" s="107" t="s">
        <v>64</v>
      </c>
      <c r="D304" s="107" t="s">
        <v>816</v>
      </c>
      <c r="E304" s="105" t="s">
        <v>8</v>
      </c>
      <c r="F304" s="159">
        <v>20</v>
      </c>
      <c r="G304" s="103">
        <v>39.950000000000003</v>
      </c>
      <c r="H304" s="116"/>
      <c r="I304" s="103">
        <f t="shared" si="4"/>
        <v>0</v>
      </c>
    </row>
    <row r="305" spans="1:14" s="2" customFormat="1">
      <c r="A305" s="115" t="s">
        <v>1180</v>
      </c>
      <c r="B305" s="107" t="s">
        <v>1555</v>
      </c>
      <c r="C305" s="107" t="s">
        <v>817</v>
      </c>
      <c r="D305" s="107" t="s">
        <v>57</v>
      </c>
      <c r="E305" s="105" t="s">
        <v>55</v>
      </c>
      <c r="F305" s="159">
        <v>20</v>
      </c>
      <c r="G305" s="103">
        <v>39.950000000000003</v>
      </c>
      <c r="H305" s="103"/>
      <c r="I305" s="103">
        <f t="shared" si="4"/>
        <v>0</v>
      </c>
    </row>
    <row r="306" spans="1:14" s="2" customFormat="1">
      <c r="A306" s="115" t="s">
        <v>1181</v>
      </c>
      <c r="B306" s="107" t="s">
        <v>1556</v>
      </c>
      <c r="C306" s="107" t="s">
        <v>817</v>
      </c>
      <c r="D306" s="107" t="s">
        <v>60</v>
      </c>
      <c r="E306" s="105" t="s">
        <v>55</v>
      </c>
      <c r="F306" s="159">
        <v>20</v>
      </c>
      <c r="G306" s="103">
        <v>39.950000000000003</v>
      </c>
      <c r="H306" s="103"/>
      <c r="I306" s="103">
        <f t="shared" si="4"/>
        <v>0</v>
      </c>
    </row>
    <row r="307" spans="1:14" s="2" customFormat="1">
      <c r="A307" s="115" t="s">
        <v>1182</v>
      </c>
      <c r="B307" s="107" t="s">
        <v>1557</v>
      </c>
      <c r="C307" s="107" t="s">
        <v>817</v>
      </c>
      <c r="D307" s="107" t="s">
        <v>61</v>
      </c>
      <c r="E307" s="105" t="s">
        <v>55</v>
      </c>
      <c r="F307" s="159">
        <v>20</v>
      </c>
      <c r="G307" s="103">
        <v>39.950000000000003</v>
      </c>
      <c r="H307" s="103"/>
      <c r="I307" s="103">
        <f t="shared" si="4"/>
        <v>0</v>
      </c>
    </row>
    <row r="308" spans="1:14" s="2" customFormat="1">
      <c r="A308" s="115" t="s">
        <v>1183</v>
      </c>
      <c r="B308" s="107" t="s">
        <v>1558</v>
      </c>
      <c r="C308" s="107" t="s">
        <v>817</v>
      </c>
      <c r="D308" s="107" t="s">
        <v>62</v>
      </c>
      <c r="E308" s="105" t="s">
        <v>55</v>
      </c>
      <c r="F308" s="159">
        <v>20</v>
      </c>
      <c r="G308" s="103">
        <v>39.950000000000003</v>
      </c>
      <c r="H308" s="103"/>
      <c r="I308" s="103">
        <f t="shared" si="4"/>
        <v>0</v>
      </c>
    </row>
    <row r="309" spans="1:14" s="2" customFormat="1">
      <c r="A309" s="115" t="s">
        <v>1184</v>
      </c>
      <c r="B309" s="107" t="s">
        <v>1559</v>
      </c>
      <c r="C309" s="107" t="s">
        <v>817</v>
      </c>
      <c r="D309" s="107" t="s">
        <v>815</v>
      </c>
      <c r="E309" s="105" t="s">
        <v>55</v>
      </c>
      <c r="F309" s="159">
        <v>20</v>
      </c>
      <c r="G309" s="103">
        <v>39.950000000000003</v>
      </c>
      <c r="H309" s="103"/>
      <c r="I309" s="103">
        <f t="shared" si="4"/>
        <v>0</v>
      </c>
    </row>
    <row r="310" spans="1:14" s="2" customFormat="1">
      <c r="A310" s="115" t="s">
        <v>1185</v>
      </c>
      <c r="B310" s="107" t="s">
        <v>1560</v>
      </c>
      <c r="C310" s="107" t="s">
        <v>817</v>
      </c>
      <c r="D310" s="107" t="s">
        <v>816</v>
      </c>
      <c r="E310" s="105" t="s">
        <v>55</v>
      </c>
      <c r="F310" s="159">
        <v>20</v>
      </c>
      <c r="G310" s="103">
        <v>39.950000000000003</v>
      </c>
      <c r="H310" s="103"/>
      <c r="I310" s="103">
        <f t="shared" si="4"/>
        <v>0</v>
      </c>
    </row>
    <row r="311" spans="1:14" s="98" customFormat="1" ht="17" customHeight="1">
      <c r="A311" s="124"/>
      <c r="B311" s="91"/>
      <c r="C311" s="92"/>
      <c r="D311" s="93"/>
      <c r="E311" s="93"/>
      <c r="F311" s="160"/>
      <c r="G311" s="109" t="s">
        <v>1711</v>
      </c>
      <c r="H311" s="96">
        <f>SUM(H289:H310)</f>
        <v>0</v>
      </c>
      <c r="I311" s="97">
        <f>SUM(I289:I310)</f>
        <v>0</v>
      </c>
    </row>
    <row r="312" spans="1:14" s="84" customFormat="1">
      <c r="A312" s="90"/>
      <c r="B312" s="91"/>
      <c r="C312" s="99"/>
      <c r="D312" s="93"/>
      <c r="E312" s="93"/>
      <c r="F312" s="141"/>
      <c r="G312" s="94"/>
      <c r="H312" s="93"/>
      <c r="I312" s="94"/>
    </row>
    <row r="313" spans="1:14" s="11" customFormat="1">
      <c r="A313" s="25" t="s">
        <v>1716</v>
      </c>
      <c r="B313" s="24"/>
      <c r="C313" s="24"/>
      <c r="D313" s="24"/>
      <c r="E313" s="24"/>
      <c r="F313" s="138"/>
      <c r="G313" s="20"/>
      <c r="H313" s="20"/>
      <c r="I313" s="20"/>
      <c r="J313" s="27"/>
      <c r="K313" s="27"/>
      <c r="L313" s="5"/>
      <c r="M313" s="5"/>
    </row>
    <row r="314" spans="1:14" s="6" customFormat="1">
      <c r="A314" s="104" t="s">
        <v>65</v>
      </c>
      <c r="B314" s="117" t="s">
        <v>777</v>
      </c>
      <c r="C314" s="114" t="s">
        <v>12</v>
      </c>
      <c r="D314" s="114" t="s">
        <v>34</v>
      </c>
      <c r="E314" s="114" t="s">
        <v>388</v>
      </c>
      <c r="F314" s="139">
        <v>47.5</v>
      </c>
      <c r="G314" s="130">
        <v>94.95</v>
      </c>
      <c r="H314" s="103"/>
      <c r="I314" s="103">
        <f t="shared" si="4"/>
        <v>0</v>
      </c>
      <c r="J314" s="1"/>
      <c r="K314" s="1"/>
      <c r="L314" s="1"/>
      <c r="M314" s="1"/>
      <c r="N314" s="1"/>
    </row>
    <row r="315" spans="1:14" s="6" customFormat="1">
      <c r="A315" s="104" t="s">
        <v>66</v>
      </c>
      <c r="B315" s="117" t="s">
        <v>778</v>
      </c>
      <c r="C315" s="114" t="s">
        <v>12</v>
      </c>
      <c r="D315" s="114" t="s">
        <v>34</v>
      </c>
      <c r="E315" s="114" t="s">
        <v>24</v>
      </c>
      <c r="F315" s="139">
        <v>47.5</v>
      </c>
      <c r="G315" s="130">
        <v>94.95</v>
      </c>
      <c r="H315" s="116"/>
      <c r="I315" s="103">
        <f t="shared" si="4"/>
        <v>0</v>
      </c>
      <c r="J315" s="1"/>
      <c r="K315" s="1"/>
      <c r="L315" s="1"/>
      <c r="M315" s="1"/>
      <c r="N315" s="1"/>
    </row>
    <row r="316" spans="1:14" s="6" customFormat="1">
      <c r="A316" s="104" t="s">
        <v>67</v>
      </c>
      <c r="B316" s="117" t="s">
        <v>779</v>
      </c>
      <c r="C316" s="114" t="s">
        <v>12</v>
      </c>
      <c r="D316" s="114" t="s">
        <v>34</v>
      </c>
      <c r="E316" s="114" t="s">
        <v>25</v>
      </c>
      <c r="F316" s="139">
        <v>47.5</v>
      </c>
      <c r="G316" s="130">
        <v>94.95</v>
      </c>
      <c r="H316" s="116"/>
      <c r="I316" s="103">
        <f t="shared" si="4"/>
        <v>0</v>
      </c>
      <c r="J316" s="1"/>
      <c r="K316" s="1"/>
      <c r="L316" s="1"/>
      <c r="M316" s="1"/>
      <c r="N316" s="1"/>
    </row>
    <row r="317" spans="1:14" s="1" customFormat="1">
      <c r="A317" s="104" t="s">
        <v>68</v>
      </c>
      <c r="B317" s="117" t="s">
        <v>780</v>
      </c>
      <c r="C317" s="114" t="s">
        <v>12</v>
      </c>
      <c r="D317" s="114" t="s">
        <v>34</v>
      </c>
      <c r="E317" s="114" t="s">
        <v>26</v>
      </c>
      <c r="F317" s="139">
        <v>47.5</v>
      </c>
      <c r="G317" s="130">
        <v>94.95</v>
      </c>
      <c r="H317" s="116"/>
      <c r="I317" s="103">
        <f t="shared" si="4"/>
        <v>0</v>
      </c>
    </row>
    <row r="318" spans="1:14" s="1" customFormat="1">
      <c r="A318" s="104" t="s">
        <v>69</v>
      </c>
      <c r="B318" s="117" t="s">
        <v>781</v>
      </c>
      <c r="C318" s="114" t="s">
        <v>12</v>
      </c>
      <c r="D318" s="114" t="s">
        <v>34</v>
      </c>
      <c r="E318" s="114" t="s">
        <v>27</v>
      </c>
      <c r="F318" s="139">
        <v>47.5</v>
      </c>
      <c r="G318" s="130">
        <v>94.95</v>
      </c>
      <c r="H318" s="116"/>
      <c r="I318" s="103">
        <f t="shared" si="4"/>
        <v>0</v>
      </c>
    </row>
    <row r="319" spans="1:14" s="1" customFormat="1">
      <c r="A319" s="104" t="s">
        <v>70</v>
      </c>
      <c r="B319" s="117" t="s">
        <v>782</v>
      </c>
      <c r="C319" s="114" t="s">
        <v>12</v>
      </c>
      <c r="D319" s="114" t="s">
        <v>34</v>
      </c>
      <c r="E319" s="114" t="s">
        <v>28</v>
      </c>
      <c r="F319" s="139">
        <v>47.5</v>
      </c>
      <c r="G319" s="130">
        <v>94.95</v>
      </c>
      <c r="H319" s="116"/>
      <c r="I319" s="103">
        <f t="shared" si="4"/>
        <v>0</v>
      </c>
    </row>
    <row r="320" spans="1:14" s="1" customFormat="1">
      <c r="A320" s="104" t="s">
        <v>71</v>
      </c>
      <c r="B320" s="117" t="s">
        <v>783</v>
      </c>
      <c r="C320" s="114" t="s">
        <v>12</v>
      </c>
      <c r="D320" s="114" t="s">
        <v>34</v>
      </c>
      <c r="E320" s="114" t="s">
        <v>35</v>
      </c>
      <c r="F320" s="139">
        <v>47.5</v>
      </c>
      <c r="G320" s="130">
        <v>94.95</v>
      </c>
      <c r="H320" s="116"/>
      <c r="I320" s="103">
        <f t="shared" si="4"/>
        <v>0</v>
      </c>
    </row>
    <row r="321" spans="1:9" s="1" customFormat="1">
      <c r="A321" s="104" t="s">
        <v>72</v>
      </c>
      <c r="B321" s="118" t="s">
        <v>792</v>
      </c>
      <c r="C321" s="114" t="s">
        <v>13</v>
      </c>
      <c r="D321" s="114" t="s">
        <v>34</v>
      </c>
      <c r="E321" s="114" t="s">
        <v>388</v>
      </c>
      <c r="F321" s="139">
        <v>42.5</v>
      </c>
      <c r="G321" s="130">
        <v>84.95</v>
      </c>
      <c r="H321" s="116"/>
      <c r="I321" s="103">
        <f t="shared" si="4"/>
        <v>0</v>
      </c>
    </row>
    <row r="322" spans="1:9" s="1" customFormat="1">
      <c r="A322" s="104" t="s">
        <v>73</v>
      </c>
      <c r="B322" s="118" t="s">
        <v>793</v>
      </c>
      <c r="C322" s="114" t="s">
        <v>13</v>
      </c>
      <c r="D322" s="114" t="s">
        <v>34</v>
      </c>
      <c r="E322" s="114" t="s">
        <v>24</v>
      </c>
      <c r="F322" s="139">
        <v>42.5</v>
      </c>
      <c r="G322" s="130">
        <v>84.95</v>
      </c>
      <c r="H322" s="116"/>
      <c r="I322" s="103">
        <f t="shared" si="4"/>
        <v>0</v>
      </c>
    </row>
    <row r="323" spans="1:9" s="1" customFormat="1">
      <c r="A323" s="104" t="s">
        <v>74</v>
      </c>
      <c r="B323" s="118" t="s">
        <v>794</v>
      </c>
      <c r="C323" s="114" t="s">
        <v>13</v>
      </c>
      <c r="D323" s="114" t="s">
        <v>34</v>
      </c>
      <c r="E323" s="114" t="s">
        <v>25</v>
      </c>
      <c r="F323" s="139">
        <v>42.5</v>
      </c>
      <c r="G323" s="130">
        <v>84.95</v>
      </c>
      <c r="H323" s="116"/>
      <c r="I323" s="103">
        <f t="shared" si="4"/>
        <v>0</v>
      </c>
    </row>
    <row r="324" spans="1:9" s="1" customFormat="1">
      <c r="A324" s="104" t="s">
        <v>75</v>
      </c>
      <c r="B324" s="119" t="s">
        <v>795</v>
      </c>
      <c r="C324" s="114" t="s">
        <v>13</v>
      </c>
      <c r="D324" s="114" t="s">
        <v>34</v>
      </c>
      <c r="E324" s="114" t="s">
        <v>26</v>
      </c>
      <c r="F324" s="139">
        <v>42.5</v>
      </c>
      <c r="G324" s="130">
        <v>84.95</v>
      </c>
      <c r="H324" s="116"/>
      <c r="I324" s="103">
        <f t="shared" si="4"/>
        <v>0</v>
      </c>
    </row>
    <row r="325" spans="1:9" s="1" customFormat="1">
      <c r="A325" s="104" t="s">
        <v>76</v>
      </c>
      <c r="B325" s="119" t="s">
        <v>796</v>
      </c>
      <c r="C325" s="114" t="s">
        <v>13</v>
      </c>
      <c r="D325" s="114" t="s">
        <v>34</v>
      </c>
      <c r="E325" s="114" t="s">
        <v>27</v>
      </c>
      <c r="F325" s="139">
        <v>42.5</v>
      </c>
      <c r="G325" s="130">
        <v>84.95</v>
      </c>
      <c r="H325" s="116"/>
      <c r="I325" s="103">
        <f t="shared" si="4"/>
        <v>0</v>
      </c>
    </row>
    <row r="326" spans="1:9" s="1" customFormat="1">
      <c r="A326" s="104" t="s">
        <v>77</v>
      </c>
      <c r="B326" s="119" t="s">
        <v>797</v>
      </c>
      <c r="C326" s="114" t="s">
        <v>13</v>
      </c>
      <c r="D326" s="114" t="s">
        <v>34</v>
      </c>
      <c r="E326" s="114" t="s">
        <v>28</v>
      </c>
      <c r="F326" s="139">
        <v>42.5</v>
      </c>
      <c r="G326" s="130">
        <v>84.95</v>
      </c>
      <c r="H326" s="116"/>
      <c r="I326" s="103">
        <f t="shared" si="4"/>
        <v>0</v>
      </c>
    </row>
    <row r="327" spans="1:9" s="1" customFormat="1">
      <c r="A327" s="104" t="s">
        <v>78</v>
      </c>
      <c r="B327" s="119" t="s">
        <v>798</v>
      </c>
      <c r="C327" s="114" t="s">
        <v>13</v>
      </c>
      <c r="D327" s="114" t="s">
        <v>34</v>
      </c>
      <c r="E327" s="114" t="s">
        <v>35</v>
      </c>
      <c r="F327" s="139">
        <v>42.5</v>
      </c>
      <c r="G327" s="130">
        <v>84.95</v>
      </c>
      <c r="H327" s="116"/>
      <c r="I327" s="103">
        <f t="shared" si="4"/>
        <v>0</v>
      </c>
    </row>
    <row r="328" spans="1:9" s="1" customFormat="1">
      <c r="A328" s="104" t="s">
        <v>79</v>
      </c>
      <c r="B328" s="119" t="s">
        <v>595</v>
      </c>
      <c r="C328" s="114" t="s">
        <v>36</v>
      </c>
      <c r="D328" s="114" t="s">
        <v>0</v>
      </c>
      <c r="E328" s="114" t="s">
        <v>388</v>
      </c>
      <c r="F328" s="139">
        <v>25</v>
      </c>
      <c r="G328" s="130">
        <v>49.95</v>
      </c>
      <c r="H328" s="116"/>
      <c r="I328" s="103">
        <f t="shared" si="4"/>
        <v>0</v>
      </c>
    </row>
    <row r="329" spans="1:9" s="1" customFormat="1">
      <c r="A329" s="104" t="s">
        <v>80</v>
      </c>
      <c r="B329" s="119" t="s">
        <v>596</v>
      </c>
      <c r="C329" s="114" t="s">
        <v>36</v>
      </c>
      <c r="D329" s="114" t="s">
        <v>0</v>
      </c>
      <c r="E329" s="114" t="s">
        <v>24</v>
      </c>
      <c r="F329" s="139">
        <v>25</v>
      </c>
      <c r="G329" s="130">
        <v>49.95</v>
      </c>
      <c r="H329" s="116"/>
      <c r="I329" s="103">
        <f t="shared" si="4"/>
        <v>0</v>
      </c>
    </row>
    <row r="330" spans="1:9" s="1" customFormat="1">
      <c r="A330" s="104" t="s">
        <v>81</v>
      </c>
      <c r="B330" s="119" t="s">
        <v>597</v>
      </c>
      <c r="C330" s="114" t="s">
        <v>36</v>
      </c>
      <c r="D330" s="114" t="s">
        <v>0</v>
      </c>
      <c r="E330" s="114" t="s">
        <v>25</v>
      </c>
      <c r="F330" s="139">
        <v>25</v>
      </c>
      <c r="G330" s="130">
        <v>49.95</v>
      </c>
      <c r="H330" s="116"/>
      <c r="I330" s="103">
        <f t="shared" si="4"/>
        <v>0</v>
      </c>
    </row>
    <row r="331" spans="1:9" s="1" customFormat="1">
      <c r="A331" s="104" t="s">
        <v>82</v>
      </c>
      <c r="B331" s="119" t="s">
        <v>598</v>
      </c>
      <c r="C331" s="114" t="s">
        <v>36</v>
      </c>
      <c r="D331" s="114" t="s">
        <v>0</v>
      </c>
      <c r="E331" s="114" t="s">
        <v>26</v>
      </c>
      <c r="F331" s="139">
        <v>25</v>
      </c>
      <c r="G331" s="130">
        <v>49.95</v>
      </c>
      <c r="H331" s="116"/>
      <c r="I331" s="103">
        <f t="shared" si="4"/>
        <v>0</v>
      </c>
    </row>
    <row r="332" spans="1:9" s="1" customFormat="1">
      <c r="A332" s="104" t="s">
        <v>83</v>
      </c>
      <c r="B332" s="119" t="s">
        <v>599</v>
      </c>
      <c r="C332" s="114" t="s">
        <v>36</v>
      </c>
      <c r="D332" s="114" t="s">
        <v>0</v>
      </c>
      <c r="E332" s="114" t="s">
        <v>27</v>
      </c>
      <c r="F332" s="139">
        <v>25</v>
      </c>
      <c r="G332" s="130">
        <v>49.95</v>
      </c>
      <c r="H332" s="116"/>
      <c r="I332" s="103">
        <f t="shared" si="4"/>
        <v>0</v>
      </c>
    </row>
    <row r="333" spans="1:9" s="1" customFormat="1">
      <c r="A333" s="104" t="s">
        <v>84</v>
      </c>
      <c r="B333" s="119" t="s">
        <v>600</v>
      </c>
      <c r="C333" s="114" t="s">
        <v>36</v>
      </c>
      <c r="D333" s="114" t="s">
        <v>0</v>
      </c>
      <c r="E333" s="114" t="s">
        <v>28</v>
      </c>
      <c r="F333" s="139">
        <v>25</v>
      </c>
      <c r="G333" s="130">
        <v>49.95</v>
      </c>
      <c r="H333" s="116"/>
      <c r="I333" s="103">
        <f t="shared" ref="I333:I403" si="5">H333*F333</f>
        <v>0</v>
      </c>
    </row>
    <row r="334" spans="1:9" s="1" customFormat="1">
      <c r="A334" s="104" t="s">
        <v>85</v>
      </c>
      <c r="B334" s="119" t="s">
        <v>601</v>
      </c>
      <c r="C334" s="114" t="s">
        <v>36</v>
      </c>
      <c r="D334" s="114" t="s">
        <v>0</v>
      </c>
      <c r="E334" s="114" t="s">
        <v>35</v>
      </c>
      <c r="F334" s="139">
        <v>25</v>
      </c>
      <c r="G334" s="130">
        <v>49.95</v>
      </c>
      <c r="H334" s="116"/>
      <c r="I334" s="103">
        <f t="shared" si="5"/>
        <v>0</v>
      </c>
    </row>
    <row r="335" spans="1:9" s="1" customFormat="1">
      <c r="A335" s="225" t="s">
        <v>1730</v>
      </c>
      <c r="B335" s="226" t="s">
        <v>1723</v>
      </c>
      <c r="C335" s="227" t="s">
        <v>38</v>
      </c>
      <c r="D335" s="228" t="s">
        <v>0</v>
      </c>
      <c r="E335" s="227" t="s">
        <v>388</v>
      </c>
      <c r="F335" s="139">
        <v>42.5</v>
      </c>
      <c r="G335" s="130">
        <v>84.95</v>
      </c>
      <c r="H335" s="116"/>
      <c r="I335" s="103">
        <f t="shared" si="5"/>
        <v>0</v>
      </c>
    </row>
    <row r="336" spans="1:9" s="1" customFormat="1">
      <c r="A336" s="225" t="s">
        <v>1731</v>
      </c>
      <c r="B336" s="226" t="s">
        <v>1724</v>
      </c>
      <c r="C336" s="227" t="s">
        <v>38</v>
      </c>
      <c r="D336" s="228" t="s">
        <v>0</v>
      </c>
      <c r="E336" s="227" t="s">
        <v>24</v>
      </c>
      <c r="F336" s="139">
        <v>42.5</v>
      </c>
      <c r="G336" s="130">
        <v>84.95</v>
      </c>
      <c r="H336" s="116"/>
      <c r="I336" s="103">
        <f t="shared" si="5"/>
        <v>0</v>
      </c>
    </row>
    <row r="337" spans="1:9" s="1" customFormat="1">
      <c r="A337" s="225" t="s">
        <v>1732</v>
      </c>
      <c r="B337" s="226" t="s">
        <v>1725</v>
      </c>
      <c r="C337" s="227" t="s">
        <v>38</v>
      </c>
      <c r="D337" s="228" t="s">
        <v>0</v>
      </c>
      <c r="E337" s="227" t="s">
        <v>25</v>
      </c>
      <c r="F337" s="139">
        <v>42.5</v>
      </c>
      <c r="G337" s="130">
        <v>84.95</v>
      </c>
      <c r="H337" s="116"/>
      <c r="I337" s="103">
        <f t="shared" si="5"/>
        <v>0</v>
      </c>
    </row>
    <row r="338" spans="1:9" s="1" customFormat="1">
      <c r="A338" s="225" t="s">
        <v>1733</v>
      </c>
      <c r="B338" s="226" t="s">
        <v>1726</v>
      </c>
      <c r="C338" s="227" t="s">
        <v>38</v>
      </c>
      <c r="D338" s="228" t="s">
        <v>0</v>
      </c>
      <c r="E338" s="227" t="s">
        <v>26</v>
      </c>
      <c r="F338" s="139">
        <v>42.5</v>
      </c>
      <c r="G338" s="130">
        <v>84.95</v>
      </c>
      <c r="H338" s="116"/>
      <c r="I338" s="103">
        <f t="shared" si="5"/>
        <v>0</v>
      </c>
    </row>
    <row r="339" spans="1:9" s="1" customFormat="1">
      <c r="A339" s="225" t="s">
        <v>1734</v>
      </c>
      <c r="B339" s="226" t="s">
        <v>1727</v>
      </c>
      <c r="C339" s="227" t="s">
        <v>38</v>
      </c>
      <c r="D339" s="228" t="s">
        <v>0</v>
      </c>
      <c r="E339" s="227" t="s">
        <v>27</v>
      </c>
      <c r="F339" s="139">
        <v>42.5</v>
      </c>
      <c r="G339" s="130">
        <v>84.95</v>
      </c>
      <c r="H339" s="116"/>
      <c r="I339" s="103">
        <f t="shared" si="5"/>
        <v>0</v>
      </c>
    </row>
    <row r="340" spans="1:9" s="1" customFormat="1">
      <c r="A340" s="225" t="s">
        <v>1735</v>
      </c>
      <c r="B340" s="226" t="s">
        <v>1728</v>
      </c>
      <c r="C340" s="227" t="s">
        <v>38</v>
      </c>
      <c r="D340" s="228" t="s">
        <v>0</v>
      </c>
      <c r="E340" s="227" t="s">
        <v>28</v>
      </c>
      <c r="F340" s="139">
        <v>42.5</v>
      </c>
      <c r="G340" s="130">
        <v>84.95</v>
      </c>
      <c r="H340" s="116"/>
      <c r="I340" s="103">
        <f t="shared" si="5"/>
        <v>0</v>
      </c>
    </row>
    <row r="341" spans="1:9" s="1" customFormat="1">
      <c r="A341" s="225" t="s">
        <v>1736</v>
      </c>
      <c r="B341" s="226" t="s">
        <v>1729</v>
      </c>
      <c r="C341" s="227" t="s">
        <v>38</v>
      </c>
      <c r="D341" s="228" t="s">
        <v>0</v>
      </c>
      <c r="E341" s="227" t="s">
        <v>35</v>
      </c>
      <c r="F341" s="139">
        <v>42.5</v>
      </c>
      <c r="G341" s="130">
        <v>84.95</v>
      </c>
      <c r="H341" s="116"/>
      <c r="I341" s="103">
        <f t="shared" si="5"/>
        <v>0</v>
      </c>
    </row>
    <row r="342" spans="1:9" s="1" customFormat="1">
      <c r="A342" s="104" t="s">
        <v>100</v>
      </c>
      <c r="B342" s="117" t="s">
        <v>763</v>
      </c>
      <c r="C342" s="114" t="s">
        <v>14</v>
      </c>
      <c r="D342" s="114" t="s">
        <v>6</v>
      </c>
      <c r="E342" s="114" t="s">
        <v>388</v>
      </c>
      <c r="F342" s="139">
        <v>47.5</v>
      </c>
      <c r="G342" s="130">
        <v>94.95</v>
      </c>
      <c r="H342" s="116"/>
      <c r="I342" s="103">
        <f t="shared" si="5"/>
        <v>0</v>
      </c>
    </row>
    <row r="343" spans="1:9" s="1" customFormat="1">
      <c r="A343" s="104" t="s">
        <v>101</v>
      </c>
      <c r="B343" s="117" t="s">
        <v>764</v>
      </c>
      <c r="C343" s="114" t="s">
        <v>14</v>
      </c>
      <c r="D343" s="114" t="s">
        <v>6</v>
      </c>
      <c r="E343" s="114" t="s">
        <v>24</v>
      </c>
      <c r="F343" s="139">
        <v>47.5</v>
      </c>
      <c r="G343" s="130">
        <v>94.95</v>
      </c>
      <c r="H343" s="116"/>
      <c r="I343" s="103">
        <f t="shared" si="5"/>
        <v>0</v>
      </c>
    </row>
    <row r="344" spans="1:9" s="1" customFormat="1">
      <c r="A344" s="104" t="s">
        <v>102</v>
      </c>
      <c r="B344" s="117" t="s">
        <v>765</v>
      </c>
      <c r="C344" s="114" t="s">
        <v>14</v>
      </c>
      <c r="D344" s="114" t="s">
        <v>6</v>
      </c>
      <c r="E344" s="114" t="s">
        <v>25</v>
      </c>
      <c r="F344" s="139">
        <v>47.5</v>
      </c>
      <c r="G344" s="130">
        <v>94.95</v>
      </c>
      <c r="H344" s="116"/>
      <c r="I344" s="103">
        <f t="shared" si="5"/>
        <v>0</v>
      </c>
    </row>
    <row r="345" spans="1:9" s="1" customFormat="1">
      <c r="A345" s="104" t="s">
        <v>103</v>
      </c>
      <c r="B345" s="117" t="s">
        <v>766</v>
      </c>
      <c r="C345" s="114" t="s">
        <v>14</v>
      </c>
      <c r="D345" s="114" t="s">
        <v>6</v>
      </c>
      <c r="E345" s="114" t="s">
        <v>26</v>
      </c>
      <c r="F345" s="139">
        <v>47.5</v>
      </c>
      <c r="G345" s="130">
        <v>94.95</v>
      </c>
      <c r="H345" s="116"/>
      <c r="I345" s="103">
        <f t="shared" si="5"/>
        <v>0</v>
      </c>
    </row>
    <row r="346" spans="1:9" s="1" customFormat="1">
      <c r="A346" s="104" t="s">
        <v>104</v>
      </c>
      <c r="B346" s="117" t="s">
        <v>767</v>
      </c>
      <c r="C346" s="114" t="s">
        <v>14</v>
      </c>
      <c r="D346" s="114" t="s">
        <v>6</v>
      </c>
      <c r="E346" s="114" t="s">
        <v>27</v>
      </c>
      <c r="F346" s="139">
        <v>47.5</v>
      </c>
      <c r="G346" s="130">
        <v>94.95</v>
      </c>
      <c r="H346" s="116"/>
      <c r="I346" s="103">
        <f t="shared" si="5"/>
        <v>0</v>
      </c>
    </row>
    <row r="347" spans="1:9" s="1" customFormat="1">
      <c r="A347" s="104" t="s">
        <v>105</v>
      </c>
      <c r="B347" s="117" t="s">
        <v>768</v>
      </c>
      <c r="C347" s="114" t="s">
        <v>14</v>
      </c>
      <c r="D347" s="114" t="s">
        <v>6</v>
      </c>
      <c r="E347" s="114" t="s">
        <v>28</v>
      </c>
      <c r="F347" s="139">
        <v>47.5</v>
      </c>
      <c r="G347" s="130">
        <v>94.95</v>
      </c>
      <c r="H347" s="116"/>
      <c r="I347" s="103">
        <f t="shared" si="5"/>
        <v>0</v>
      </c>
    </row>
    <row r="348" spans="1:9" s="1" customFormat="1">
      <c r="A348" s="104" t="s">
        <v>106</v>
      </c>
      <c r="B348" s="117" t="s">
        <v>769</v>
      </c>
      <c r="C348" s="114" t="s">
        <v>14</v>
      </c>
      <c r="D348" s="114" t="s">
        <v>6</v>
      </c>
      <c r="E348" s="114" t="s">
        <v>35</v>
      </c>
      <c r="F348" s="139">
        <v>47.5</v>
      </c>
      <c r="G348" s="130">
        <v>94.95</v>
      </c>
      <c r="H348" s="116"/>
      <c r="I348" s="103">
        <f t="shared" si="5"/>
        <v>0</v>
      </c>
    </row>
    <row r="349" spans="1:9" s="1" customFormat="1">
      <c r="A349" s="104" t="s">
        <v>86</v>
      </c>
      <c r="B349" s="119" t="s">
        <v>785</v>
      </c>
      <c r="C349" s="114" t="s">
        <v>13</v>
      </c>
      <c r="D349" s="120" t="s">
        <v>6</v>
      </c>
      <c r="E349" s="114" t="s">
        <v>388</v>
      </c>
      <c r="F349" s="139">
        <v>42.5</v>
      </c>
      <c r="G349" s="130">
        <v>84.95</v>
      </c>
      <c r="H349" s="116"/>
      <c r="I349" s="103">
        <f t="shared" si="5"/>
        <v>0</v>
      </c>
    </row>
    <row r="350" spans="1:9" s="1" customFormat="1">
      <c r="A350" s="104" t="s">
        <v>87</v>
      </c>
      <c r="B350" s="119" t="s">
        <v>786</v>
      </c>
      <c r="C350" s="114" t="s">
        <v>13</v>
      </c>
      <c r="D350" s="120" t="s">
        <v>6</v>
      </c>
      <c r="E350" s="114" t="s">
        <v>24</v>
      </c>
      <c r="F350" s="139">
        <v>42.5</v>
      </c>
      <c r="G350" s="130">
        <v>84.95</v>
      </c>
      <c r="H350" s="116"/>
      <c r="I350" s="103">
        <f t="shared" si="5"/>
        <v>0</v>
      </c>
    </row>
    <row r="351" spans="1:9" s="1" customFormat="1">
      <c r="A351" s="104" t="s">
        <v>88</v>
      </c>
      <c r="B351" s="119" t="s">
        <v>787</v>
      </c>
      <c r="C351" s="114" t="s">
        <v>13</v>
      </c>
      <c r="D351" s="120" t="s">
        <v>6</v>
      </c>
      <c r="E351" s="114" t="s">
        <v>25</v>
      </c>
      <c r="F351" s="139">
        <v>42.5</v>
      </c>
      <c r="G351" s="130">
        <v>84.95</v>
      </c>
      <c r="H351" s="116"/>
      <c r="I351" s="103">
        <f t="shared" si="5"/>
        <v>0</v>
      </c>
    </row>
    <row r="352" spans="1:9" s="1" customFormat="1">
      <c r="A352" s="104" t="s">
        <v>89</v>
      </c>
      <c r="B352" s="119" t="s">
        <v>788</v>
      </c>
      <c r="C352" s="114" t="s">
        <v>13</v>
      </c>
      <c r="D352" s="120" t="s">
        <v>6</v>
      </c>
      <c r="E352" s="114" t="s">
        <v>26</v>
      </c>
      <c r="F352" s="139">
        <v>42.5</v>
      </c>
      <c r="G352" s="130">
        <v>84.95</v>
      </c>
      <c r="H352" s="116"/>
      <c r="I352" s="103">
        <f t="shared" si="5"/>
        <v>0</v>
      </c>
    </row>
    <row r="353" spans="1:9" s="1" customFormat="1">
      <c r="A353" s="104" t="s">
        <v>90</v>
      </c>
      <c r="B353" s="119" t="s">
        <v>789</v>
      </c>
      <c r="C353" s="114" t="s">
        <v>13</v>
      </c>
      <c r="D353" s="120" t="s">
        <v>6</v>
      </c>
      <c r="E353" s="114" t="s">
        <v>27</v>
      </c>
      <c r="F353" s="139">
        <v>42.5</v>
      </c>
      <c r="G353" s="130">
        <v>84.95</v>
      </c>
      <c r="H353" s="116"/>
      <c r="I353" s="103">
        <f t="shared" si="5"/>
        <v>0</v>
      </c>
    </row>
    <row r="354" spans="1:9" s="1" customFormat="1">
      <c r="A354" s="104" t="s">
        <v>91</v>
      </c>
      <c r="B354" s="119" t="s">
        <v>790</v>
      </c>
      <c r="C354" s="114" t="s">
        <v>13</v>
      </c>
      <c r="D354" s="120" t="s">
        <v>6</v>
      </c>
      <c r="E354" s="114" t="s">
        <v>28</v>
      </c>
      <c r="F354" s="139">
        <v>42.5</v>
      </c>
      <c r="G354" s="130">
        <v>84.95</v>
      </c>
      <c r="H354" s="116"/>
      <c r="I354" s="103">
        <f t="shared" si="5"/>
        <v>0</v>
      </c>
    </row>
    <row r="355" spans="1:9" s="1" customFormat="1">
      <c r="A355" s="104" t="s">
        <v>92</v>
      </c>
      <c r="B355" s="119" t="s">
        <v>791</v>
      </c>
      <c r="C355" s="114" t="s">
        <v>13</v>
      </c>
      <c r="D355" s="120" t="s">
        <v>6</v>
      </c>
      <c r="E355" s="114" t="s">
        <v>35</v>
      </c>
      <c r="F355" s="139">
        <v>42.5</v>
      </c>
      <c r="G355" s="130">
        <v>84.95</v>
      </c>
      <c r="H355" s="116"/>
      <c r="I355" s="103">
        <f t="shared" si="5"/>
        <v>0</v>
      </c>
    </row>
    <row r="356" spans="1:9" s="1" customFormat="1">
      <c r="A356" s="104" t="s">
        <v>93</v>
      </c>
      <c r="B356" s="117" t="s">
        <v>602</v>
      </c>
      <c r="C356" s="114" t="s">
        <v>36</v>
      </c>
      <c r="D356" s="120" t="s">
        <v>6</v>
      </c>
      <c r="E356" s="114" t="s">
        <v>388</v>
      </c>
      <c r="F356" s="139">
        <v>25</v>
      </c>
      <c r="G356" s="130">
        <v>49.95</v>
      </c>
      <c r="H356" s="116"/>
      <c r="I356" s="103">
        <f t="shared" si="5"/>
        <v>0</v>
      </c>
    </row>
    <row r="357" spans="1:9" s="1" customFormat="1">
      <c r="A357" s="104" t="s">
        <v>94</v>
      </c>
      <c r="B357" s="117" t="s">
        <v>603</v>
      </c>
      <c r="C357" s="114" t="s">
        <v>36</v>
      </c>
      <c r="D357" s="120" t="s">
        <v>6</v>
      </c>
      <c r="E357" s="114" t="s">
        <v>24</v>
      </c>
      <c r="F357" s="139">
        <v>25</v>
      </c>
      <c r="G357" s="130">
        <v>49.95</v>
      </c>
      <c r="H357" s="116"/>
      <c r="I357" s="103">
        <f t="shared" si="5"/>
        <v>0</v>
      </c>
    </row>
    <row r="358" spans="1:9" s="1" customFormat="1">
      <c r="A358" s="104" t="s">
        <v>95</v>
      </c>
      <c r="B358" s="117" t="s">
        <v>604</v>
      </c>
      <c r="C358" s="114" t="s">
        <v>36</v>
      </c>
      <c r="D358" s="120" t="s">
        <v>6</v>
      </c>
      <c r="E358" s="114" t="s">
        <v>25</v>
      </c>
      <c r="F358" s="139">
        <v>25</v>
      </c>
      <c r="G358" s="130">
        <v>49.95</v>
      </c>
      <c r="H358" s="116"/>
      <c r="I358" s="103">
        <f t="shared" si="5"/>
        <v>0</v>
      </c>
    </row>
    <row r="359" spans="1:9" s="1" customFormat="1">
      <c r="A359" s="104" t="s">
        <v>96</v>
      </c>
      <c r="B359" s="117" t="s">
        <v>605</v>
      </c>
      <c r="C359" s="114" t="s">
        <v>36</v>
      </c>
      <c r="D359" s="120" t="s">
        <v>6</v>
      </c>
      <c r="E359" s="114" t="s">
        <v>26</v>
      </c>
      <c r="F359" s="139">
        <v>25</v>
      </c>
      <c r="G359" s="130">
        <v>49.95</v>
      </c>
      <c r="H359" s="116"/>
      <c r="I359" s="103">
        <f t="shared" si="5"/>
        <v>0</v>
      </c>
    </row>
    <row r="360" spans="1:9" s="1" customFormat="1">
      <c r="A360" s="104" t="s">
        <v>97</v>
      </c>
      <c r="B360" s="117" t="s">
        <v>606</v>
      </c>
      <c r="C360" s="114" t="s">
        <v>36</v>
      </c>
      <c r="D360" s="120" t="s">
        <v>6</v>
      </c>
      <c r="E360" s="114" t="s">
        <v>27</v>
      </c>
      <c r="F360" s="139">
        <v>25</v>
      </c>
      <c r="G360" s="130">
        <v>49.95</v>
      </c>
      <c r="H360" s="116"/>
      <c r="I360" s="103">
        <f t="shared" si="5"/>
        <v>0</v>
      </c>
    </row>
    <row r="361" spans="1:9" s="1" customFormat="1">
      <c r="A361" s="104" t="s">
        <v>98</v>
      </c>
      <c r="B361" s="117" t="s">
        <v>607</v>
      </c>
      <c r="C361" s="114" t="s">
        <v>36</v>
      </c>
      <c r="D361" s="120" t="s">
        <v>6</v>
      </c>
      <c r="E361" s="114" t="s">
        <v>28</v>
      </c>
      <c r="F361" s="139">
        <v>25</v>
      </c>
      <c r="G361" s="130">
        <v>49.95</v>
      </c>
      <c r="H361" s="116"/>
      <c r="I361" s="103">
        <f t="shared" si="5"/>
        <v>0</v>
      </c>
    </row>
    <row r="362" spans="1:9" s="1" customFormat="1">
      <c r="A362" s="104" t="s">
        <v>99</v>
      </c>
      <c r="B362" s="117" t="s">
        <v>608</v>
      </c>
      <c r="C362" s="114" t="s">
        <v>36</v>
      </c>
      <c r="D362" s="120" t="s">
        <v>6</v>
      </c>
      <c r="E362" s="114" t="s">
        <v>35</v>
      </c>
      <c r="F362" s="139">
        <v>25</v>
      </c>
      <c r="G362" s="130">
        <v>49.95</v>
      </c>
      <c r="H362" s="116"/>
      <c r="I362" s="103">
        <f t="shared" si="5"/>
        <v>0</v>
      </c>
    </row>
    <row r="363" spans="1:9" s="1" customFormat="1">
      <c r="A363" s="104" t="s">
        <v>107</v>
      </c>
      <c r="B363" s="117" t="s">
        <v>721</v>
      </c>
      <c r="C363" s="114" t="s">
        <v>38</v>
      </c>
      <c r="D363" s="114" t="s">
        <v>6</v>
      </c>
      <c r="E363" s="114" t="s">
        <v>388</v>
      </c>
      <c r="F363" s="139">
        <v>42.5</v>
      </c>
      <c r="G363" s="130">
        <v>84.95</v>
      </c>
      <c r="H363" s="116"/>
      <c r="I363" s="103">
        <f t="shared" si="5"/>
        <v>0</v>
      </c>
    </row>
    <row r="364" spans="1:9" s="1" customFormat="1">
      <c r="A364" s="104" t="s">
        <v>108</v>
      </c>
      <c r="B364" s="117" t="s">
        <v>722</v>
      </c>
      <c r="C364" s="114" t="s">
        <v>38</v>
      </c>
      <c r="D364" s="114" t="s">
        <v>6</v>
      </c>
      <c r="E364" s="114" t="s">
        <v>24</v>
      </c>
      <c r="F364" s="139">
        <v>42.5</v>
      </c>
      <c r="G364" s="130">
        <v>84.95</v>
      </c>
      <c r="H364" s="116"/>
      <c r="I364" s="103">
        <f t="shared" si="5"/>
        <v>0</v>
      </c>
    </row>
    <row r="365" spans="1:9" s="1" customFormat="1">
      <c r="A365" s="104" t="s">
        <v>109</v>
      </c>
      <c r="B365" s="117" t="s">
        <v>723</v>
      </c>
      <c r="C365" s="114" t="s">
        <v>38</v>
      </c>
      <c r="D365" s="114" t="s">
        <v>6</v>
      </c>
      <c r="E365" s="114" t="s">
        <v>25</v>
      </c>
      <c r="F365" s="139">
        <v>42.5</v>
      </c>
      <c r="G365" s="130">
        <v>84.95</v>
      </c>
      <c r="H365" s="116"/>
      <c r="I365" s="103">
        <f t="shared" si="5"/>
        <v>0</v>
      </c>
    </row>
    <row r="366" spans="1:9" s="1" customFormat="1">
      <c r="A366" s="104" t="s">
        <v>110</v>
      </c>
      <c r="B366" s="117" t="s">
        <v>724</v>
      </c>
      <c r="C366" s="114" t="s">
        <v>38</v>
      </c>
      <c r="D366" s="114" t="s">
        <v>6</v>
      </c>
      <c r="E366" s="114" t="s">
        <v>26</v>
      </c>
      <c r="F366" s="139">
        <v>42.5</v>
      </c>
      <c r="G366" s="130">
        <v>84.95</v>
      </c>
      <c r="H366" s="116"/>
      <c r="I366" s="103">
        <f t="shared" si="5"/>
        <v>0</v>
      </c>
    </row>
    <row r="367" spans="1:9" s="1" customFormat="1">
      <c r="A367" s="104" t="s">
        <v>111</v>
      </c>
      <c r="B367" s="117" t="s">
        <v>725</v>
      </c>
      <c r="C367" s="114" t="s">
        <v>38</v>
      </c>
      <c r="D367" s="114" t="s">
        <v>6</v>
      </c>
      <c r="E367" s="114" t="s">
        <v>27</v>
      </c>
      <c r="F367" s="139">
        <v>42.5</v>
      </c>
      <c r="G367" s="130">
        <v>84.95</v>
      </c>
      <c r="H367" s="116"/>
      <c r="I367" s="103">
        <f t="shared" si="5"/>
        <v>0</v>
      </c>
    </row>
    <row r="368" spans="1:9" s="1" customFormat="1">
      <c r="A368" s="104" t="s">
        <v>112</v>
      </c>
      <c r="B368" s="117" t="s">
        <v>726</v>
      </c>
      <c r="C368" s="114" t="s">
        <v>38</v>
      </c>
      <c r="D368" s="114" t="s">
        <v>6</v>
      </c>
      <c r="E368" s="114" t="s">
        <v>28</v>
      </c>
      <c r="F368" s="139">
        <v>42.5</v>
      </c>
      <c r="G368" s="130">
        <v>84.95</v>
      </c>
      <c r="H368" s="116"/>
      <c r="I368" s="103">
        <f t="shared" si="5"/>
        <v>0</v>
      </c>
    </row>
    <row r="369" spans="1:9" s="1" customFormat="1">
      <c r="A369" s="104" t="s">
        <v>113</v>
      </c>
      <c r="B369" s="117" t="s">
        <v>727</v>
      </c>
      <c r="C369" s="114" t="s">
        <v>38</v>
      </c>
      <c r="D369" s="114" t="s">
        <v>6</v>
      </c>
      <c r="E369" s="114" t="s">
        <v>35</v>
      </c>
      <c r="F369" s="139">
        <v>42.5</v>
      </c>
      <c r="G369" s="130">
        <v>84.95</v>
      </c>
      <c r="H369" s="116"/>
      <c r="I369" s="103">
        <f t="shared" si="5"/>
        <v>0</v>
      </c>
    </row>
    <row r="370" spans="1:9" s="1" customFormat="1">
      <c r="A370" s="230" t="s">
        <v>840</v>
      </c>
      <c r="B370" s="121" t="s">
        <v>1200</v>
      </c>
      <c r="C370" s="114" t="s">
        <v>12</v>
      </c>
      <c r="D370" s="120" t="s">
        <v>18</v>
      </c>
      <c r="E370" s="114" t="s">
        <v>388</v>
      </c>
      <c r="F370" s="139">
        <v>47.5</v>
      </c>
      <c r="G370" s="130">
        <v>94.95</v>
      </c>
      <c r="H370" s="116"/>
      <c r="I370" s="103">
        <f t="shared" si="5"/>
        <v>0</v>
      </c>
    </row>
    <row r="371" spans="1:9" s="1" customFormat="1">
      <c r="A371" s="230" t="s">
        <v>841</v>
      </c>
      <c r="B371" s="121" t="s">
        <v>1201</v>
      </c>
      <c r="C371" s="114" t="s">
        <v>12</v>
      </c>
      <c r="D371" s="120" t="s">
        <v>18</v>
      </c>
      <c r="E371" s="114" t="s">
        <v>24</v>
      </c>
      <c r="F371" s="139">
        <v>47.5</v>
      </c>
      <c r="G371" s="130">
        <v>94.95</v>
      </c>
      <c r="H371" s="116"/>
      <c r="I371" s="103">
        <f t="shared" si="5"/>
        <v>0</v>
      </c>
    </row>
    <row r="372" spans="1:9" s="1" customFormat="1">
      <c r="A372" s="230" t="s">
        <v>842</v>
      </c>
      <c r="B372" s="121" t="s">
        <v>1202</v>
      </c>
      <c r="C372" s="114" t="s">
        <v>12</v>
      </c>
      <c r="D372" s="120" t="s">
        <v>18</v>
      </c>
      <c r="E372" s="114" t="s">
        <v>25</v>
      </c>
      <c r="F372" s="139">
        <v>47.5</v>
      </c>
      <c r="G372" s="130">
        <v>94.95</v>
      </c>
      <c r="H372" s="116"/>
      <c r="I372" s="103">
        <f t="shared" si="5"/>
        <v>0</v>
      </c>
    </row>
    <row r="373" spans="1:9" s="1" customFormat="1">
      <c r="A373" s="230" t="s">
        <v>843</v>
      </c>
      <c r="B373" s="121" t="s">
        <v>1203</v>
      </c>
      <c r="C373" s="114" t="s">
        <v>12</v>
      </c>
      <c r="D373" s="120" t="s">
        <v>18</v>
      </c>
      <c r="E373" s="114" t="s">
        <v>26</v>
      </c>
      <c r="F373" s="139">
        <v>47.5</v>
      </c>
      <c r="G373" s="130">
        <v>94.95</v>
      </c>
      <c r="H373" s="116"/>
      <c r="I373" s="103">
        <f t="shared" si="5"/>
        <v>0</v>
      </c>
    </row>
    <row r="374" spans="1:9" s="1" customFormat="1">
      <c r="A374" s="230" t="s">
        <v>844</v>
      </c>
      <c r="B374" s="121" t="s">
        <v>1204</v>
      </c>
      <c r="C374" s="114" t="s">
        <v>12</v>
      </c>
      <c r="D374" s="120" t="s">
        <v>18</v>
      </c>
      <c r="E374" s="114" t="s">
        <v>27</v>
      </c>
      <c r="F374" s="139">
        <v>47.5</v>
      </c>
      <c r="G374" s="130">
        <v>94.95</v>
      </c>
      <c r="H374" s="116"/>
      <c r="I374" s="103">
        <f t="shared" si="5"/>
        <v>0</v>
      </c>
    </row>
    <row r="375" spans="1:9" s="1" customFormat="1">
      <c r="A375" s="230" t="s">
        <v>845</v>
      </c>
      <c r="B375" s="121" t="s">
        <v>1205</v>
      </c>
      <c r="C375" s="114" t="s">
        <v>12</v>
      </c>
      <c r="D375" s="120" t="s">
        <v>18</v>
      </c>
      <c r="E375" s="114" t="s">
        <v>28</v>
      </c>
      <c r="F375" s="139">
        <v>47.5</v>
      </c>
      <c r="G375" s="130">
        <v>94.95</v>
      </c>
      <c r="H375" s="116"/>
      <c r="I375" s="103">
        <f t="shared" si="5"/>
        <v>0</v>
      </c>
    </row>
    <row r="376" spans="1:9" s="1" customFormat="1">
      <c r="A376" s="230" t="s">
        <v>846</v>
      </c>
      <c r="B376" s="121" t="s">
        <v>1206</v>
      </c>
      <c r="C376" s="114" t="s">
        <v>12</v>
      </c>
      <c r="D376" s="120" t="s">
        <v>18</v>
      </c>
      <c r="E376" s="114" t="s">
        <v>35</v>
      </c>
      <c r="F376" s="139">
        <v>47.5</v>
      </c>
      <c r="G376" s="130">
        <v>94.95</v>
      </c>
      <c r="H376" s="116"/>
      <c r="I376" s="103">
        <f t="shared" si="5"/>
        <v>0</v>
      </c>
    </row>
    <row r="377" spans="1:9" s="1" customFormat="1">
      <c r="A377" s="104" t="s">
        <v>135</v>
      </c>
      <c r="B377" s="117" t="s">
        <v>728</v>
      </c>
      <c r="C377" s="120" t="s">
        <v>800</v>
      </c>
      <c r="D377" s="120" t="s">
        <v>18</v>
      </c>
      <c r="E377" s="114" t="s">
        <v>388</v>
      </c>
      <c r="F377" s="139">
        <v>47.5</v>
      </c>
      <c r="G377" s="130">
        <v>94.95</v>
      </c>
      <c r="H377" s="116"/>
      <c r="I377" s="103">
        <f t="shared" si="5"/>
        <v>0</v>
      </c>
    </row>
    <row r="378" spans="1:9" s="1" customFormat="1">
      <c r="A378" s="104" t="s">
        <v>136</v>
      </c>
      <c r="B378" s="117" t="s">
        <v>729</v>
      </c>
      <c r="C378" s="120" t="s">
        <v>800</v>
      </c>
      <c r="D378" s="120" t="s">
        <v>18</v>
      </c>
      <c r="E378" s="114" t="s">
        <v>24</v>
      </c>
      <c r="F378" s="139">
        <v>47.5</v>
      </c>
      <c r="G378" s="130">
        <v>94.95</v>
      </c>
      <c r="H378" s="116"/>
      <c r="I378" s="103">
        <f t="shared" si="5"/>
        <v>0</v>
      </c>
    </row>
    <row r="379" spans="1:9" s="1" customFormat="1">
      <c r="A379" s="104" t="s">
        <v>137</v>
      </c>
      <c r="B379" s="117" t="s">
        <v>730</v>
      </c>
      <c r="C379" s="120" t="s">
        <v>800</v>
      </c>
      <c r="D379" s="120" t="s">
        <v>18</v>
      </c>
      <c r="E379" s="114" t="s">
        <v>25</v>
      </c>
      <c r="F379" s="139">
        <v>47.5</v>
      </c>
      <c r="G379" s="130">
        <v>94.95</v>
      </c>
      <c r="H379" s="116"/>
      <c r="I379" s="103">
        <f t="shared" si="5"/>
        <v>0</v>
      </c>
    </row>
    <row r="380" spans="1:9" s="1" customFormat="1">
      <c r="A380" s="104" t="s">
        <v>138</v>
      </c>
      <c r="B380" s="117" t="s">
        <v>731</v>
      </c>
      <c r="C380" s="120" t="s">
        <v>800</v>
      </c>
      <c r="D380" s="120" t="s">
        <v>18</v>
      </c>
      <c r="E380" s="114" t="s">
        <v>26</v>
      </c>
      <c r="F380" s="139">
        <v>47.5</v>
      </c>
      <c r="G380" s="130">
        <v>94.95</v>
      </c>
      <c r="H380" s="116"/>
      <c r="I380" s="103">
        <f t="shared" si="5"/>
        <v>0</v>
      </c>
    </row>
    <row r="381" spans="1:9" s="1" customFormat="1">
      <c r="A381" s="104" t="s">
        <v>139</v>
      </c>
      <c r="B381" s="117" t="s">
        <v>732</v>
      </c>
      <c r="C381" s="120" t="s">
        <v>800</v>
      </c>
      <c r="D381" s="120" t="s">
        <v>18</v>
      </c>
      <c r="E381" s="114" t="s">
        <v>27</v>
      </c>
      <c r="F381" s="139">
        <v>47.5</v>
      </c>
      <c r="G381" s="130">
        <v>94.95</v>
      </c>
      <c r="H381" s="116"/>
      <c r="I381" s="103">
        <f t="shared" si="5"/>
        <v>0</v>
      </c>
    </row>
    <row r="382" spans="1:9" s="1" customFormat="1">
      <c r="A382" s="104" t="s">
        <v>140</v>
      </c>
      <c r="B382" s="117" t="s">
        <v>733</v>
      </c>
      <c r="C382" s="120" t="s">
        <v>800</v>
      </c>
      <c r="D382" s="120" t="s">
        <v>18</v>
      </c>
      <c r="E382" s="114" t="s">
        <v>28</v>
      </c>
      <c r="F382" s="139">
        <v>47.5</v>
      </c>
      <c r="G382" s="130">
        <v>94.95</v>
      </c>
      <c r="H382" s="116"/>
      <c r="I382" s="103">
        <f t="shared" si="5"/>
        <v>0</v>
      </c>
    </row>
    <row r="383" spans="1:9" s="1" customFormat="1">
      <c r="A383" s="104" t="s">
        <v>141</v>
      </c>
      <c r="B383" s="117" t="s">
        <v>734</v>
      </c>
      <c r="C383" s="120" t="s">
        <v>800</v>
      </c>
      <c r="D383" s="120" t="s">
        <v>18</v>
      </c>
      <c r="E383" s="114" t="s">
        <v>35</v>
      </c>
      <c r="F383" s="139">
        <v>47.5</v>
      </c>
      <c r="G383" s="130">
        <v>94.95</v>
      </c>
      <c r="H383" s="116"/>
      <c r="I383" s="103">
        <f t="shared" si="5"/>
        <v>0</v>
      </c>
    </row>
    <row r="384" spans="1:9" s="1" customFormat="1">
      <c r="A384" s="104" t="s">
        <v>121</v>
      </c>
      <c r="B384" s="119" t="s">
        <v>412</v>
      </c>
      <c r="C384" s="114" t="s">
        <v>13</v>
      </c>
      <c r="D384" s="120" t="s">
        <v>18</v>
      </c>
      <c r="E384" s="114" t="s">
        <v>388</v>
      </c>
      <c r="F384" s="139">
        <v>42.5</v>
      </c>
      <c r="G384" s="130">
        <v>84.95</v>
      </c>
      <c r="H384" s="116"/>
      <c r="I384" s="103">
        <f t="shared" si="5"/>
        <v>0</v>
      </c>
    </row>
    <row r="385" spans="1:9" s="1" customFormat="1">
      <c r="A385" s="104" t="s">
        <v>122</v>
      </c>
      <c r="B385" s="119" t="s">
        <v>413</v>
      </c>
      <c r="C385" s="114" t="s">
        <v>13</v>
      </c>
      <c r="D385" s="120" t="s">
        <v>18</v>
      </c>
      <c r="E385" s="114" t="s">
        <v>24</v>
      </c>
      <c r="F385" s="139">
        <v>42.5</v>
      </c>
      <c r="G385" s="130">
        <v>84.95</v>
      </c>
      <c r="H385" s="116"/>
      <c r="I385" s="103">
        <f t="shared" si="5"/>
        <v>0</v>
      </c>
    </row>
    <row r="386" spans="1:9" s="1" customFormat="1">
      <c r="A386" s="104" t="s">
        <v>123</v>
      </c>
      <c r="B386" s="119" t="s">
        <v>414</v>
      </c>
      <c r="C386" s="114" t="s">
        <v>13</v>
      </c>
      <c r="D386" s="120" t="s">
        <v>18</v>
      </c>
      <c r="E386" s="114" t="s">
        <v>25</v>
      </c>
      <c r="F386" s="139">
        <v>42.5</v>
      </c>
      <c r="G386" s="130">
        <v>84.95</v>
      </c>
      <c r="H386" s="116"/>
      <c r="I386" s="103">
        <f t="shared" si="5"/>
        <v>0</v>
      </c>
    </row>
    <row r="387" spans="1:9" s="1" customFormat="1">
      <c r="A387" s="104" t="s">
        <v>124</v>
      </c>
      <c r="B387" s="119" t="s">
        <v>415</v>
      </c>
      <c r="C387" s="114" t="s">
        <v>13</v>
      </c>
      <c r="D387" s="120" t="s">
        <v>18</v>
      </c>
      <c r="E387" s="114" t="s">
        <v>26</v>
      </c>
      <c r="F387" s="139">
        <v>42.5</v>
      </c>
      <c r="G387" s="130">
        <v>84.95</v>
      </c>
      <c r="H387" s="116"/>
      <c r="I387" s="103">
        <f t="shared" si="5"/>
        <v>0</v>
      </c>
    </row>
    <row r="388" spans="1:9" s="1" customFormat="1">
      <c r="A388" s="104" t="s">
        <v>125</v>
      </c>
      <c r="B388" s="119" t="s">
        <v>416</v>
      </c>
      <c r="C388" s="114" t="s">
        <v>13</v>
      </c>
      <c r="D388" s="120" t="s">
        <v>18</v>
      </c>
      <c r="E388" s="114" t="s">
        <v>27</v>
      </c>
      <c r="F388" s="139">
        <v>42.5</v>
      </c>
      <c r="G388" s="130">
        <v>84.95</v>
      </c>
      <c r="H388" s="116"/>
      <c r="I388" s="103">
        <f t="shared" si="5"/>
        <v>0</v>
      </c>
    </row>
    <row r="389" spans="1:9" s="1" customFormat="1">
      <c r="A389" s="104" t="s">
        <v>126</v>
      </c>
      <c r="B389" s="119" t="s">
        <v>417</v>
      </c>
      <c r="C389" s="114" t="s">
        <v>13</v>
      </c>
      <c r="D389" s="120" t="s">
        <v>18</v>
      </c>
      <c r="E389" s="114" t="s">
        <v>28</v>
      </c>
      <c r="F389" s="139">
        <v>42.5</v>
      </c>
      <c r="G389" s="130">
        <v>84.95</v>
      </c>
      <c r="H389" s="116"/>
      <c r="I389" s="103">
        <f t="shared" si="5"/>
        <v>0</v>
      </c>
    </row>
    <row r="390" spans="1:9" s="1" customFormat="1">
      <c r="A390" s="104" t="s">
        <v>127</v>
      </c>
      <c r="B390" s="119" t="s">
        <v>418</v>
      </c>
      <c r="C390" s="114" t="s">
        <v>13</v>
      </c>
      <c r="D390" s="120" t="s">
        <v>18</v>
      </c>
      <c r="E390" s="114" t="s">
        <v>35</v>
      </c>
      <c r="F390" s="139">
        <v>42.5</v>
      </c>
      <c r="G390" s="130">
        <v>84.95</v>
      </c>
      <c r="H390" s="116"/>
      <c r="I390" s="103">
        <f t="shared" si="5"/>
        <v>0</v>
      </c>
    </row>
    <row r="391" spans="1:9" s="1" customFormat="1">
      <c r="A391" s="104" t="s">
        <v>128</v>
      </c>
      <c r="B391" s="117" t="s">
        <v>609</v>
      </c>
      <c r="C391" s="114" t="s">
        <v>36</v>
      </c>
      <c r="D391" s="120" t="s">
        <v>18</v>
      </c>
      <c r="E391" s="114" t="s">
        <v>388</v>
      </c>
      <c r="F391" s="139">
        <v>25</v>
      </c>
      <c r="G391" s="130">
        <v>49.95</v>
      </c>
      <c r="H391" s="116"/>
      <c r="I391" s="103">
        <f t="shared" si="5"/>
        <v>0</v>
      </c>
    </row>
    <row r="392" spans="1:9" s="1" customFormat="1">
      <c r="A392" s="104" t="s">
        <v>129</v>
      </c>
      <c r="B392" s="117" t="s">
        <v>610</v>
      </c>
      <c r="C392" s="114" t="s">
        <v>36</v>
      </c>
      <c r="D392" s="120" t="s">
        <v>18</v>
      </c>
      <c r="E392" s="114" t="s">
        <v>24</v>
      </c>
      <c r="F392" s="139">
        <v>25</v>
      </c>
      <c r="G392" s="130">
        <v>49.95</v>
      </c>
      <c r="H392" s="116"/>
      <c r="I392" s="103">
        <f t="shared" si="5"/>
        <v>0</v>
      </c>
    </row>
    <row r="393" spans="1:9" s="1" customFormat="1">
      <c r="A393" s="104" t="s">
        <v>130</v>
      </c>
      <c r="B393" s="117" t="s">
        <v>611</v>
      </c>
      <c r="C393" s="114" t="s">
        <v>36</v>
      </c>
      <c r="D393" s="120" t="s">
        <v>18</v>
      </c>
      <c r="E393" s="114" t="s">
        <v>25</v>
      </c>
      <c r="F393" s="139">
        <v>25</v>
      </c>
      <c r="G393" s="130">
        <v>49.95</v>
      </c>
      <c r="H393" s="116"/>
      <c r="I393" s="103">
        <f t="shared" si="5"/>
        <v>0</v>
      </c>
    </row>
    <row r="394" spans="1:9" s="1" customFormat="1">
      <c r="A394" s="104" t="s">
        <v>131</v>
      </c>
      <c r="B394" s="117" t="s">
        <v>612</v>
      </c>
      <c r="C394" s="114" t="s">
        <v>36</v>
      </c>
      <c r="D394" s="120" t="s">
        <v>18</v>
      </c>
      <c r="E394" s="114" t="s">
        <v>26</v>
      </c>
      <c r="F394" s="139">
        <v>25</v>
      </c>
      <c r="G394" s="130">
        <v>49.95</v>
      </c>
      <c r="H394" s="116"/>
      <c r="I394" s="103">
        <f t="shared" si="5"/>
        <v>0</v>
      </c>
    </row>
    <row r="395" spans="1:9" s="1" customFormat="1">
      <c r="A395" s="104" t="s">
        <v>132</v>
      </c>
      <c r="B395" s="117" t="s">
        <v>613</v>
      </c>
      <c r="C395" s="114" t="s">
        <v>36</v>
      </c>
      <c r="D395" s="120" t="s">
        <v>18</v>
      </c>
      <c r="E395" s="114" t="s">
        <v>27</v>
      </c>
      <c r="F395" s="139">
        <v>25</v>
      </c>
      <c r="G395" s="130">
        <v>49.95</v>
      </c>
      <c r="H395" s="116"/>
      <c r="I395" s="103">
        <f t="shared" si="5"/>
        <v>0</v>
      </c>
    </row>
    <row r="396" spans="1:9" s="1" customFormat="1">
      <c r="A396" s="104" t="s">
        <v>133</v>
      </c>
      <c r="B396" s="117" t="s">
        <v>614</v>
      </c>
      <c r="C396" s="114" t="s">
        <v>36</v>
      </c>
      <c r="D396" s="120" t="s">
        <v>18</v>
      </c>
      <c r="E396" s="114" t="s">
        <v>28</v>
      </c>
      <c r="F396" s="139">
        <v>25</v>
      </c>
      <c r="G396" s="130">
        <v>49.95</v>
      </c>
      <c r="H396" s="116"/>
      <c r="I396" s="103">
        <f t="shared" si="5"/>
        <v>0</v>
      </c>
    </row>
    <row r="397" spans="1:9" s="1" customFormat="1">
      <c r="A397" s="104" t="s">
        <v>134</v>
      </c>
      <c r="B397" s="117" t="s">
        <v>615</v>
      </c>
      <c r="C397" s="114" t="s">
        <v>36</v>
      </c>
      <c r="D397" s="120" t="s">
        <v>18</v>
      </c>
      <c r="E397" s="114" t="s">
        <v>35</v>
      </c>
      <c r="F397" s="139">
        <v>25</v>
      </c>
      <c r="G397" s="130">
        <v>49.95</v>
      </c>
      <c r="H397" s="116"/>
      <c r="I397" s="103">
        <f t="shared" si="5"/>
        <v>0</v>
      </c>
    </row>
    <row r="398" spans="1:9" s="1" customFormat="1">
      <c r="A398" s="104" t="s">
        <v>142</v>
      </c>
      <c r="B398" s="117" t="s">
        <v>714</v>
      </c>
      <c r="C398" s="114" t="s">
        <v>38</v>
      </c>
      <c r="D398" s="120" t="s">
        <v>18</v>
      </c>
      <c r="E398" s="114" t="s">
        <v>388</v>
      </c>
      <c r="F398" s="139">
        <v>42.5</v>
      </c>
      <c r="G398" s="130">
        <v>84.95</v>
      </c>
      <c r="H398" s="116"/>
      <c r="I398" s="103">
        <f t="shared" si="5"/>
        <v>0</v>
      </c>
    </row>
    <row r="399" spans="1:9" s="1" customFormat="1">
      <c r="A399" s="104" t="s">
        <v>143</v>
      </c>
      <c r="B399" s="117" t="s">
        <v>715</v>
      </c>
      <c r="C399" s="114" t="s">
        <v>38</v>
      </c>
      <c r="D399" s="120" t="s">
        <v>18</v>
      </c>
      <c r="E399" s="114" t="s">
        <v>24</v>
      </c>
      <c r="F399" s="139">
        <v>42.5</v>
      </c>
      <c r="G399" s="130">
        <v>84.95</v>
      </c>
      <c r="H399" s="116"/>
      <c r="I399" s="103">
        <f t="shared" si="5"/>
        <v>0</v>
      </c>
    </row>
    <row r="400" spans="1:9" s="1" customFormat="1">
      <c r="A400" s="104" t="s">
        <v>144</v>
      </c>
      <c r="B400" s="117" t="s">
        <v>716</v>
      </c>
      <c r="C400" s="114" t="s">
        <v>38</v>
      </c>
      <c r="D400" s="120" t="s">
        <v>18</v>
      </c>
      <c r="E400" s="114" t="s">
        <v>25</v>
      </c>
      <c r="F400" s="139">
        <v>42.5</v>
      </c>
      <c r="G400" s="130">
        <v>84.95</v>
      </c>
      <c r="H400" s="116"/>
      <c r="I400" s="103">
        <f t="shared" si="5"/>
        <v>0</v>
      </c>
    </row>
    <row r="401" spans="1:9" s="1" customFormat="1">
      <c r="A401" s="104" t="s">
        <v>145</v>
      </c>
      <c r="B401" s="117" t="s">
        <v>717</v>
      </c>
      <c r="C401" s="114" t="s">
        <v>38</v>
      </c>
      <c r="D401" s="120" t="s">
        <v>18</v>
      </c>
      <c r="E401" s="114" t="s">
        <v>26</v>
      </c>
      <c r="F401" s="139">
        <v>42.5</v>
      </c>
      <c r="G401" s="130">
        <v>84.95</v>
      </c>
      <c r="H401" s="116"/>
      <c r="I401" s="103">
        <f t="shared" si="5"/>
        <v>0</v>
      </c>
    </row>
    <row r="402" spans="1:9" s="1" customFormat="1">
      <c r="A402" s="104" t="s">
        <v>146</v>
      </c>
      <c r="B402" s="117" t="s">
        <v>718</v>
      </c>
      <c r="C402" s="114" t="s">
        <v>38</v>
      </c>
      <c r="D402" s="120" t="s">
        <v>18</v>
      </c>
      <c r="E402" s="114" t="s">
        <v>27</v>
      </c>
      <c r="F402" s="139">
        <v>42.5</v>
      </c>
      <c r="G402" s="130">
        <v>84.95</v>
      </c>
      <c r="H402" s="116"/>
      <c r="I402" s="103">
        <f t="shared" si="5"/>
        <v>0</v>
      </c>
    </row>
    <row r="403" spans="1:9" s="1" customFormat="1">
      <c r="A403" s="104" t="s">
        <v>147</v>
      </c>
      <c r="B403" s="117" t="s">
        <v>719</v>
      </c>
      <c r="C403" s="114" t="s">
        <v>38</v>
      </c>
      <c r="D403" s="120" t="s">
        <v>18</v>
      </c>
      <c r="E403" s="114" t="s">
        <v>28</v>
      </c>
      <c r="F403" s="139">
        <v>42.5</v>
      </c>
      <c r="G403" s="130">
        <v>84.95</v>
      </c>
      <c r="H403" s="116"/>
      <c r="I403" s="103">
        <f t="shared" si="5"/>
        <v>0</v>
      </c>
    </row>
    <row r="404" spans="1:9" s="1" customFormat="1">
      <c r="A404" s="104" t="s">
        <v>148</v>
      </c>
      <c r="B404" s="117" t="s">
        <v>720</v>
      </c>
      <c r="C404" s="114" t="s">
        <v>38</v>
      </c>
      <c r="D404" s="120" t="s">
        <v>18</v>
      </c>
      <c r="E404" s="114" t="s">
        <v>35</v>
      </c>
      <c r="F404" s="139">
        <v>42.5</v>
      </c>
      <c r="G404" s="130">
        <v>84.95</v>
      </c>
      <c r="H404" s="116"/>
      <c r="I404" s="103">
        <f t="shared" ref="I404:I460" si="6">H404*F404</f>
        <v>0</v>
      </c>
    </row>
    <row r="405" spans="1:9" s="1" customFormat="1">
      <c r="A405" s="104" t="s">
        <v>191</v>
      </c>
      <c r="B405" s="117" t="s">
        <v>748</v>
      </c>
      <c r="C405" s="114" t="s">
        <v>21</v>
      </c>
      <c r="D405" s="114" t="s">
        <v>20</v>
      </c>
      <c r="E405" s="114" t="s">
        <v>388</v>
      </c>
      <c r="F405" s="139">
        <v>47.5</v>
      </c>
      <c r="G405" s="130">
        <v>94.95</v>
      </c>
      <c r="H405" s="116"/>
      <c r="I405" s="103">
        <f t="shared" si="6"/>
        <v>0</v>
      </c>
    </row>
    <row r="406" spans="1:9" s="1" customFormat="1">
      <c r="A406" s="104" t="s">
        <v>192</v>
      </c>
      <c r="B406" s="117" t="s">
        <v>747</v>
      </c>
      <c r="C406" s="114" t="s">
        <v>21</v>
      </c>
      <c r="D406" s="114" t="s">
        <v>20</v>
      </c>
      <c r="E406" s="114" t="s">
        <v>24</v>
      </c>
      <c r="F406" s="139">
        <v>47.5</v>
      </c>
      <c r="G406" s="130">
        <v>94.95</v>
      </c>
      <c r="H406" s="116"/>
      <c r="I406" s="103">
        <f t="shared" si="6"/>
        <v>0</v>
      </c>
    </row>
    <row r="407" spans="1:9" s="1" customFormat="1">
      <c r="A407" s="104" t="s">
        <v>193</v>
      </c>
      <c r="B407" s="117" t="s">
        <v>746</v>
      </c>
      <c r="C407" s="114" t="s">
        <v>21</v>
      </c>
      <c r="D407" s="114" t="s">
        <v>20</v>
      </c>
      <c r="E407" s="114" t="s">
        <v>25</v>
      </c>
      <c r="F407" s="139">
        <v>47.5</v>
      </c>
      <c r="G407" s="130">
        <v>94.95</v>
      </c>
      <c r="H407" s="116"/>
      <c r="I407" s="103">
        <f t="shared" si="6"/>
        <v>0</v>
      </c>
    </row>
    <row r="408" spans="1:9" s="1" customFormat="1">
      <c r="A408" s="104" t="s">
        <v>194</v>
      </c>
      <c r="B408" s="117" t="s">
        <v>745</v>
      </c>
      <c r="C408" s="114" t="s">
        <v>21</v>
      </c>
      <c r="D408" s="114" t="s">
        <v>20</v>
      </c>
      <c r="E408" s="114" t="s">
        <v>26</v>
      </c>
      <c r="F408" s="139">
        <v>47.5</v>
      </c>
      <c r="G408" s="130">
        <v>94.95</v>
      </c>
      <c r="H408" s="116"/>
      <c r="I408" s="103">
        <f t="shared" si="6"/>
        <v>0</v>
      </c>
    </row>
    <row r="409" spans="1:9" s="1" customFormat="1">
      <c r="A409" s="104" t="s">
        <v>195</v>
      </c>
      <c r="B409" s="117" t="s">
        <v>744</v>
      </c>
      <c r="C409" s="114" t="s">
        <v>21</v>
      </c>
      <c r="D409" s="114" t="s">
        <v>20</v>
      </c>
      <c r="E409" s="114" t="s">
        <v>27</v>
      </c>
      <c r="F409" s="139">
        <v>47.5</v>
      </c>
      <c r="G409" s="130">
        <v>94.95</v>
      </c>
      <c r="H409" s="116"/>
      <c r="I409" s="103">
        <f t="shared" si="6"/>
        <v>0</v>
      </c>
    </row>
    <row r="410" spans="1:9" s="1" customFormat="1">
      <c r="A410" s="104" t="s">
        <v>196</v>
      </c>
      <c r="B410" s="117" t="s">
        <v>743</v>
      </c>
      <c r="C410" s="114" t="s">
        <v>21</v>
      </c>
      <c r="D410" s="114" t="s">
        <v>20</v>
      </c>
      <c r="E410" s="114" t="s">
        <v>28</v>
      </c>
      <c r="F410" s="139">
        <v>47.5</v>
      </c>
      <c r="G410" s="130">
        <v>94.95</v>
      </c>
      <c r="H410" s="116"/>
      <c r="I410" s="103">
        <f t="shared" si="6"/>
        <v>0</v>
      </c>
    </row>
    <row r="411" spans="1:9" s="1" customFormat="1">
      <c r="A411" s="104" t="s">
        <v>197</v>
      </c>
      <c r="B411" s="117" t="s">
        <v>742</v>
      </c>
      <c r="C411" s="114" t="s">
        <v>21</v>
      </c>
      <c r="D411" s="114" t="s">
        <v>20</v>
      </c>
      <c r="E411" s="114" t="s">
        <v>35</v>
      </c>
      <c r="F411" s="139">
        <v>47.5</v>
      </c>
      <c r="G411" s="130">
        <v>94.95</v>
      </c>
      <c r="H411" s="116"/>
      <c r="I411" s="103">
        <f t="shared" si="6"/>
        <v>0</v>
      </c>
    </row>
    <row r="412" spans="1:9" s="1" customFormat="1">
      <c r="A412" s="104" t="s">
        <v>198</v>
      </c>
      <c r="B412" s="117" t="s">
        <v>433</v>
      </c>
      <c r="C412" s="114" t="s">
        <v>13</v>
      </c>
      <c r="D412" s="114" t="s">
        <v>20</v>
      </c>
      <c r="E412" s="114" t="s">
        <v>388</v>
      </c>
      <c r="F412" s="139">
        <v>42.5</v>
      </c>
      <c r="G412" s="130">
        <v>84.95</v>
      </c>
      <c r="H412" s="116"/>
      <c r="I412" s="103">
        <f t="shared" si="6"/>
        <v>0</v>
      </c>
    </row>
    <row r="413" spans="1:9" s="1" customFormat="1">
      <c r="A413" s="104" t="s">
        <v>199</v>
      </c>
      <c r="B413" s="117" t="s">
        <v>434</v>
      </c>
      <c r="C413" s="114" t="s">
        <v>13</v>
      </c>
      <c r="D413" s="114" t="s">
        <v>20</v>
      </c>
      <c r="E413" s="114" t="s">
        <v>24</v>
      </c>
      <c r="F413" s="139">
        <v>42.5</v>
      </c>
      <c r="G413" s="130">
        <v>84.95</v>
      </c>
      <c r="H413" s="116"/>
      <c r="I413" s="103">
        <f t="shared" si="6"/>
        <v>0</v>
      </c>
    </row>
    <row r="414" spans="1:9" s="1" customFormat="1">
      <c r="A414" s="104" t="s">
        <v>200</v>
      </c>
      <c r="B414" s="117" t="s">
        <v>435</v>
      </c>
      <c r="C414" s="114" t="s">
        <v>13</v>
      </c>
      <c r="D414" s="114" t="s">
        <v>20</v>
      </c>
      <c r="E414" s="114" t="s">
        <v>25</v>
      </c>
      <c r="F414" s="139">
        <v>42.5</v>
      </c>
      <c r="G414" s="130">
        <v>84.95</v>
      </c>
      <c r="H414" s="116"/>
      <c r="I414" s="103">
        <f t="shared" si="6"/>
        <v>0</v>
      </c>
    </row>
    <row r="415" spans="1:9" s="1" customFormat="1">
      <c r="A415" s="104" t="s">
        <v>201</v>
      </c>
      <c r="B415" s="117" t="s">
        <v>436</v>
      </c>
      <c r="C415" s="114" t="s">
        <v>13</v>
      </c>
      <c r="D415" s="114" t="s">
        <v>20</v>
      </c>
      <c r="E415" s="114" t="s">
        <v>26</v>
      </c>
      <c r="F415" s="139">
        <v>42.5</v>
      </c>
      <c r="G415" s="130">
        <v>84.95</v>
      </c>
      <c r="H415" s="116"/>
      <c r="I415" s="103">
        <f t="shared" si="6"/>
        <v>0</v>
      </c>
    </row>
    <row r="416" spans="1:9" s="1" customFormat="1">
      <c r="A416" s="104" t="s">
        <v>202</v>
      </c>
      <c r="B416" s="117" t="s">
        <v>437</v>
      </c>
      <c r="C416" s="114" t="s">
        <v>13</v>
      </c>
      <c r="D416" s="114" t="s">
        <v>20</v>
      </c>
      <c r="E416" s="114" t="s">
        <v>27</v>
      </c>
      <c r="F416" s="139">
        <v>42.5</v>
      </c>
      <c r="G416" s="130">
        <v>84.95</v>
      </c>
      <c r="H416" s="116"/>
      <c r="I416" s="103">
        <f t="shared" si="6"/>
        <v>0</v>
      </c>
    </row>
    <row r="417" spans="1:9" s="1" customFormat="1">
      <c r="A417" s="104" t="s">
        <v>203</v>
      </c>
      <c r="B417" s="117" t="s">
        <v>438</v>
      </c>
      <c r="C417" s="114" t="s">
        <v>13</v>
      </c>
      <c r="D417" s="114" t="s">
        <v>20</v>
      </c>
      <c r="E417" s="114" t="s">
        <v>28</v>
      </c>
      <c r="F417" s="139">
        <v>42.5</v>
      </c>
      <c r="G417" s="130">
        <v>84.95</v>
      </c>
      <c r="H417" s="116"/>
      <c r="I417" s="103">
        <f t="shared" si="6"/>
        <v>0</v>
      </c>
    </row>
    <row r="418" spans="1:9" s="1" customFormat="1">
      <c r="A418" s="104" t="s">
        <v>204</v>
      </c>
      <c r="B418" s="117" t="s">
        <v>439</v>
      </c>
      <c r="C418" s="114" t="s">
        <v>13</v>
      </c>
      <c r="D418" s="114" t="s">
        <v>20</v>
      </c>
      <c r="E418" s="114" t="s">
        <v>35</v>
      </c>
      <c r="F418" s="139">
        <v>42.5</v>
      </c>
      <c r="G418" s="130">
        <v>84.95</v>
      </c>
      <c r="H418" s="116"/>
      <c r="I418" s="103">
        <f t="shared" si="6"/>
        <v>0</v>
      </c>
    </row>
    <row r="419" spans="1:9" s="4" customFormat="1">
      <c r="A419" s="104" t="s">
        <v>254</v>
      </c>
      <c r="B419" s="111" t="s">
        <v>678</v>
      </c>
      <c r="C419" s="112" t="s">
        <v>10</v>
      </c>
      <c r="D419" s="112" t="s">
        <v>0</v>
      </c>
      <c r="E419" s="114" t="s">
        <v>388</v>
      </c>
      <c r="F419" s="139">
        <v>60</v>
      </c>
      <c r="G419" s="130">
        <v>119.95</v>
      </c>
      <c r="H419" s="103"/>
      <c r="I419" s="103">
        <f t="shared" si="6"/>
        <v>0</v>
      </c>
    </row>
    <row r="420" spans="1:9" s="4" customFormat="1">
      <c r="A420" s="104" t="s">
        <v>255</v>
      </c>
      <c r="B420" s="111" t="s">
        <v>677</v>
      </c>
      <c r="C420" s="112" t="s">
        <v>10</v>
      </c>
      <c r="D420" s="112" t="s">
        <v>0</v>
      </c>
      <c r="E420" s="114" t="s">
        <v>24</v>
      </c>
      <c r="F420" s="139">
        <v>60</v>
      </c>
      <c r="G420" s="130">
        <v>119.95</v>
      </c>
      <c r="H420" s="103"/>
      <c r="I420" s="103">
        <f t="shared" si="6"/>
        <v>0</v>
      </c>
    </row>
    <row r="421" spans="1:9" s="4" customFormat="1">
      <c r="A421" s="104" t="s">
        <v>256</v>
      </c>
      <c r="B421" s="111" t="s">
        <v>676</v>
      </c>
      <c r="C421" s="112" t="s">
        <v>10</v>
      </c>
      <c r="D421" s="112" t="s">
        <v>0</v>
      </c>
      <c r="E421" s="114" t="s">
        <v>25</v>
      </c>
      <c r="F421" s="139">
        <v>60</v>
      </c>
      <c r="G421" s="130">
        <v>119.95</v>
      </c>
      <c r="H421" s="103"/>
      <c r="I421" s="103">
        <f t="shared" si="6"/>
        <v>0</v>
      </c>
    </row>
    <row r="422" spans="1:9" s="4" customFormat="1">
      <c r="A422" s="104" t="s">
        <v>257</v>
      </c>
      <c r="B422" s="111" t="s">
        <v>675</v>
      </c>
      <c r="C422" s="112" t="s">
        <v>10</v>
      </c>
      <c r="D422" s="112" t="s">
        <v>0</v>
      </c>
      <c r="E422" s="114" t="s">
        <v>26</v>
      </c>
      <c r="F422" s="139">
        <v>60</v>
      </c>
      <c r="G422" s="130">
        <v>119.95</v>
      </c>
      <c r="H422" s="103"/>
      <c r="I422" s="103">
        <f t="shared" si="6"/>
        <v>0</v>
      </c>
    </row>
    <row r="423" spans="1:9" s="4" customFormat="1">
      <c r="A423" s="104" t="s">
        <v>258</v>
      </c>
      <c r="B423" s="111" t="s">
        <v>674</v>
      </c>
      <c r="C423" s="112" t="s">
        <v>10</v>
      </c>
      <c r="D423" s="112" t="s">
        <v>0</v>
      </c>
      <c r="E423" s="114" t="s">
        <v>27</v>
      </c>
      <c r="F423" s="139">
        <v>60</v>
      </c>
      <c r="G423" s="130">
        <v>119.95</v>
      </c>
      <c r="H423" s="103"/>
      <c r="I423" s="103">
        <f t="shared" si="6"/>
        <v>0</v>
      </c>
    </row>
    <row r="424" spans="1:9" s="4" customFormat="1">
      <c r="A424" s="104" t="s">
        <v>259</v>
      </c>
      <c r="B424" s="111" t="s">
        <v>673</v>
      </c>
      <c r="C424" s="112" t="s">
        <v>10</v>
      </c>
      <c r="D424" s="112" t="s">
        <v>0</v>
      </c>
      <c r="E424" s="114" t="s">
        <v>28</v>
      </c>
      <c r="F424" s="139">
        <v>60</v>
      </c>
      <c r="G424" s="130">
        <v>119.95</v>
      </c>
      <c r="H424" s="103"/>
      <c r="I424" s="103">
        <f t="shared" si="6"/>
        <v>0</v>
      </c>
    </row>
    <row r="425" spans="1:9" s="4" customFormat="1">
      <c r="A425" s="104" t="s">
        <v>260</v>
      </c>
      <c r="B425" s="111" t="s">
        <v>672</v>
      </c>
      <c r="C425" s="112" t="s">
        <v>10</v>
      </c>
      <c r="D425" s="112" t="s">
        <v>0</v>
      </c>
      <c r="E425" s="114" t="s">
        <v>35</v>
      </c>
      <c r="F425" s="139">
        <v>60</v>
      </c>
      <c r="G425" s="130">
        <v>119.95</v>
      </c>
      <c r="H425" s="103"/>
      <c r="I425" s="103">
        <f t="shared" si="6"/>
        <v>0</v>
      </c>
    </row>
    <row r="426" spans="1:9" s="4" customFormat="1">
      <c r="A426" s="104" t="s">
        <v>261</v>
      </c>
      <c r="B426" s="111" t="s">
        <v>664</v>
      </c>
      <c r="C426" s="112" t="s">
        <v>10</v>
      </c>
      <c r="D426" s="112" t="s">
        <v>17</v>
      </c>
      <c r="E426" s="114" t="s">
        <v>388</v>
      </c>
      <c r="F426" s="139">
        <v>60</v>
      </c>
      <c r="G426" s="130">
        <v>119.95</v>
      </c>
      <c r="H426" s="103"/>
      <c r="I426" s="103">
        <f t="shared" si="6"/>
        <v>0</v>
      </c>
    </row>
    <row r="427" spans="1:9" s="4" customFormat="1">
      <c r="A427" s="104" t="s">
        <v>262</v>
      </c>
      <c r="B427" s="111" t="s">
        <v>663</v>
      </c>
      <c r="C427" s="112" t="s">
        <v>10</v>
      </c>
      <c r="D427" s="112" t="s">
        <v>17</v>
      </c>
      <c r="E427" s="114" t="s">
        <v>24</v>
      </c>
      <c r="F427" s="139">
        <v>60</v>
      </c>
      <c r="G427" s="130">
        <v>119.95</v>
      </c>
      <c r="H427" s="103"/>
      <c r="I427" s="103">
        <f t="shared" si="6"/>
        <v>0</v>
      </c>
    </row>
    <row r="428" spans="1:9" s="4" customFormat="1">
      <c r="A428" s="104" t="s">
        <v>263</v>
      </c>
      <c r="B428" s="111" t="s">
        <v>662</v>
      </c>
      <c r="C428" s="112" t="s">
        <v>10</v>
      </c>
      <c r="D428" s="112" t="s">
        <v>17</v>
      </c>
      <c r="E428" s="114" t="s">
        <v>25</v>
      </c>
      <c r="F428" s="139">
        <v>60</v>
      </c>
      <c r="G428" s="130">
        <v>119.95</v>
      </c>
      <c r="H428" s="103"/>
      <c r="I428" s="103">
        <f t="shared" si="6"/>
        <v>0</v>
      </c>
    </row>
    <row r="429" spans="1:9" s="4" customFormat="1">
      <c r="A429" s="104" t="s">
        <v>264</v>
      </c>
      <c r="B429" s="111" t="s">
        <v>661</v>
      </c>
      <c r="C429" s="112" t="s">
        <v>10</v>
      </c>
      <c r="D429" s="112" t="s">
        <v>17</v>
      </c>
      <c r="E429" s="114" t="s">
        <v>26</v>
      </c>
      <c r="F429" s="139">
        <v>60</v>
      </c>
      <c r="G429" s="130">
        <v>119.95</v>
      </c>
      <c r="H429" s="103"/>
      <c r="I429" s="103">
        <f t="shared" si="6"/>
        <v>0</v>
      </c>
    </row>
    <row r="430" spans="1:9" s="4" customFormat="1">
      <c r="A430" s="104" t="s">
        <v>265</v>
      </c>
      <c r="B430" s="111" t="s">
        <v>660</v>
      </c>
      <c r="C430" s="112" t="s">
        <v>10</v>
      </c>
      <c r="D430" s="112" t="s">
        <v>17</v>
      </c>
      <c r="E430" s="114" t="s">
        <v>27</v>
      </c>
      <c r="F430" s="139">
        <v>60</v>
      </c>
      <c r="G430" s="130">
        <v>119.95</v>
      </c>
      <c r="H430" s="103"/>
      <c r="I430" s="103">
        <f t="shared" si="6"/>
        <v>0</v>
      </c>
    </row>
    <row r="431" spans="1:9" s="4" customFormat="1">
      <c r="A431" s="104" t="s">
        <v>266</v>
      </c>
      <c r="B431" s="111" t="s">
        <v>659</v>
      </c>
      <c r="C431" s="112" t="s">
        <v>10</v>
      </c>
      <c r="D431" s="112" t="s">
        <v>17</v>
      </c>
      <c r="E431" s="114" t="s">
        <v>28</v>
      </c>
      <c r="F431" s="139">
        <v>60</v>
      </c>
      <c r="G431" s="130">
        <v>119.95</v>
      </c>
      <c r="H431" s="103"/>
      <c r="I431" s="103">
        <f t="shared" si="6"/>
        <v>0</v>
      </c>
    </row>
    <row r="432" spans="1:9" s="4" customFormat="1">
      <c r="A432" s="104" t="s">
        <v>267</v>
      </c>
      <c r="B432" s="111" t="s">
        <v>658</v>
      </c>
      <c r="C432" s="112" t="s">
        <v>10</v>
      </c>
      <c r="D432" s="112" t="s">
        <v>17</v>
      </c>
      <c r="E432" s="114" t="s">
        <v>35</v>
      </c>
      <c r="F432" s="139">
        <v>60</v>
      </c>
      <c r="G432" s="130">
        <v>119.95</v>
      </c>
      <c r="H432" s="103"/>
      <c r="I432" s="103">
        <f t="shared" si="6"/>
        <v>0</v>
      </c>
    </row>
    <row r="433" spans="1:9" s="4" customFormat="1">
      <c r="A433" s="115" t="s">
        <v>1186</v>
      </c>
      <c r="B433" s="121" t="s">
        <v>1398</v>
      </c>
      <c r="C433" s="112" t="s">
        <v>10</v>
      </c>
      <c r="D433" s="112" t="s">
        <v>9</v>
      </c>
      <c r="E433" s="114" t="s">
        <v>388</v>
      </c>
      <c r="F433" s="139">
        <v>60</v>
      </c>
      <c r="G433" s="130">
        <v>119.95</v>
      </c>
      <c r="H433" s="103"/>
      <c r="I433" s="103">
        <f t="shared" si="6"/>
        <v>0</v>
      </c>
    </row>
    <row r="434" spans="1:9" s="4" customFormat="1">
      <c r="A434" s="115" t="s">
        <v>1187</v>
      </c>
      <c r="B434" s="121" t="s">
        <v>1399</v>
      </c>
      <c r="C434" s="112" t="s">
        <v>10</v>
      </c>
      <c r="D434" s="112" t="s">
        <v>9</v>
      </c>
      <c r="E434" s="114" t="s">
        <v>24</v>
      </c>
      <c r="F434" s="139">
        <v>60</v>
      </c>
      <c r="G434" s="130">
        <v>119.95</v>
      </c>
      <c r="H434" s="103"/>
      <c r="I434" s="103">
        <f t="shared" si="6"/>
        <v>0</v>
      </c>
    </row>
    <row r="435" spans="1:9" s="4" customFormat="1">
      <c r="A435" s="115" t="s">
        <v>1188</v>
      </c>
      <c r="B435" s="121" t="s">
        <v>1400</v>
      </c>
      <c r="C435" s="112" t="s">
        <v>10</v>
      </c>
      <c r="D435" s="112" t="s">
        <v>9</v>
      </c>
      <c r="E435" s="114" t="s">
        <v>25</v>
      </c>
      <c r="F435" s="139">
        <v>60</v>
      </c>
      <c r="G435" s="130">
        <v>119.95</v>
      </c>
      <c r="H435" s="103"/>
      <c r="I435" s="103">
        <f t="shared" si="6"/>
        <v>0</v>
      </c>
    </row>
    <row r="436" spans="1:9" s="4" customFormat="1">
      <c r="A436" s="115" t="s">
        <v>1189</v>
      </c>
      <c r="B436" s="121" t="s">
        <v>1401</v>
      </c>
      <c r="C436" s="112" t="s">
        <v>10</v>
      </c>
      <c r="D436" s="112" t="s">
        <v>9</v>
      </c>
      <c r="E436" s="114" t="s">
        <v>26</v>
      </c>
      <c r="F436" s="139">
        <v>60</v>
      </c>
      <c r="G436" s="130">
        <v>119.95</v>
      </c>
      <c r="H436" s="103"/>
      <c r="I436" s="103">
        <f t="shared" si="6"/>
        <v>0</v>
      </c>
    </row>
    <row r="437" spans="1:9" s="4" customFormat="1">
      <c r="A437" s="115" t="s">
        <v>1190</v>
      </c>
      <c r="B437" s="121" t="s">
        <v>1402</v>
      </c>
      <c r="C437" s="112" t="s">
        <v>10</v>
      </c>
      <c r="D437" s="112" t="s">
        <v>9</v>
      </c>
      <c r="E437" s="114" t="s">
        <v>27</v>
      </c>
      <c r="F437" s="139">
        <v>60</v>
      </c>
      <c r="G437" s="130">
        <v>119.95</v>
      </c>
      <c r="H437" s="103"/>
      <c r="I437" s="103">
        <f t="shared" si="6"/>
        <v>0</v>
      </c>
    </row>
    <row r="438" spans="1:9" s="4" customFormat="1">
      <c r="A438" s="115" t="s">
        <v>1191</v>
      </c>
      <c r="B438" s="121" t="s">
        <v>1403</v>
      </c>
      <c r="C438" s="112" t="s">
        <v>10</v>
      </c>
      <c r="D438" s="112" t="s">
        <v>9</v>
      </c>
      <c r="E438" s="114" t="s">
        <v>28</v>
      </c>
      <c r="F438" s="139">
        <v>60</v>
      </c>
      <c r="G438" s="130">
        <v>119.95</v>
      </c>
      <c r="H438" s="103"/>
      <c r="I438" s="103">
        <f t="shared" si="6"/>
        <v>0</v>
      </c>
    </row>
    <row r="439" spans="1:9" s="4" customFormat="1">
      <c r="A439" s="115" t="s">
        <v>1192</v>
      </c>
      <c r="B439" s="121" t="s">
        <v>1404</v>
      </c>
      <c r="C439" s="112" t="s">
        <v>10</v>
      </c>
      <c r="D439" s="112" t="s">
        <v>9</v>
      </c>
      <c r="E439" s="114" t="s">
        <v>35</v>
      </c>
      <c r="F439" s="139">
        <v>60</v>
      </c>
      <c r="G439" s="130">
        <v>119.95</v>
      </c>
      <c r="H439" s="103"/>
      <c r="I439" s="103">
        <f t="shared" si="6"/>
        <v>0</v>
      </c>
    </row>
    <row r="440" spans="1:9" s="4" customFormat="1">
      <c r="A440" s="104" t="s">
        <v>275</v>
      </c>
      <c r="B440" s="111" t="s">
        <v>657</v>
      </c>
      <c r="C440" s="112" t="s">
        <v>23</v>
      </c>
      <c r="D440" s="112" t="s">
        <v>0</v>
      </c>
      <c r="E440" s="114" t="s">
        <v>388</v>
      </c>
      <c r="F440" s="159">
        <v>80</v>
      </c>
      <c r="G440" s="103">
        <v>159.94999999999999</v>
      </c>
      <c r="H440" s="103"/>
      <c r="I440" s="103">
        <f t="shared" si="6"/>
        <v>0</v>
      </c>
    </row>
    <row r="441" spans="1:9" s="4" customFormat="1">
      <c r="A441" s="104" t="s">
        <v>276</v>
      </c>
      <c r="B441" s="111" t="s">
        <v>656</v>
      </c>
      <c r="C441" s="112" t="s">
        <v>23</v>
      </c>
      <c r="D441" s="112" t="s">
        <v>0</v>
      </c>
      <c r="E441" s="114" t="s">
        <v>24</v>
      </c>
      <c r="F441" s="159">
        <v>80</v>
      </c>
      <c r="G441" s="103">
        <v>159.94999999999999</v>
      </c>
      <c r="H441" s="103"/>
      <c r="I441" s="103">
        <f t="shared" si="6"/>
        <v>0</v>
      </c>
    </row>
    <row r="442" spans="1:9" s="4" customFormat="1">
      <c r="A442" s="104" t="s">
        <v>277</v>
      </c>
      <c r="B442" s="111" t="s">
        <v>655</v>
      </c>
      <c r="C442" s="112" t="s">
        <v>23</v>
      </c>
      <c r="D442" s="112" t="s">
        <v>0</v>
      </c>
      <c r="E442" s="114" t="s">
        <v>25</v>
      </c>
      <c r="F442" s="159">
        <v>80</v>
      </c>
      <c r="G442" s="103">
        <v>159.94999999999999</v>
      </c>
      <c r="H442" s="103"/>
      <c r="I442" s="103">
        <f t="shared" si="6"/>
        <v>0</v>
      </c>
    </row>
    <row r="443" spans="1:9" s="4" customFormat="1">
      <c r="A443" s="104" t="s">
        <v>278</v>
      </c>
      <c r="B443" s="111" t="s">
        <v>654</v>
      </c>
      <c r="C443" s="112" t="s">
        <v>23</v>
      </c>
      <c r="D443" s="112" t="s">
        <v>0</v>
      </c>
      <c r="E443" s="114" t="s">
        <v>26</v>
      </c>
      <c r="F443" s="159">
        <v>80</v>
      </c>
      <c r="G443" s="103">
        <v>159.94999999999999</v>
      </c>
      <c r="H443" s="103"/>
      <c r="I443" s="103">
        <f t="shared" si="6"/>
        <v>0</v>
      </c>
    </row>
    <row r="444" spans="1:9" s="4" customFormat="1">
      <c r="A444" s="104" t="s">
        <v>279</v>
      </c>
      <c r="B444" s="111" t="s">
        <v>653</v>
      </c>
      <c r="C444" s="112" t="s">
        <v>23</v>
      </c>
      <c r="D444" s="112" t="s">
        <v>0</v>
      </c>
      <c r="E444" s="114" t="s">
        <v>27</v>
      </c>
      <c r="F444" s="159">
        <v>80</v>
      </c>
      <c r="G444" s="103">
        <v>159.94999999999999</v>
      </c>
      <c r="H444" s="103"/>
      <c r="I444" s="103">
        <f t="shared" si="6"/>
        <v>0</v>
      </c>
    </row>
    <row r="445" spans="1:9" s="4" customFormat="1">
      <c r="A445" s="104" t="s">
        <v>280</v>
      </c>
      <c r="B445" s="111" t="s">
        <v>652</v>
      </c>
      <c r="C445" s="112" t="s">
        <v>23</v>
      </c>
      <c r="D445" s="112" t="s">
        <v>0</v>
      </c>
      <c r="E445" s="114" t="s">
        <v>28</v>
      </c>
      <c r="F445" s="159">
        <v>80</v>
      </c>
      <c r="G445" s="103">
        <v>159.94999999999999</v>
      </c>
      <c r="H445" s="103"/>
      <c r="I445" s="103">
        <f t="shared" si="6"/>
        <v>0</v>
      </c>
    </row>
    <row r="446" spans="1:9" s="4" customFormat="1">
      <c r="A446" s="104" t="s">
        <v>281</v>
      </c>
      <c r="B446" s="111" t="s">
        <v>651</v>
      </c>
      <c r="C446" s="112" t="s">
        <v>23</v>
      </c>
      <c r="D446" s="112" t="s">
        <v>0</v>
      </c>
      <c r="E446" s="114" t="s">
        <v>35</v>
      </c>
      <c r="F446" s="159">
        <v>80</v>
      </c>
      <c r="G446" s="103">
        <v>159.94999999999999</v>
      </c>
      <c r="H446" s="103"/>
      <c r="I446" s="103">
        <f t="shared" si="6"/>
        <v>0</v>
      </c>
    </row>
    <row r="447" spans="1:9" s="4" customFormat="1">
      <c r="A447" s="104" t="s">
        <v>282</v>
      </c>
      <c r="B447" s="111" t="s">
        <v>643</v>
      </c>
      <c r="C447" s="112" t="s">
        <v>23</v>
      </c>
      <c r="D447" s="112" t="s">
        <v>33</v>
      </c>
      <c r="E447" s="114" t="s">
        <v>388</v>
      </c>
      <c r="F447" s="159">
        <v>80</v>
      </c>
      <c r="G447" s="103">
        <v>159.94999999999999</v>
      </c>
      <c r="H447" s="103"/>
      <c r="I447" s="103">
        <f t="shared" si="6"/>
        <v>0</v>
      </c>
    </row>
    <row r="448" spans="1:9" s="4" customFormat="1">
      <c r="A448" s="104" t="s">
        <v>283</v>
      </c>
      <c r="B448" s="111" t="s">
        <v>642</v>
      </c>
      <c r="C448" s="112" t="s">
        <v>23</v>
      </c>
      <c r="D448" s="112" t="s">
        <v>33</v>
      </c>
      <c r="E448" s="114" t="s">
        <v>24</v>
      </c>
      <c r="F448" s="159">
        <v>80</v>
      </c>
      <c r="G448" s="103">
        <v>159.94999999999999</v>
      </c>
      <c r="H448" s="103"/>
      <c r="I448" s="103">
        <f t="shared" si="6"/>
        <v>0</v>
      </c>
    </row>
    <row r="449" spans="1:9" s="4" customFormat="1">
      <c r="A449" s="104" t="s">
        <v>284</v>
      </c>
      <c r="B449" s="111" t="s">
        <v>641</v>
      </c>
      <c r="C449" s="112" t="s">
        <v>23</v>
      </c>
      <c r="D449" s="112" t="s">
        <v>33</v>
      </c>
      <c r="E449" s="114" t="s">
        <v>25</v>
      </c>
      <c r="F449" s="159">
        <v>80</v>
      </c>
      <c r="G449" s="103">
        <v>159.94999999999999</v>
      </c>
      <c r="H449" s="103"/>
      <c r="I449" s="103">
        <f t="shared" si="6"/>
        <v>0</v>
      </c>
    </row>
    <row r="450" spans="1:9" s="4" customFormat="1">
      <c r="A450" s="104" t="s">
        <v>285</v>
      </c>
      <c r="B450" s="111" t="s">
        <v>640</v>
      </c>
      <c r="C450" s="112" t="s">
        <v>23</v>
      </c>
      <c r="D450" s="112" t="s">
        <v>33</v>
      </c>
      <c r="E450" s="114" t="s">
        <v>26</v>
      </c>
      <c r="F450" s="159">
        <v>80</v>
      </c>
      <c r="G450" s="103">
        <v>159.94999999999999</v>
      </c>
      <c r="H450" s="103"/>
      <c r="I450" s="103">
        <f t="shared" si="6"/>
        <v>0</v>
      </c>
    </row>
    <row r="451" spans="1:9" s="4" customFormat="1">
      <c r="A451" s="104" t="s">
        <v>286</v>
      </c>
      <c r="B451" s="111" t="s">
        <v>639</v>
      </c>
      <c r="C451" s="112" t="s">
        <v>23</v>
      </c>
      <c r="D451" s="112" t="s">
        <v>33</v>
      </c>
      <c r="E451" s="114" t="s">
        <v>27</v>
      </c>
      <c r="F451" s="159">
        <v>80</v>
      </c>
      <c r="G451" s="103">
        <v>159.94999999999999</v>
      </c>
      <c r="H451" s="103"/>
      <c r="I451" s="103">
        <f t="shared" si="6"/>
        <v>0</v>
      </c>
    </row>
    <row r="452" spans="1:9" s="4" customFormat="1">
      <c r="A452" s="104" t="s">
        <v>287</v>
      </c>
      <c r="B452" s="111" t="s">
        <v>638</v>
      </c>
      <c r="C452" s="112" t="s">
        <v>23</v>
      </c>
      <c r="D452" s="112" t="s">
        <v>33</v>
      </c>
      <c r="E452" s="114" t="s">
        <v>28</v>
      </c>
      <c r="F452" s="159">
        <v>80</v>
      </c>
      <c r="G452" s="103">
        <v>159.94999999999999</v>
      </c>
      <c r="H452" s="103"/>
      <c r="I452" s="103">
        <f t="shared" si="6"/>
        <v>0</v>
      </c>
    </row>
    <row r="453" spans="1:9" s="4" customFormat="1">
      <c r="A453" s="104" t="s">
        <v>288</v>
      </c>
      <c r="B453" s="111" t="s">
        <v>637</v>
      </c>
      <c r="C453" s="112" t="s">
        <v>23</v>
      </c>
      <c r="D453" s="112" t="s">
        <v>33</v>
      </c>
      <c r="E453" s="114" t="s">
        <v>35</v>
      </c>
      <c r="F453" s="159">
        <v>80</v>
      </c>
      <c r="G453" s="103">
        <v>159.94999999999999</v>
      </c>
      <c r="H453" s="103"/>
      <c r="I453" s="103">
        <f t="shared" si="6"/>
        <v>0</v>
      </c>
    </row>
    <row r="454" spans="1:9" s="4" customFormat="1">
      <c r="A454" s="230" t="s">
        <v>1050</v>
      </c>
      <c r="B454" s="121" t="s">
        <v>1405</v>
      </c>
      <c r="C454" s="112" t="s">
        <v>23</v>
      </c>
      <c r="D454" s="112" t="s">
        <v>808</v>
      </c>
      <c r="E454" s="114" t="s">
        <v>388</v>
      </c>
      <c r="F454" s="159">
        <v>80</v>
      </c>
      <c r="G454" s="103">
        <v>159.94999999999999</v>
      </c>
      <c r="H454" s="103"/>
      <c r="I454" s="103">
        <f t="shared" si="6"/>
        <v>0</v>
      </c>
    </row>
    <row r="455" spans="1:9" s="4" customFormat="1">
      <c r="A455" s="230" t="s">
        <v>1051</v>
      </c>
      <c r="B455" s="121" t="s">
        <v>1406</v>
      </c>
      <c r="C455" s="112" t="s">
        <v>23</v>
      </c>
      <c r="D455" s="112" t="s">
        <v>808</v>
      </c>
      <c r="E455" s="114" t="s">
        <v>24</v>
      </c>
      <c r="F455" s="159">
        <v>80</v>
      </c>
      <c r="G455" s="103">
        <v>159.94999999999999</v>
      </c>
      <c r="H455" s="103"/>
      <c r="I455" s="103">
        <f t="shared" si="6"/>
        <v>0</v>
      </c>
    </row>
    <row r="456" spans="1:9" s="4" customFormat="1">
      <c r="A456" s="230" t="s">
        <v>1052</v>
      </c>
      <c r="B456" s="121" t="s">
        <v>1407</v>
      </c>
      <c r="C456" s="112" t="s">
        <v>23</v>
      </c>
      <c r="D456" s="112" t="s">
        <v>808</v>
      </c>
      <c r="E456" s="114" t="s">
        <v>25</v>
      </c>
      <c r="F456" s="159">
        <v>80</v>
      </c>
      <c r="G456" s="103">
        <v>159.94999999999999</v>
      </c>
      <c r="H456" s="103"/>
      <c r="I456" s="103">
        <f t="shared" si="6"/>
        <v>0</v>
      </c>
    </row>
    <row r="457" spans="1:9" s="4" customFormat="1">
      <c r="A457" s="230" t="s">
        <v>1053</v>
      </c>
      <c r="B457" s="121" t="s">
        <v>1408</v>
      </c>
      <c r="C457" s="112" t="s">
        <v>23</v>
      </c>
      <c r="D457" s="112" t="s">
        <v>808</v>
      </c>
      <c r="E457" s="114" t="s">
        <v>26</v>
      </c>
      <c r="F457" s="159">
        <v>80</v>
      </c>
      <c r="G457" s="103">
        <v>159.94999999999999</v>
      </c>
      <c r="H457" s="103"/>
      <c r="I457" s="103">
        <f t="shared" si="6"/>
        <v>0</v>
      </c>
    </row>
    <row r="458" spans="1:9" s="4" customFormat="1">
      <c r="A458" s="230" t="s">
        <v>1054</v>
      </c>
      <c r="B458" s="121" t="s">
        <v>1409</v>
      </c>
      <c r="C458" s="112" t="s">
        <v>23</v>
      </c>
      <c r="D458" s="112" t="s">
        <v>808</v>
      </c>
      <c r="E458" s="114" t="s">
        <v>27</v>
      </c>
      <c r="F458" s="159">
        <v>80</v>
      </c>
      <c r="G458" s="103">
        <v>159.94999999999999</v>
      </c>
      <c r="H458" s="103"/>
      <c r="I458" s="103">
        <f t="shared" si="6"/>
        <v>0</v>
      </c>
    </row>
    <row r="459" spans="1:9" s="4" customFormat="1">
      <c r="A459" s="230" t="s">
        <v>1055</v>
      </c>
      <c r="B459" s="121" t="s">
        <v>1410</v>
      </c>
      <c r="C459" s="112" t="s">
        <v>23</v>
      </c>
      <c r="D459" s="112" t="s">
        <v>808</v>
      </c>
      <c r="E459" s="114" t="s">
        <v>28</v>
      </c>
      <c r="F459" s="159">
        <v>80</v>
      </c>
      <c r="G459" s="103">
        <v>159.94999999999999</v>
      </c>
      <c r="H459" s="103"/>
      <c r="I459" s="103">
        <f t="shared" si="6"/>
        <v>0</v>
      </c>
    </row>
    <row r="460" spans="1:9" s="4" customFormat="1">
      <c r="A460" s="230" t="s">
        <v>1056</v>
      </c>
      <c r="B460" s="121" t="s">
        <v>1411</v>
      </c>
      <c r="C460" s="112" t="s">
        <v>23</v>
      </c>
      <c r="D460" s="112" t="s">
        <v>808</v>
      </c>
      <c r="E460" s="114" t="s">
        <v>35</v>
      </c>
      <c r="F460" s="159">
        <v>80</v>
      </c>
      <c r="G460" s="103">
        <v>159.94999999999999</v>
      </c>
      <c r="H460" s="103"/>
      <c r="I460" s="103">
        <f t="shared" si="6"/>
        <v>0</v>
      </c>
    </row>
    <row r="461" spans="1:9" s="2" customFormat="1">
      <c r="A461" s="104" t="s">
        <v>312</v>
      </c>
      <c r="B461" s="111" t="s">
        <v>620</v>
      </c>
      <c r="C461" s="112" t="s">
        <v>32</v>
      </c>
      <c r="D461" s="112" t="s">
        <v>0</v>
      </c>
      <c r="E461" s="114" t="s">
        <v>55</v>
      </c>
      <c r="F461" s="143">
        <v>18</v>
      </c>
      <c r="G461" s="19">
        <v>35.950000000000003</v>
      </c>
      <c r="H461" s="103"/>
      <c r="I461" s="103">
        <f>H461*F461</f>
        <v>0</v>
      </c>
    </row>
    <row r="462" spans="1:9" s="2" customFormat="1">
      <c r="A462" s="104" t="s">
        <v>313</v>
      </c>
      <c r="B462" s="111" t="s">
        <v>617</v>
      </c>
      <c r="C462" s="112" t="s">
        <v>32</v>
      </c>
      <c r="D462" s="112" t="s">
        <v>9</v>
      </c>
      <c r="E462" s="114" t="s">
        <v>55</v>
      </c>
      <c r="F462" s="143">
        <v>18</v>
      </c>
      <c r="G462" s="19">
        <v>35.950000000000003</v>
      </c>
      <c r="H462" s="103"/>
      <c r="I462" s="103">
        <f>H462*F462</f>
        <v>0</v>
      </c>
    </row>
    <row r="463" spans="1:9" s="2" customFormat="1">
      <c r="A463" s="104" t="s">
        <v>314</v>
      </c>
      <c r="B463" s="111" t="s">
        <v>618</v>
      </c>
      <c r="C463" s="112" t="s">
        <v>32</v>
      </c>
      <c r="D463" s="112" t="s">
        <v>22</v>
      </c>
      <c r="E463" s="114" t="s">
        <v>55</v>
      </c>
      <c r="F463" s="143">
        <v>18</v>
      </c>
      <c r="G463" s="19">
        <v>35.950000000000003</v>
      </c>
      <c r="H463" s="103"/>
      <c r="I463" s="103">
        <f>H463*F463</f>
        <v>0</v>
      </c>
    </row>
    <row r="464" spans="1:9" s="2" customFormat="1">
      <c r="A464" s="104" t="s">
        <v>316</v>
      </c>
      <c r="B464" s="112" t="s">
        <v>616</v>
      </c>
      <c r="C464" s="112" t="s">
        <v>32</v>
      </c>
      <c r="D464" s="112" t="s">
        <v>15</v>
      </c>
      <c r="E464" s="114" t="s">
        <v>55</v>
      </c>
      <c r="F464" s="143">
        <v>18</v>
      </c>
      <c r="G464" s="19">
        <v>35.950000000000003</v>
      </c>
      <c r="H464" s="103"/>
      <c r="I464" s="103">
        <f>H464*F464</f>
        <v>0</v>
      </c>
    </row>
    <row r="465" spans="1:13" s="98" customFormat="1" ht="17" customHeight="1">
      <c r="A465" s="90"/>
      <c r="B465" s="91"/>
      <c r="C465" s="92"/>
      <c r="D465" s="93"/>
      <c r="E465" s="93"/>
      <c r="F465" s="141"/>
      <c r="G465" s="95" t="s">
        <v>1711</v>
      </c>
      <c r="H465" s="96">
        <f>SUM(H314:H464)</f>
        <v>0</v>
      </c>
      <c r="I465" s="97">
        <f>SUM(I314:I464)</f>
        <v>0</v>
      </c>
    </row>
    <row r="466" spans="1:13" s="84" customFormat="1">
      <c r="A466" s="90"/>
      <c r="B466" s="91"/>
      <c r="C466" s="99"/>
      <c r="D466" s="93"/>
      <c r="E466" s="93"/>
      <c r="F466" s="141"/>
      <c r="G466" s="94"/>
      <c r="H466" s="93"/>
      <c r="I466" s="94"/>
    </row>
    <row r="467" spans="1:13" s="11" customFormat="1">
      <c r="A467" s="25"/>
      <c r="B467" s="24"/>
      <c r="C467" s="24"/>
      <c r="D467" s="24"/>
      <c r="E467" s="24"/>
      <c r="F467" s="138"/>
      <c r="G467" s="20"/>
      <c r="H467" s="20"/>
      <c r="I467" s="20"/>
      <c r="J467" s="27"/>
      <c r="K467" s="27"/>
      <c r="L467" s="5"/>
      <c r="M467" s="5"/>
    </row>
    <row r="470" spans="1:13">
      <c r="A470" s="13"/>
      <c r="B470" s="16" t="s">
        <v>825</v>
      </c>
      <c r="C470" s="13"/>
      <c r="D470" s="13"/>
      <c r="E470" s="14"/>
      <c r="F470" s="161"/>
      <c r="G470" s="18"/>
      <c r="H470" s="17"/>
    </row>
  </sheetData>
  <phoneticPr fontId="5" type="noConversion"/>
  <pageMargins left="0.7" right="0.7" top="0.78740157499999996" bottom="0.78740157499999996" header="0.3" footer="0.3"/>
  <pageSetup paperSize="9"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Policy</vt:lpstr>
      <vt:lpstr>Eivy 22-23 Drop One</vt:lpstr>
      <vt:lpstr>Eivy 22-23 Drop Two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Hannes Spaeth</dc:creator>
  <cp:lastModifiedBy>Nitro Snowboards</cp:lastModifiedBy>
  <cp:lastPrinted>2015-12-16T11:57:34Z</cp:lastPrinted>
  <dcterms:created xsi:type="dcterms:W3CDTF">2015-12-02T14:45:16Z</dcterms:created>
  <dcterms:modified xsi:type="dcterms:W3CDTF">2022-01-12T02:30:40Z</dcterms:modified>
</cp:coreProperties>
</file>
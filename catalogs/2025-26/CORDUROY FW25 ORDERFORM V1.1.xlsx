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autoCompressPictures="0" defaultThemeVersion="166925"/>
  <mc:AlternateContent xmlns:mc="http://schemas.openxmlformats.org/markup-compatibility/2006">
    <mc:Choice Requires="x15">
      <x15ac:absPath xmlns:x15ac="http://schemas.microsoft.com/office/spreadsheetml/2010/11/ac" url="/Users/JeffreyRichards/Desktop/25.26 Docs/"/>
    </mc:Choice>
  </mc:AlternateContent>
  <xr:revisionPtr revIDLastSave="0" documentId="13_ncr:1_{4E54F5F6-38BD-4A4F-A424-A9374C19D17F}" xr6:coauthVersionLast="47" xr6:coauthVersionMax="47" xr10:uidLastSave="{00000000-0000-0000-0000-000000000000}"/>
  <bookViews>
    <workbookView xWindow="31840" yWindow="1400" windowWidth="26940" windowHeight="20200" activeTab="2" xr2:uid="{00000000-000D-0000-FFFF-FFFF00000000}"/>
  </bookViews>
  <sheets>
    <sheet name="Summary" sheetId="1" r:id="rId1"/>
    <sheet name="Policy" sheetId="2" r:id="rId2"/>
    <sheet name="FW25 Orderform"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114" i="3" l="1"/>
  <c r="C25" i="1" s="1"/>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59" i="3"/>
  <c r="M113" i="3"/>
  <c r="L113" i="3"/>
  <c r="B113" i="3"/>
  <c r="A113" i="3"/>
  <c r="M112" i="3"/>
  <c r="L112" i="3"/>
  <c r="B112" i="3"/>
  <c r="A112" i="3"/>
  <c r="M111" i="3"/>
  <c r="L111" i="3"/>
  <c r="B111" i="3"/>
  <c r="A111" i="3"/>
  <c r="M110" i="3"/>
  <c r="L110" i="3"/>
  <c r="B110" i="3"/>
  <c r="A110" i="3"/>
  <c r="M109" i="3"/>
  <c r="L109" i="3"/>
  <c r="B109" i="3"/>
  <c r="A109" i="3"/>
  <c r="M108" i="3"/>
  <c r="L108" i="3"/>
  <c r="B108" i="3"/>
  <c r="A108" i="3"/>
  <c r="M107" i="3"/>
  <c r="L107" i="3"/>
  <c r="B107" i="3"/>
  <c r="A107" i="3"/>
  <c r="M106" i="3"/>
  <c r="L106" i="3"/>
  <c r="B106" i="3"/>
  <c r="A106" i="3"/>
  <c r="M105" i="3"/>
  <c r="L105" i="3"/>
  <c r="B105" i="3"/>
  <c r="A105" i="3"/>
  <c r="M104" i="3"/>
  <c r="L104" i="3"/>
  <c r="B104" i="3"/>
  <c r="A104" i="3"/>
  <c r="M103" i="3"/>
  <c r="L103" i="3"/>
  <c r="B103" i="3"/>
  <c r="A103" i="3"/>
  <c r="M102" i="3"/>
  <c r="L102" i="3"/>
  <c r="B102" i="3"/>
  <c r="A102" i="3"/>
  <c r="M101" i="3"/>
  <c r="L101" i="3"/>
  <c r="B101" i="3"/>
  <c r="A101" i="3"/>
  <c r="M100" i="3"/>
  <c r="L100" i="3"/>
  <c r="B100" i="3"/>
  <c r="A100" i="3"/>
  <c r="M99" i="3"/>
  <c r="L99" i="3"/>
  <c r="B99" i="3"/>
  <c r="A99"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11" i="3"/>
  <c r="M57" i="3"/>
  <c r="L57" i="3"/>
  <c r="B57" i="3"/>
  <c r="A57" i="3"/>
  <c r="M56" i="3"/>
  <c r="L56" i="3"/>
  <c r="B56" i="3"/>
  <c r="A56" i="3"/>
  <c r="M55" i="3"/>
  <c r="L55" i="3"/>
  <c r="B55" i="3"/>
  <c r="A55" i="3"/>
  <c r="M54" i="3"/>
  <c r="L54" i="3"/>
  <c r="B54" i="3"/>
  <c r="A54" i="3"/>
  <c r="L53" i="3"/>
  <c r="L49" i="3"/>
  <c r="L48" i="3"/>
  <c r="L47" i="3"/>
  <c r="L46" i="3"/>
  <c r="L45" i="3"/>
  <c r="L44" i="3"/>
  <c r="L43" i="3"/>
  <c r="L42" i="3"/>
  <c r="M53" i="3"/>
  <c r="B53" i="3"/>
  <c r="A53" i="3"/>
  <c r="M52" i="3"/>
  <c r="L52" i="3"/>
  <c r="B52" i="3"/>
  <c r="A52" i="3"/>
  <c r="M51" i="3"/>
  <c r="L51" i="3"/>
  <c r="B51" i="3"/>
  <c r="A51" i="3"/>
  <c r="M50" i="3"/>
  <c r="L50" i="3"/>
  <c r="B50" i="3"/>
  <c r="A50" i="3"/>
  <c r="M49" i="3"/>
  <c r="B49" i="3"/>
  <c r="A49" i="3"/>
  <c r="M48" i="3"/>
  <c r="B48" i="3"/>
  <c r="A48" i="3"/>
  <c r="M47" i="3"/>
  <c r="B47" i="3"/>
  <c r="A47" i="3"/>
  <c r="M46" i="3"/>
  <c r="B46" i="3"/>
  <c r="A46" i="3"/>
  <c r="M45" i="3"/>
  <c r="B45" i="3"/>
  <c r="A45" i="3"/>
  <c r="M44" i="3"/>
  <c r="B44" i="3"/>
  <c r="A44" i="3"/>
  <c r="M43" i="3"/>
  <c r="B43" i="3"/>
  <c r="A43" i="3"/>
  <c r="M42" i="3"/>
  <c r="B42" i="3"/>
  <c r="A42" i="3"/>
  <c r="L41" i="3"/>
  <c r="L40" i="3"/>
  <c r="L39" i="3"/>
  <c r="L38" i="3"/>
  <c r="L36" i="3"/>
  <c r="L35" i="3"/>
  <c r="L34" i="3"/>
  <c r="L33" i="3"/>
  <c r="L32" i="3"/>
  <c r="L31" i="3"/>
  <c r="L30" i="3"/>
  <c r="L29" i="3"/>
  <c r="L28" i="3"/>
  <c r="L27" i="3"/>
  <c r="L26" i="3"/>
  <c r="L25" i="3"/>
  <c r="L24" i="3"/>
  <c r="L23" i="3"/>
  <c r="L22" i="3"/>
  <c r="L21" i="3"/>
  <c r="L20" i="3"/>
  <c r="L19" i="3"/>
  <c r="L18" i="3"/>
  <c r="L17" i="3"/>
  <c r="L16" i="3"/>
  <c r="L15" i="3"/>
  <c r="L14" i="3"/>
  <c r="L13" i="3"/>
  <c r="L12" i="3"/>
  <c r="L11" i="3"/>
  <c r="L114" i="3" s="1"/>
  <c r="L59" i="3"/>
  <c r="M141" i="3"/>
  <c r="B141" i="3"/>
  <c r="A141" i="3"/>
  <c r="M140" i="3"/>
  <c r="B140" i="3"/>
  <c r="A140" i="3"/>
  <c r="M139" i="3"/>
  <c r="B139" i="3"/>
  <c r="A139" i="3"/>
  <c r="M138" i="3"/>
  <c r="B138" i="3"/>
  <c r="A138" i="3"/>
  <c r="M137" i="3"/>
  <c r="B137" i="3"/>
  <c r="A137" i="3"/>
  <c r="M136" i="3"/>
  <c r="B136" i="3"/>
  <c r="A136" i="3"/>
  <c r="M135" i="3"/>
  <c r="B135" i="3"/>
  <c r="A135" i="3"/>
  <c r="M134" i="3"/>
  <c r="B134" i="3"/>
  <c r="A134" i="3"/>
  <c r="M133" i="3"/>
  <c r="B133" i="3"/>
  <c r="A133" i="3"/>
  <c r="M132" i="3"/>
  <c r="B132" i="3"/>
  <c r="A132" i="3"/>
  <c r="M131" i="3"/>
  <c r="L98" i="3"/>
  <c r="B131" i="3"/>
  <c r="A131" i="3"/>
  <c r="M130" i="3"/>
  <c r="L97" i="3"/>
  <c r="B130" i="3"/>
  <c r="A130" i="3"/>
  <c r="M129" i="3"/>
  <c r="L96" i="3"/>
  <c r="B129" i="3"/>
  <c r="A129" i="3"/>
  <c r="M128" i="3"/>
  <c r="L95" i="3"/>
  <c r="B128" i="3"/>
  <c r="A128" i="3"/>
  <c r="M127" i="3"/>
  <c r="L94" i="3"/>
  <c r="B127" i="3"/>
  <c r="A127" i="3"/>
  <c r="M126" i="3"/>
  <c r="L93" i="3"/>
  <c r="B126" i="3"/>
  <c r="A126" i="3"/>
  <c r="M125" i="3"/>
  <c r="L92" i="3"/>
  <c r="B125" i="3"/>
  <c r="A125" i="3"/>
  <c r="M124" i="3"/>
  <c r="L91" i="3"/>
  <c r="B124" i="3"/>
  <c r="A124" i="3"/>
  <c r="M123" i="3"/>
  <c r="L90" i="3"/>
  <c r="B123" i="3"/>
  <c r="A123" i="3"/>
  <c r="M122" i="3"/>
  <c r="L89" i="3"/>
  <c r="B122" i="3"/>
  <c r="A122" i="3"/>
  <c r="M121" i="3"/>
  <c r="L88" i="3"/>
  <c r="B121" i="3"/>
  <c r="A121" i="3"/>
  <c r="M120" i="3"/>
  <c r="L87" i="3"/>
  <c r="B120" i="3"/>
  <c r="A120" i="3"/>
  <c r="M119" i="3"/>
  <c r="L86" i="3"/>
  <c r="B119" i="3"/>
  <c r="A119" i="3"/>
  <c r="M118" i="3"/>
  <c r="L85" i="3"/>
  <c r="B118" i="3"/>
  <c r="A118" i="3"/>
  <c r="M117" i="3"/>
  <c r="L84" i="3"/>
  <c r="B117" i="3"/>
  <c r="A117" i="3"/>
  <c r="M116" i="3"/>
  <c r="L83" i="3"/>
  <c r="B116" i="3"/>
  <c r="A116" i="3"/>
  <c r="M115" i="3"/>
  <c r="L82" i="3"/>
  <c r="B115" i="3"/>
  <c r="A115" i="3"/>
  <c r="M114" i="3"/>
  <c r="L81" i="3"/>
  <c r="B114" i="3"/>
  <c r="A114" i="3"/>
  <c r="M98" i="3"/>
  <c r="L80" i="3"/>
  <c r="B98" i="3"/>
  <c r="A98" i="3"/>
  <c r="M97" i="3"/>
  <c r="L79" i="3"/>
  <c r="B97" i="3"/>
  <c r="A97" i="3"/>
  <c r="M96" i="3"/>
  <c r="L78" i="3"/>
  <c r="B96" i="3"/>
  <c r="A96" i="3"/>
  <c r="M95" i="3"/>
  <c r="L77" i="3"/>
  <c r="B95" i="3"/>
  <c r="A95" i="3"/>
  <c r="M94" i="3"/>
  <c r="L76" i="3"/>
  <c r="B94" i="3"/>
  <c r="A94" i="3"/>
  <c r="M93" i="3"/>
  <c r="L75" i="3"/>
  <c r="B93" i="3"/>
  <c r="A93" i="3"/>
  <c r="M92" i="3"/>
  <c r="L74" i="3"/>
  <c r="B92" i="3"/>
  <c r="A92" i="3"/>
  <c r="M91" i="3"/>
  <c r="L73" i="3"/>
  <c r="B91" i="3"/>
  <c r="A91" i="3"/>
  <c r="M90" i="3"/>
  <c r="L72" i="3"/>
  <c r="B90" i="3"/>
  <c r="A90" i="3"/>
  <c r="M89" i="3"/>
  <c r="L71" i="3"/>
  <c r="B89" i="3"/>
  <c r="A89" i="3"/>
  <c r="M88" i="3"/>
  <c r="L70" i="3"/>
  <c r="B88" i="3"/>
  <c r="A88" i="3"/>
  <c r="M87" i="3"/>
  <c r="L69" i="3"/>
  <c r="B87" i="3"/>
  <c r="A87" i="3"/>
  <c r="M86" i="3"/>
  <c r="L68" i="3"/>
  <c r="B86" i="3"/>
  <c r="A86" i="3"/>
  <c r="M85" i="3"/>
  <c r="L67" i="3"/>
  <c r="B85" i="3"/>
  <c r="A85" i="3"/>
  <c r="M84" i="3"/>
  <c r="L66" i="3"/>
  <c r="B84" i="3"/>
  <c r="A84" i="3"/>
  <c r="M83" i="3"/>
  <c r="L65" i="3"/>
  <c r="B83" i="3"/>
  <c r="A83" i="3"/>
  <c r="M82" i="3"/>
  <c r="L64" i="3"/>
  <c r="B82" i="3"/>
  <c r="A82" i="3"/>
  <c r="M81" i="3"/>
  <c r="L63" i="3"/>
  <c r="B81" i="3"/>
  <c r="A81" i="3"/>
  <c r="M80" i="3"/>
  <c r="L62" i="3"/>
  <c r="B80" i="3"/>
  <c r="A80" i="3"/>
  <c r="M79" i="3"/>
  <c r="L61" i="3"/>
  <c r="B79" i="3"/>
  <c r="A79" i="3"/>
  <c r="M78" i="3"/>
  <c r="L60" i="3"/>
  <c r="B78" i="3"/>
  <c r="A78" i="3"/>
  <c r="M77" i="3"/>
  <c r="B77" i="3"/>
  <c r="A77" i="3"/>
  <c r="M76" i="3"/>
  <c r="B76" i="3"/>
  <c r="A76" i="3"/>
  <c r="M75" i="3"/>
  <c r="B75" i="3"/>
  <c r="A75" i="3"/>
  <c r="M74" i="3"/>
  <c r="B74" i="3"/>
  <c r="A74" i="3"/>
  <c r="M73" i="3"/>
  <c r="B73" i="3"/>
  <c r="A73" i="3"/>
  <c r="M72" i="3"/>
  <c r="B72" i="3"/>
  <c r="A72" i="3"/>
  <c r="M71" i="3"/>
  <c r="B71" i="3"/>
  <c r="A71" i="3"/>
  <c r="M70" i="3"/>
  <c r="B70" i="3"/>
  <c r="A70" i="3"/>
  <c r="M69" i="3"/>
  <c r="B69" i="3"/>
  <c r="A69" i="3"/>
  <c r="M68" i="3"/>
  <c r="B68" i="3"/>
  <c r="A68" i="3"/>
  <c r="M67" i="3"/>
  <c r="B67" i="3"/>
  <c r="A67" i="3"/>
  <c r="M66" i="3"/>
  <c r="B66" i="3"/>
  <c r="A66" i="3"/>
  <c r="M65" i="3"/>
  <c r="B65" i="3"/>
  <c r="A65" i="3"/>
  <c r="M64" i="3"/>
  <c r="B64" i="3"/>
  <c r="A64" i="3"/>
  <c r="M63" i="3"/>
  <c r="B63" i="3"/>
  <c r="A63" i="3"/>
  <c r="M62" i="3"/>
  <c r="B62" i="3"/>
  <c r="A62" i="3"/>
  <c r="M61" i="3"/>
  <c r="B61" i="3"/>
  <c r="A61" i="3"/>
  <c r="M60" i="3"/>
  <c r="B60" i="3"/>
  <c r="A60" i="3"/>
  <c r="M59" i="3"/>
  <c r="B59" i="3"/>
  <c r="A59" i="3"/>
  <c r="M58" i="3"/>
  <c r="B58" i="3"/>
  <c r="A58" i="3"/>
  <c r="M41" i="3"/>
  <c r="B41" i="3"/>
  <c r="A41" i="3"/>
  <c r="M40" i="3"/>
  <c r="B40" i="3"/>
  <c r="A40" i="3"/>
  <c r="M39" i="3"/>
  <c r="B39" i="3"/>
  <c r="A39" i="3"/>
  <c r="M38" i="3"/>
  <c r="B38" i="3"/>
  <c r="A38" i="3"/>
  <c r="M37" i="3"/>
  <c r="L37" i="3"/>
  <c r="B37" i="3"/>
  <c r="A37" i="3"/>
  <c r="M36" i="3"/>
  <c r="B36" i="3"/>
  <c r="A36" i="3"/>
  <c r="M35" i="3"/>
  <c r="B35" i="3"/>
  <c r="A35" i="3"/>
  <c r="M34" i="3"/>
  <c r="B34" i="3"/>
  <c r="A34" i="3"/>
  <c r="M33" i="3"/>
  <c r="B33" i="3"/>
  <c r="A33" i="3"/>
  <c r="M32" i="3"/>
  <c r="B32" i="3"/>
  <c r="A32" i="3"/>
  <c r="M31" i="3"/>
  <c r="B31" i="3"/>
  <c r="A31" i="3"/>
  <c r="M30" i="3"/>
  <c r="B30" i="3"/>
  <c r="A30" i="3"/>
  <c r="M29" i="3"/>
  <c r="B29" i="3"/>
  <c r="A29" i="3"/>
  <c r="M28" i="3"/>
  <c r="B28" i="3"/>
  <c r="A28" i="3"/>
  <c r="M27" i="3"/>
  <c r="B27" i="3"/>
  <c r="A27" i="3"/>
  <c r="M26" i="3"/>
  <c r="B26" i="3"/>
  <c r="A26" i="3"/>
  <c r="M25" i="3"/>
  <c r="B25" i="3"/>
  <c r="A25" i="3"/>
  <c r="M24" i="3"/>
  <c r="B24" i="3"/>
  <c r="A24" i="3"/>
  <c r="M23" i="3"/>
  <c r="B23" i="3"/>
  <c r="A23" i="3"/>
  <c r="M22" i="3"/>
  <c r="B22" i="3"/>
  <c r="A22" i="3"/>
  <c r="M21" i="3"/>
  <c r="B21" i="3"/>
  <c r="A21" i="3"/>
  <c r="M20" i="3"/>
  <c r="B20" i="3"/>
  <c r="A20" i="3"/>
  <c r="M19" i="3"/>
  <c r="B19" i="3"/>
  <c r="A19" i="3"/>
  <c r="M18" i="3"/>
  <c r="B18" i="3"/>
  <c r="A18" i="3"/>
  <c r="M17" i="3"/>
  <c r="B17" i="3"/>
  <c r="A17" i="3"/>
  <c r="M16" i="3"/>
  <c r="B16" i="3"/>
  <c r="A16" i="3"/>
  <c r="M15" i="3"/>
  <c r="B15" i="3"/>
  <c r="A15" i="3"/>
  <c r="M14" i="3"/>
  <c r="B14" i="3"/>
  <c r="A14" i="3"/>
  <c r="M13" i="3"/>
  <c r="B13" i="3"/>
  <c r="A13" i="3"/>
  <c r="M12" i="3"/>
  <c r="B12" i="3"/>
  <c r="A12" i="3"/>
  <c r="M11" i="3"/>
  <c r="B11" i="3"/>
  <c r="A11" i="3"/>
  <c r="E25" i="1" l="1"/>
  <c r="K7" i="3"/>
</calcChain>
</file>

<file path=xl/sharedStrings.xml><?xml version="1.0" encoding="utf-8"?>
<sst xmlns="http://schemas.openxmlformats.org/spreadsheetml/2006/main" count="587" uniqueCount="374">
  <si>
    <t>QUANTITY</t>
  </si>
  <si>
    <t>TOTAL</t>
  </si>
  <si>
    <t>BLACK</t>
  </si>
  <si>
    <t>M</t>
  </si>
  <si>
    <t>L</t>
  </si>
  <si>
    <t>XL</t>
  </si>
  <si>
    <t>SKU</t>
  </si>
  <si>
    <t>AUTUMN HEADWEAR</t>
  </si>
  <si>
    <t>FOUNDRY DISTRIBUTION</t>
  </si>
  <si>
    <t>3602 VIA TERRA ST.</t>
  </si>
  <si>
    <t>SALT LAKE CITY, UT  84115</t>
  </si>
  <si>
    <t>801-994-6484</t>
  </si>
  <si>
    <t>Ship To</t>
  </si>
  <si>
    <t>Bill To</t>
  </si>
  <si>
    <t>Store Name</t>
  </si>
  <si>
    <t>Address</t>
  </si>
  <si>
    <t>City</t>
  </si>
  <si>
    <t>State</t>
  </si>
  <si>
    <t>Zip</t>
  </si>
  <si>
    <t>Tel #</t>
  </si>
  <si>
    <t>Email</t>
  </si>
  <si>
    <t>Notes:</t>
  </si>
  <si>
    <t>Total QTY</t>
  </si>
  <si>
    <t>Total Value</t>
  </si>
  <si>
    <t>Customer PO #</t>
  </si>
  <si>
    <t>Ship Date</t>
  </si>
  <si>
    <t>Delivery Start</t>
  </si>
  <si>
    <t>CREDIT TERMS &amp; LIMITS</t>
  </si>
  <si>
    <t>* Booking terms are Net 30 from the date of delivery (On Approved Credit).</t>
  </si>
  <si>
    <t xml:space="preserve">* After the expiration date all backorders will be shipped on regular terms. </t>
  </si>
  <si>
    <t>* Discounts may be given as a credit at time of on-time payment, for dealers with previous payment history concerns.</t>
  </si>
  <si>
    <t>* Pricing may be adjusted for currency decline.</t>
  </si>
  <si>
    <t>* Please fill out order form completely, including signature at bottom.</t>
  </si>
  <si>
    <t>* PDC's may be required on orders over $ 5,000.</t>
  </si>
  <si>
    <t xml:space="preserve">* All orders are subject to credit approval by AUTUMN Internatioanl and may be rejected without cause or liability.  </t>
  </si>
  <si>
    <t>* Orders submitted after the order deadline will not qualify for discounts and terms.</t>
  </si>
  <si>
    <t xml:space="preserve">* Dealer must receive written approval to sell products outside of approved store location(s). </t>
  </si>
  <si>
    <t xml:space="preserve">* Sale of products through auctions, or online is prohibited via mail order, online sales and online auctions is strictly forbidden. </t>
  </si>
  <si>
    <t>** Account must be in good standing, with updated and accurate information. Account will be placed on hold in the event that a dealer account falls from good standing</t>
  </si>
  <si>
    <t xml:space="preserve">** Payment terms may not be adjusted unless approved through AUTUMN International Accounting Department. </t>
  </si>
  <si>
    <t>DELIVERY</t>
  </si>
  <si>
    <t>* AUTUMN reserves the right to choose shipping methods.</t>
  </si>
  <si>
    <t>* Packing Slip will be attached to outside of box.  In larger orders with multiple boxes, the packing slip will be attached to the first box.</t>
  </si>
  <si>
    <t>* AUTUMN reserves the right to charge a 15% re-stocking fee in the case of dealer refusal.</t>
  </si>
  <si>
    <t>*AUTUMN reserves the right to deliver up to 14 days prior to dealer's requested delivery date without notification or permission.</t>
  </si>
  <si>
    <t>* COD Shipments under $ 5,000 will be shipped without Dealer Authorization.</t>
  </si>
  <si>
    <t>ORDER CHANGES (REORDERS &amp; CANCELLATIONS)</t>
  </si>
  <si>
    <t>* Order adjustments / cancellations must be submitted in writing</t>
  </si>
  <si>
    <t xml:space="preserve">* All orders placed after the order deadline will be considered reorders and do not qualify for preseason discounts. </t>
  </si>
  <si>
    <t>* AUTUMN reserves the right to substitute reorder products that are not available.</t>
  </si>
  <si>
    <t>* AUTUMN reserves the right to adjust discounts to reflect new order value.</t>
  </si>
  <si>
    <t>NEW ACCOUNTS</t>
  </si>
  <si>
    <t>* Dealers must complete a dealer authorization and credit application, and receive approval before placing an order.</t>
  </si>
  <si>
    <t xml:space="preserve"> ALL SALES ARE SUBJECT TO TERMS AND CONDITIONS OF AUTUMN INTERNATIONAL'S AUTHORIZED DEALER APPLICATION </t>
  </si>
  <si>
    <t>ORANGE</t>
  </si>
  <si>
    <t>SIZE</t>
  </si>
  <si>
    <t>WHITE</t>
  </si>
  <si>
    <t>PURPLE</t>
  </si>
  <si>
    <t>RED</t>
  </si>
  <si>
    <t>PINK</t>
  </si>
  <si>
    <t>BROWN</t>
  </si>
  <si>
    <t>NAVY</t>
  </si>
  <si>
    <t>ORDER DEADLINE:</t>
  </si>
  <si>
    <t>E-MAIL:</t>
  </si>
  <si>
    <t>UPC</t>
  </si>
  <si>
    <t>DESCRIPTION</t>
  </si>
  <si>
    <t>WHSL</t>
  </si>
  <si>
    <t>RETAIL</t>
  </si>
  <si>
    <t>EXT</t>
  </si>
  <si>
    <t>S</t>
  </si>
  <si>
    <t>XXL</t>
  </si>
  <si>
    <t>NATURAL</t>
  </si>
  <si>
    <t>* 3% surcharge will be applied to orders purchased with credit card. Subject to ship as ready.</t>
  </si>
  <si>
    <t>* To qualify for AUTUMN  or CORDUROY's Booking Terms, your account must be current in good standing.</t>
  </si>
  <si>
    <t>* Dealer pricing can fluctuate according to currency vs. Jan 1, 2025</t>
  </si>
  <si>
    <t>* Earliest Delivery date is October 1, 2024 or later.</t>
  </si>
  <si>
    <t>* Cancel date for product not shipped is December 31, 2024 or later.</t>
  </si>
  <si>
    <t>OS</t>
  </si>
  <si>
    <t>PO NUMBER:</t>
  </si>
  <si>
    <t>FW25 ORDERFORM</t>
  </si>
  <si>
    <t xml:space="preserve">FALL / WINTER 2025-2026 CORDUROY </t>
  </si>
  <si>
    <t>FEBRUARY 15TH, 2025</t>
  </si>
  <si>
    <t>00810125827204</t>
  </si>
  <si>
    <t>A26509-01</t>
  </si>
  <si>
    <t>1-800 BEANIE</t>
  </si>
  <si>
    <t>00810125827211</t>
  </si>
  <si>
    <t>A26509-02</t>
  </si>
  <si>
    <t>00810125827327</t>
  </si>
  <si>
    <t>A26515-01</t>
  </si>
  <si>
    <t>PAISLEY BEANIE</t>
  </si>
  <si>
    <t>00810125827334</t>
  </si>
  <si>
    <t>A26515-02</t>
  </si>
  <si>
    <t>00810125827303</t>
  </si>
  <si>
    <t>A26514-01</t>
  </si>
  <si>
    <t>CAMINAL BEANIE</t>
  </si>
  <si>
    <t>00810125827310</t>
  </si>
  <si>
    <t>A26514-02</t>
  </si>
  <si>
    <t>00810125827341</t>
  </si>
  <si>
    <t>A26516-01</t>
  </si>
  <si>
    <t>50/50 CORD BEANIE</t>
  </si>
  <si>
    <t>00810125827358</t>
  </si>
  <si>
    <t>A26516-02</t>
  </si>
  <si>
    <t>00810125827105</t>
  </si>
  <si>
    <t>A26503-01</t>
  </si>
  <si>
    <t>CHECKMATE REVERSIBLE SKULLY</t>
  </si>
  <si>
    <t>00810125827112</t>
  </si>
  <si>
    <t>A26503-02</t>
  </si>
  <si>
    <t>00810125827044</t>
  </si>
  <si>
    <t>A26500-01</t>
  </si>
  <si>
    <t>COBWEB REVERSIBLE SKULLY</t>
  </si>
  <si>
    <t>00810125827051</t>
  </si>
  <si>
    <t>A26500-02</t>
  </si>
  <si>
    <t>00810125827068</t>
  </si>
  <si>
    <t>A26501-01</t>
  </si>
  <si>
    <t>SHADOW PLAID REVERSIBLE SKULLY</t>
  </si>
  <si>
    <t>00810125827075</t>
  </si>
  <si>
    <t>A26501-02</t>
  </si>
  <si>
    <t>00810125827129</t>
  </si>
  <si>
    <t>A26504-01</t>
  </si>
  <si>
    <t>NO REGRETS REVERSIBLE SKULLY</t>
  </si>
  <si>
    <t>00810125827136</t>
  </si>
  <si>
    <t>A26504-02</t>
  </si>
  <si>
    <t>00810125827228</t>
  </si>
  <si>
    <t>A26510-01</t>
  </si>
  <si>
    <t>DEADLUNG BEANIE</t>
  </si>
  <si>
    <t>00810125827235</t>
  </si>
  <si>
    <t>A26510-02</t>
  </si>
  <si>
    <t>00810125827143</t>
  </si>
  <si>
    <t>A26505-01</t>
  </si>
  <si>
    <t>DIGITAL MTN SKULLY</t>
  </si>
  <si>
    <t>GREEN</t>
  </si>
  <si>
    <t>BLUE</t>
  </si>
  <si>
    <t>KHAKI</t>
  </si>
  <si>
    <t>COLOR</t>
  </si>
  <si>
    <t>00810125827181</t>
  </si>
  <si>
    <t>A26508-01</t>
  </si>
  <si>
    <t>FOS SKULLY</t>
  </si>
  <si>
    <t>00810125827198</t>
  </si>
  <si>
    <t>A26508-02</t>
  </si>
  <si>
    <t>00810125827266</t>
  </si>
  <si>
    <t>A26512-01</t>
  </si>
  <si>
    <t>SWEATAWEATHA BEANIE</t>
  </si>
  <si>
    <t>00810125827273</t>
  </si>
  <si>
    <t>A26512-02</t>
  </si>
  <si>
    <t>00810125827242</t>
  </si>
  <si>
    <t>A26511-01</t>
  </si>
  <si>
    <t>TRIBAL CAMO BEANIE</t>
  </si>
  <si>
    <t>00810125827259</t>
  </si>
  <si>
    <t>A26511-02</t>
  </si>
  <si>
    <t>00810125827280</t>
  </si>
  <si>
    <t>A26513-01</t>
  </si>
  <si>
    <t>WILDFLOWER BEANIE</t>
  </si>
  <si>
    <t>00810125827297</t>
  </si>
  <si>
    <t>A26513-02</t>
  </si>
  <si>
    <t>00810125827082</t>
  </si>
  <si>
    <t>A26502-01</t>
  </si>
  <si>
    <t>TRIBALWIRE REVERSIBLE SKULLY</t>
  </si>
  <si>
    <t>00810125827099</t>
  </si>
  <si>
    <t>A26502-02</t>
  </si>
  <si>
    <t>00810125827150</t>
  </si>
  <si>
    <t>A26506-01</t>
  </si>
  <si>
    <t>WASTELAND SKULLY</t>
  </si>
  <si>
    <t>00810125827167</t>
  </si>
  <si>
    <t>A26506-02</t>
  </si>
  <si>
    <t>LIGHT BROWN</t>
  </si>
  <si>
    <t>00810125827174</t>
  </si>
  <si>
    <t>A26507-01</t>
  </si>
  <si>
    <t>DOBUNEZUMI SKULLY</t>
  </si>
  <si>
    <t>00810125827365</t>
  </si>
  <si>
    <t>A26517-01</t>
  </si>
  <si>
    <t>TIDAL EARFLAP BEANIE</t>
  </si>
  <si>
    <t>00810125827372</t>
  </si>
  <si>
    <t>A26518-01</t>
  </si>
  <si>
    <t>COSMOS EARFLAP BEANIE</t>
  </si>
  <si>
    <t>00810125827389</t>
  </si>
  <si>
    <t>A26519-01</t>
  </si>
  <si>
    <t>1-800 SKI MASK</t>
  </si>
  <si>
    <t>00810125827419</t>
  </si>
  <si>
    <t>A26522-01</t>
  </si>
  <si>
    <t>TRIBAL CAMO SKI MASK</t>
  </si>
  <si>
    <t>00810125827396</t>
  </si>
  <si>
    <t>A26520-01</t>
  </si>
  <si>
    <t>DEADLUNG SKI MASK</t>
  </si>
  <si>
    <t>00810125827402</t>
  </si>
  <si>
    <t>A26521-01</t>
  </si>
  <si>
    <t>CHECKMATE SKI MASK</t>
  </si>
  <si>
    <t>00810125827501</t>
  </si>
  <si>
    <t>A26529-01</t>
  </si>
  <si>
    <t>FLEECE TRAPPER</t>
  </si>
  <si>
    <t>00810125827495</t>
  </si>
  <si>
    <t>A26528-01</t>
  </si>
  <si>
    <t>FLEECE BUCKET HAT</t>
  </si>
  <si>
    <t>00810125827426</t>
  </si>
  <si>
    <t>A26523-01</t>
  </si>
  <si>
    <t>FLEECE HEAD BAND</t>
  </si>
  <si>
    <t>00810125827471</t>
  </si>
  <si>
    <t>A26526-01</t>
  </si>
  <si>
    <t>FLEECE CAMP CAP</t>
  </si>
  <si>
    <t>00810125827488</t>
  </si>
  <si>
    <t>A26527-01</t>
  </si>
  <si>
    <t>FLEECE 6 PANEL CAP</t>
  </si>
  <si>
    <t>GREY</t>
  </si>
  <si>
    <t>PLAID</t>
  </si>
  <si>
    <t>00810125827433</t>
  </si>
  <si>
    <t>A26524-01</t>
  </si>
  <si>
    <t>FLEECE BEANIE</t>
  </si>
  <si>
    <t>00810125827440</t>
  </si>
  <si>
    <t>A26524-02</t>
  </si>
  <si>
    <t>00810125827457</t>
  </si>
  <si>
    <t>A26525-01</t>
  </si>
  <si>
    <t>FLEECE TASSLE BEANIE</t>
  </si>
  <si>
    <t>00810125827464</t>
  </si>
  <si>
    <t>A26525-02</t>
  </si>
  <si>
    <t>TIE DYE</t>
  </si>
  <si>
    <t>APPAREL</t>
  </si>
  <si>
    <t>00810183364796</t>
  </si>
  <si>
    <t>A26544-01S</t>
  </si>
  <si>
    <t>NEO S/S TEE S</t>
  </si>
  <si>
    <t>00810183364802</t>
  </si>
  <si>
    <t>A26544-01M</t>
  </si>
  <si>
    <t>NEO S/S TEE M</t>
  </si>
  <si>
    <t>00810183364819</t>
  </si>
  <si>
    <t>A26544-01L</t>
  </si>
  <si>
    <t>NEO S/S TEE L</t>
  </si>
  <si>
    <t>00810183364826</t>
  </si>
  <si>
    <t>A26544-01XL</t>
  </si>
  <si>
    <t>NEO S/S TEE XL</t>
  </si>
  <si>
    <t>00810183364833</t>
  </si>
  <si>
    <t>A26544-01XXL</t>
  </si>
  <si>
    <t>NEO S/S TEE XXL</t>
  </si>
  <si>
    <t>00810183364840</t>
  </si>
  <si>
    <t>A26547-01S</t>
  </si>
  <si>
    <t>TRAPPED S/S TEE S</t>
  </si>
  <si>
    <t>00810183364857</t>
  </si>
  <si>
    <t>A26547-01M</t>
  </si>
  <si>
    <t>TRAPPED S/S TEE M</t>
  </si>
  <si>
    <t>00810183364864</t>
  </si>
  <si>
    <t>A26547-01L</t>
  </si>
  <si>
    <t>TRAPPED S/S TEE L</t>
  </si>
  <si>
    <t>00810183364871</t>
  </si>
  <si>
    <t>A26547-01XL</t>
  </si>
  <si>
    <t>TRAPPED S/S TEE XL</t>
  </si>
  <si>
    <t>00810183364888</t>
  </si>
  <si>
    <t>A26547-01XXL</t>
  </si>
  <si>
    <t>TRAPPED S/S TEE XXL</t>
  </si>
  <si>
    <t>00810183364895</t>
  </si>
  <si>
    <t>A26545-01S</t>
  </si>
  <si>
    <t>JACK O S/S TEE S</t>
  </si>
  <si>
    <t>00810183364901</t>
  </si>
  <si>
    <t>A26545-01M</t>
  </si>
  <si>
    <t>JACK O S/S TEE M</t>
  </si>
  <si>
    <t>00810183364918</t>
  </si>
  <si>
    <t>A26545-01L</t>
  </si>
  <si>
    <t>JACK O S/S TEE L</t>
  </si>
  <si>
    <t>00810183364925</t>
  </si>
  <si>
    <t>A26545-01XL</t>
  </si>
  <si>
    <t>JACK O S/S TEE XL</t>
  </si>
  <si>
    <t>00810183364932</t>
  </si>
  <si>
    <t>A26545-01XXL</t>
  </si>
  <si>
    <t>JACK O S/S TEE XXL</t>
  </si>
  <si>
    <t>00810183364949</t>
  </si>
  <si>
    <t>A26546-01S</t>
  </si>
  <si>
    <t>LUNGIELAND S/S TEE S</t>
  </si>
  <si>
    <t>HEATHER GREY</t>
  </si>
  <si>
    <t>00810183364956</t>
  </si>
  <si>
    <t>A26546-01M</t>
  </si>
  <si>
    <t>LUNGIELAND S/S TEE M</t>
  </si>
  <si>
    <t>00810183364963</t>
  </si>
  <si>
    <t>A26546-01L</t>
  </si>
  <si>
    <t>LUNGIELAND S/S TEE L</t>
  </si>
  <si>
    <t>00810183364970</t>
  </si>
  <si>
    <t>A26546-01XL</t>
  </si>
  <si>
    <t>LUNGIELAND S/S TEE XL</t>
  </si>
  <si>
    <t>00810183364987</t>
  </si>
  <si>
    <t>A26546-01XXL</t>
  </si>
  <si>
    <t>LUNGIELAND S/S TEE XXL</t>
  </si>
  <si>
    <t>00810183364994</t>
  </si>
  <si>
    <t>A26541-01S</t>
  </si>
  <si>
    <t>FOS ZIP HOODIE S</t>
  </si>
  <si>
    <t>00810183365007</t>
  </si>
  <si>
    <t>A26541-01M</t>
  </si>
  <si>
    <t>FOS ZIP HOODIE M</t>
  </si>
  <si>
    <t>00810183365014</t>
  </si>
  <si>
    <t>A26541-01L</t>
  </si>
  <si>
    <t>FOS ZIP HOODIE L</t>
  </si>
  <si>
    <t>00810183365021</t>
  </si>
  <si>
    <t>A26541-01XL</t>
  </si>
  <si>
    <t>FOS ZIP HOODIE XL</t>
  </si>
  <si>
    <t>00810183365038</t>
  </si>
  <si>
    <t>A26541-01XXL</t>
  </si>
  <si>
    <t>FOS ZIP HOODIE XXL</t>
  </si>
  <si>
    <t>00810183365045</t>
  </si>
  <si>
    <t>A26543-01S</t>
  </si>
  <si>
    <t>NO REGRETS HOODIE S</t>
  </si>
  <si>
    <t>00810183365052</t>
  </si>
  <si>
    <t>A26543-01M</t>
  </si>
  <si>
    <t>NO REGRETS HOODIE M</t>
  </si>
  <si>
    <t>00810183365069</t>
  </si>
  <si>
    <t>A26543-01L</t>
  </si>
  <si>
    <t>NO REGRETS HOODIE L</t>
  </si>
  <si>
    <t>00810183365076</t>
  </si>
  <si>
    <t>A26543-01XL</t>
  </si>
  <si>
    <t>NO REGRETS HOODIE XL</t>
  </si>
  <si>
    <t>00810183365083</t>
  </si>
  <si>
    <t>A26543-01XXL</t>
  </si>
  <si>
    <t>NO REGRETS HOODIE XXL</t>
  </si>
  <si>
    <t>00810183365090</t>
  </si>
  <si>
    <t>A26542-01S</t>
  </si>
  <si>
    <t>MELTDOWN HOODIE S</t>
  </si>
  <si>
    <t>00810183365106</t>
  </si>
  <si>
    <t>A26542-01M</t>
  </si>
  <si>
    <t>MELTDOWN HOODIE M</t>
  </si>
  <si>
    <t>00810183365113</t>
  </si>
  <si>
    <t>A26542-01L</t>
  </si>
  <si>
    <t>MELTDOWN HOODIE L</t>
  </si>
  <si>
    <t>00810183365120</t>
  </si>
  <si>
    <t>A26542-01XL</t>
  </si>
  <si>
    <t>MELTDOWN HOODIE XL</t>
  </si>
  <si>
    <t>00810183365137</t>
  </si>
  <si>
    <t>A26542-01XXL</t>
  </si>
  <si>
    <t>MELTDOWN HOODIE XXL</t>
  </si>
  <si>
    <t>00810183365144</t>
  </si>
  <si>
    <t>A26540-01S</t>
  </si>
  <si>
    <t>FLYER ZIP HOODIE S</t>
  </si>
  <si>
    <t>00810183365151</t>
  </si>
  <si>
    <t>A26540-01M</t>
  </si>
  <si>
    <t>FLYER ZIP HOODIE M</t>
  </si>
  <si>
    <t>00810183365168</t>
  </si>
  <si>
    <t>A26540-01L</t>
  </si>
  <si>
    <t>FLYER ZIP HOODIE L</t>
  </si>
  <si>
    <t>00810183365175</t>
  </si>
  <si>
    <t>A26540-01XL</t>
  </si>
  <si>
    <t>FLYER ZIP HOODIE XL</t>
  </si>
  <si>
    <t>00810183365182</t>
  </si>
  <si>
    <t>A26540-01XXL</t>
  </si>
  <si>
    <t>FLYER ZIP HOODIE XXL</t>
  </si>
  <si>
    <t>00810183365199</t>
  </si>
  <si>
    <t>A26530-02S</t>
  </si>
  <si>
    <t>FUZZ SWEATER S</t>
  </si>
  <si>
    <t>TRIBAL CAMO</t>
  </si>
  <si>
    <t>00810183365205</t>
  </si>
  <si>
    <t>A26530-02M</t>
  </si>
  <si>
    <t>FUZZ SWEATER M</t>
  </si>
  <si>
    <t>00810183365212</t>
  </si>
  <si>
    <t>A26530-02L</t>
  </si>
  <si>
    <t>FUZZ SWEATER L</t>
  </si>
  <si>
    <t>00810183365229</t>
  </si>
  <si>
    <t>A26530-02XL</t>
  </si>
  <si>
    <t>FUZZ SWEATER XL</t>
  </si>
  <si>
    <t>00810183365236</t>
  </si>
  <si>
    <t>A26530-02XXL</t>
  </si>
  <si>
    <t>FUZZ SWEATER XXL</t>
  </si>
  <si>
    <t>00810183365243</t>
  </si>
  <si>
    <t>A26530-01S</t>
  </si>
  <si>
    <t>TRIBALWIRE</t>
  </si>
  <si>
    <t>00810183365250</t>
  </si>
  <si>
    <t>A26530-01M</t>
  </si>
  <si>
    <t>00810183365267</t>
  </si>
  <si>
    <t>A26530-01L</t>
  </si>
  <si>
    <t>00810183365274</t>
  </si>
  <si>
    <t>A26530-01XL</t>
  </si>
  <si>
    <t>00810183365281</t>
  </si>
  <si>
    <t>A26530-01XXL</t>
  </si>
  <si>
    <t>00810183365298</t>
  </si>
  <si>
    <t>A26530-03S</t>
  </si>
  <si>
    <t>TIDAL BLUE</t>
  </si>
  <si>
    <t>00810183365304</t>
  </si>
  <si>
    <t>A26530-03M</t>
  </si>
  <si>
    <t>00810183365311</t>
  </si>
  <si>
    <t>A26530-03L</t>
  </si>
  <si>
    <t>00810183365328</t>
  </si>
  <si>
    <t>A26530-03XL</t>
  </si>
  <si>
    <t>00810183365335</t>
  </si>
  <si>
    <t>A26530-03XXL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</si>
</sst>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37">
    <font>
      <sz val="12"/>
      <color theme="1"/>
      <name val="Calibri"/>
      <family val="2"/>
      <scheme val="minor"/>
    </font>
    <font>
      <sz val="12"/>
      <color theme="1"/>
      <name val="Calibri"/>
      <family val="2"/>
      <scheme val="minor"/>
    </font>
    <font>
      <sz val="12"/>
      <color theme="0"/>
      <name val="Calibri"/>
      <family val="2"/>
      <scheme val="minor"/>
    </font>
    <font>
      <sz val="10"/>
      <color theme="1"/>
      <name val="Calibri"/>
      <family val="2"/>
      <scheme val="minor"/>
    </font>
    <font>
      <b/>
      <sz val="12"/>
      <color theme="1"/>
      <name val="Cordia New"/>
      <family val="2"/>
    </font>
    <font>
      <sz val="12"/>
      <color theme="1"/>
      <name val="Cordia New"/>
      <family val="2"/>
    </font>
    <font>
      <sz val="12"/>
      <color indexed="8"/>
      <name val="Cordia New"/>
      <family val="2"/>
    </font>
    <font>
      <b/>
      <sz val="12"/>
      <color rgb="FF000000"/>
      <name val="Cordia New"/>
      <family val="2"/>
    </font>
    <font>
      <u/>
      <sz val="12"/>
      <color theme="10"/>
      <name val="Calibri"/>
      <family val="2"/>
      <scheme val="minor"/>
    </font>
    <font>
      <sz val="8"/>
      <name val="Calibri"/>
      <family val="2"/>
      <scheme val="minor"/>
    </font>
    <font>
      <sz val="10"/>
      <color rgb="FF00B050"/>
      <name val="Texta"/>
    </font>
    <font>
      <sz val="24"/>
      <color rgb="FF00B050"/>
      <name val="Texta"/>
    </font>
    <font>
      <sz val="12"/>
      <color rgb="FF00B050"/>
      <name val="Calibri"/>
      <family val="2"/>
      <scheme val="minor"/>
    </font>
    <font>
      <b/>
      <sz val="26"/>
      <color rgb="FF00B050"/>
      <name val="Texta"/>
    </font>
    <font>
      <sz val="12"/>
      <color rgb="FF00B050"/>
      <name val="Texta"/>
    </font>
    <font>
      <sz val="12"/>
      <color rgb="FF00B050"/>
      <name val="Futura Medium"/>
    </font>
    <font>
      <b/>
      <sz val="26"/>
      <color rgb="FF00B050"/>
      <name val="Futura Medium"/>
    </font>
    <font>
      <sz val="10"/>
      <color rgb="FF00B050"/>
      <name val="Futura Medium"/>
    </font>
    <font>
      <sz val="24"/>
      <color rgb="FF00B050"/>
      <name val="Futura Medium"/>
    </font>
    <font>
      <b/>
      <sz val="12"/>
      <color rgb="FF00B050"/>
      <name val="Futura Medium"/>
    </font>
    <font>
      <b/>
      <sz val="10"/>
      <color rgb="FF00B050"/>
      <name val="Futura Medium"/>
    </font>
    <font>
      <b/>
      <sz val="16"/>
      <color rgb="FF00B050"/>
      <name val="Futura Medium"/>
    </font>
    <font>
      <b/>
      <sz val="12"/>
      <color theme="0"/>
      <name val="Calibri"/>
      <family val="2"/>
      <scheme val="minor"/>
    </font>
    <font>
      <sz val="11"/>
      <color theme="0"/>
      <name val="Calibri"/>
      <family val="2"/>
    </font>
    <font>
      <sz val="11"/>
      <color theme="1"/>
      <name val="Calibri"/>
      <family val="2"/>
    </font>
    <font>
      <b/>
      <sz val="11"/>
      <color theme="0"/>
      <name val="Calibri"/>
      <family val="2"/>
    </font>
    <font>
      <sz val="12"/>
      <color rgb="FF000000"/>
      <name val="Calibri"/>
      <family val="2"/>
      <scheme val="minor"/>
    </font>
    <font>
      <sz val="12"/>
      <color theme="1"/>
      <name val="Calibri"/>
      <family val="2"/>
    </font>
    <font>
      <sz val="10"/>
      <color rgb="FF7030A0"/>
      <name val="Futura Medium"/>
    </font>
    <font>
      <b/>
      <sz val="22"/>
      <color rgb="FF7030A0"/>
      <name val="Futura Medium"/>
    </font>
    <font>
      <sz val="24"/>
      <color rgb="FF7030A0"/>
      <name val="Futura Medium"/>
    </font>
    <font>
      <b/>
      <sz val="10"/>
      <color rgb="FF7030A0"/>
      <name val="Futura Medium"/>
    </font>
    <font>
      <sz val="12"/>
      <color rgb="FF7030A0"/>
      <name val="Futura Medium"/>
    </font>
    <font>
      <b/>
      <sz val="12"/>
      <color rgb="FF7030A0"/>
      <name val="Futura Medium"/>
    </font>
    <font>
      <u/>
      <sz val="12"/>
      <color rgb="FF7030A0"/>
      <name val="Futura Medium"/>
    </font>
    <font>
      <b/>
      <sz val="14"/>
      <color rgb="FF7030A0"/>
      <name val="Calibri"/>
      <family val="2"/>
    </font>
    <font>
      <sz val="12"/>
      <color rgb="FF040C28"/>
      <name val="Calibri Light"/>
      <family val="2"/>
      <scheme val="majo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9"/>
      </patternFill>
    </fill>
    <fill>
      <patternFill patternType="solid">
        <fgColor rgb="FFD9D9D9"/>
        <bgColor rgb="FF000000"/>
      </patternFill>
    </fill>
    <fill>
      <patternFill patternType="solid">
        <fgColor rgb="FF7030A0"/>
        <bgColor indexed="64"/>
      </patternFill>
    </fill>
    <fill>
      <patternFill patternType="solid">
        <fgColor theme="6" tint="0.59999389629810485"/>
        <bgColor indexed="64"/>
      </patternFill>
    </fill>
  </fills>
  <borders count="4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right/>
      <top/>
      <bottom style="thin">
        <color indexed="64"/>
      </bottom>
      <diagonal/>
    </border>
    <border>
      <left/>
      <right/>
      <top/>
      <bottom style="medium">
        <color rgb="FF7030A0"/>
      </bottom>
      <diagonal/>
    </border>
    <border>
      <left style="medium">
        <color rgb="FF7030A0"/>
      </left>
      <right style="medium">
        <color rgb="FF00B050"/>
      </right>
      <top style="medium">
        <color rgb="FF7030A0"/>
      </top>
      <bottom/>
      <diagonal/>
    </border>
    <border>
      <left style="medium">
        <color rgb="FF7030A0"/>
      </left>
      <right style="medium">
        <color rgb="FF7030A0"/>
      </right>
      <top style="medium">
        <color rgb="FF7030A0"/>
      </top>
      <bottom style="medium">
        <color rgb="FF7030A0"/>
      </bottom>
      <diagonal/>
    </border>
    <border>
      <left style="medium">
        <color rgb="FF00B050"/>
      </left>
      <right style="medium">
        <color rgb="FF00B050"/>
      </right>
      <top/>
      <bottom/>
      <diagonal/>
    </border>
    <border>
      <left style="medium">
        <color rgb="FF00B050"/>
      </left>
      <right style="medium">
        <color rgb="FF00B050"/>
      </right>
      <top style="medium">
        <color rgb="FF7030A0"/>
      </top>
      <bottom style="medium">
        <color rgb="FF7030A0"/>
      </bottom>
      <diagonal/>
    </border>
    <border>
      <left style="medium">
        <color rgb="FF00B050"/>
      </left>
      <right style="medium">
        <color rgb="FF00B050"/>
      </right>
      <top style="medium">
        <color rgb="FF7030A0"/>
      </top>
      <bottom/>
      <diagonal/>
    </border>
    <border>
      <left/>
      <right style="medium">
        <color rgb="FF7030A0"/>
      </right>
      <top/>
      <bottom/>
      <diagonal/>
    </border>
    <border>
      <left style="medium">
        <color rgb="FF7030A0"/>
      </left>
      <right style="medium">
        <color rgb="FF00B050"/>
      </right>
      <top style="medium">
        <color rgb="FF7030A0"/>
      </top>
      <bottom style="medium">
        <color rgb="FF7030A0"/>
      </bottom>
      <diagonal/>
    </border>
    <border>
      <left style="medium">
        <color rgb="FF7030A0"/>
      </left>
      <right/>
      <top/>
      <bottom/>
      <diagonal/>
    </border>
    <border>
      <left style="medium">
        <color rgb="FF7030A0"/>
      </left>
      <right/>
      <top style="medium">
        <color rgb="FF7030A0"/>
      </top>
      <bottom style="medium">
        <color rgb="FF7030A0"/>
      </bottom>
      <diagonal/>
    </border>
    <border>
      <left/>
      <right/>
      <top style="medium">
        <color rgb="FF7030A0"/>
      </top>
      <bottom/>
      <diagonal/>
    </border>
    <border>
      <left style="medium">
        <color rgb="FF00B050"/>
      </left>
      <right style="medium">
        <color rgb="FF7030A0"/>
      </right>
      <top style="medium">
        <color rgb="FF7030A0"/>
      </top>
      <bottom style="medium">
        <color rgb="FF7030A0"/>
      </bottom>
      <diagonal/>
    </border>
    <border>
      <left style="medium">
        <color rgb="FF00B050"/>
      </left>
      <right style="medium">
        <color rgb="FF7030A0"/>
      </right>
      <top style="medium">
        <color rgb="FF7030A0"/>
      </top>
      <bottom/>
      <diagonal/>
    </border>
    <border>
      <left/>
      <right/>
      <top style="medium">
        <color rgb="FF7030A0"/>
      </top>
      <bottom style="thin">
        <color indexed="64"/>
      </bottom>
      <diagonal/>
    </border>
    <border>
      <left/>
      <right style="medium">
        <color rgb="FF7030A0"/>
      </right>
      <top style="medium">
        <color rgb="FF7030A0"/>
      </top>
      <bottom/>
      <diagonal/>
    </border>
    <border>
      <left/>
      <right style="medium">
        <color rgb="FF7030A0"/>
      </right>
      <top style="medium">
        <color rgb="FF7030A0"/>
      </top>
      <bottom style="medium">
        <color rgb="FF7030A0"/>
      </bottom>
      <diagonal/>
    </border>
    <border>
      <left style="medium">
        <color rgb="FF7030A0"/>
      </left>
      <right style="medium">
        <color rgb="FF00B050"/>
      </right>
      <top/>
      <bottom/>
      <diagonal/>
    </border>
    <border>
      <left style="medium">
        <color rgb="FF00B050"/>
      </left>
      <right style="medium">
        <color rgb="FF7030A0"/>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medium">
        <color rgb="FF7030A0"/>
      </left>
      <right/>
      <top style="medium">
        <color rgb="FF7030A0"/>
      </top>
      <bottom/>
      <diagonal/>
    </border>
    <border>
      <left style="medium">
        <color rgb="FF7030A0"/>
      </left>
      <right/>
      <top/>
      <bottom style="medium">
        <color rgb="FF7030A0"/>
      </bottom>
      <diagonal/>
    </border>
    <border>
      <left/>
      <right style="medium">
        <color rgb="FF7030A0"/>
      </right>
      <top/>
      <bottom style="medium">
        <color rgb="FF7030A0"/>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164">
    <xf numFmtId="0" fontId="0" fillId="0" borderId="0" xfId="0"/>
    <xf numFmtId="0" fontId="5" fillId="0" borderId="0" xfId="0" applyFont="1"/>
    <xf numFmtId="1" fontId="7" fillId="0" borderId="0" xfId="0" applyNumberFormat="1" applyFont="1" applyAlignment="1">
      <alignment horizontal="left" vertical="center"/>
    </xf>
    <xf numFmtId="0" fontId="6" fillId="0" borderId="0" xfId="0" applyFont="1" applyAlignment="1">
      <alignment vertical="top" wrapText="1"/>
    </xf>
    <xf numFmtId="0" fontId="0" fillId="0" borderId="15" xfId="0" applyBorder="1" applyAlignment="1">
      <alignment horizontal="center"/>
    </xf>
    <xf numFmtId="0" fontId="23" fillId="3" borderId="0" xfId="0" applyFont="1" applyFill="1" applyAlignment="1">
      <alignment horizontal="center"/>
    </xf>
    <xf numFmtId="0" fontId="24" fillId="3" borderId="0" xfId="0" applyFont="1" applyFill="1" applyAlignment="1">
      <alignment horizontal="center"/>
    </xf>
    <xf numFmtId="0" fontId="24" fillId="3" borderId="0" xfId="0" applyFont="1" applyFill="1" applyAlignment="1">
      <alignment horizontal="left"/>
    </xf>
    <xf numFmtId="0" fontId="24" fillId="3" borderId="0" xfId="0" applyFont="1" applyFill="1"/>
    <xf numFmtId="0" fontId="2" fillId="3" borderId="0" xfId="0" applyFont="1" applyFill="1"/>
    <xf numFmtId="0" fontId="0" fillId="3" borderId="0" xfId="0" applyFill="1"/>
    <xf numFmtId="44" fontId="0" fillId="0" borderId="15" xfId="0" applyNumberFormat="1" applyBorder="1"/>
    <xf numFmtId="0" fontId="0" fillId="3" borderId="0" xfId="0" applyFill="1" applyAlignment="1">
      <alignment horizontal="center"/>
    </xf>
    <xf numFmtId="0" fontId="6" fillId="4" borderId="7" xfId="0" applyFont="1" applyFill="1" applyBorder="1" applyAlignment="1">
      <alignment horizontal="left" vertical="center"/>
    </xf>
    <xf numFmtId="1" fontId="6" fillId="4" borderId="0" xfId="0" applyNumberFormat="1" applyFont="1" applyFill="1" applyAlignment="1">
      <alignment horizontal="left" vertical="center"/>
    </xf>
    <xf numFmtId="1" fontId="6" fillId="4" borderId="8" xfId="0" applyNumberFormat="1" applyFont="1" applyFill="1" applyBorder="1" applyAlignment="1">
      <alignment horizontal="left" vertical="center"/>
    </xf>
    <xf numFmtId="0" fontId="6" fillId="4" borderId="9" xfId="0" applyFont="1" applyFill="1" applyBorder="1" applyAlignment="1">
      <alignment horizontal="left" vertical="center"/>
    </xf>
    <xf numFmtId="1" fontId="6" fillId="4" borderId="10" xfId="0" applyNumberFormat="1" applyFont="1" applyFill="1" applyBorder="1" applyAlignment="1">
      <alignment horizontal="left" vertical="center"/>
    </xf>
    <xf numFmtId="1" fontId="6" fillId="4" borderId="11" xfId="0" applyNumberFormat="1" applyFont="1" applyFill="1" applyBorder="1" applyAlignment="1">
      <alignment horizontal="left" vertical="center"/>
    </xf>
    <xf numFmtId="0" fontId="6" fillId="4" borderId="0" xfId="0" applyFont="1" applyFill="1" applyAlignment="1">
      <alignment vertical="center"/>
    </xf>
    <xf numFmtId="1" fontId="6" fillId="4" borderId="0" xfId="0" applyNumberFormat="1" applyFont="1" applyFill="1" applyAlignment="1">
      <alignment vertical="center"/>
    </xf>
    <xf numFmtId="0" fontId="6" fillId="4" borderId="4" xfId="0" applyFont="1" applyFill="1" applyBorder="1" applyAlignment="1">
      <alignment vertical="center"/>
    </xf>
    <xf numFmtId="1" fontId="6" fillId="4" borderId="5" xfId="0" applyNumberFormat="1" applyFont="1" applyFill="1" applyBorder="1" applyAlignment="1">
      <alignment vertical="center"/>
    </xf>
    <xf numFmtId="1" fontId="6" fillId="4" borderId="6" xfId="0" applyNumberFormat="1" applyFont="1" applyFill="1" applyBorder="1" applyAlignment="1">
      <alignment vertical="center"/>
    </xf>
    <xf numFmtId="0" fontId="6" fillId="4" borderId="7" xfId="0" applyFont="1" applyFill="1" applyBorder="1" applyAlignment="1">
      <alignment vertical="center"/>
    </xf>
    <xf numFmtId="1" fontId="6" fillId="4" borderId="8" xfId="0" applyNumberFormat="1" applyFont="1" applyFill="1" applyBorder="1" applyAlignment="1">
      <alignment vertical="center"/>
    </xf>
    <xf numFmtId="0" fontId="6" fillId="4" borderId="9" xfId="0" applyFont="1" applyFill="1" applyBorder="1" applyAlignment="1">
      <alignment vertical="center"/>
    </xf>
    <xf numFmtId="1" fontId="6" fillId="4" borderId="10" xfId="0" applyNumberFormat="1" applyFont="1" applyFill="1" applyBorder="1" applyAlignment="1">
      <alignment vertical="center"/>
    </xf>
    <xf numFmtId="1" fontId="6" fillId="4" borderId="11" xfId="0" applyNumberFormat="1" applyFont="1" applyFill="1" applyBorder="1" applyAlignment="1">
      <alignment vertical="center"/>
    </xf>
    <xf numFmtId="0" fontId="6" fillId="4" borderId="10" xfId="0" applyFont="1" applyFill="1" applyBorder="1" applyAlignment="1">
      <alignment vertical="center"/>
    </xf>
    <xf numFmtId="0" fontId="6" fillId="4" borderId="1" xfId="0" applyFont="1" applyFill="1" applyBorder="1" applyAlignment="1">
      <alignment vertical="center"/>
    </xf>
    <xf numFmtId="1" fontId="6" fillId="4" borderId="2" xfId="0" applyNumberFormat="1" applyFont="1" applyFill="1" applyBorder="1" applyAlignment="1">
      <alignment vertical="center"/>
    </xf>
    <xf numFmtId="1" fontId="6" fillId="4" borderId="3" xfId="0" applyNumberFormat="1" applyFont="1" applyFill="1" applyBorder="1" applyAlignment="1">
      <alignment vertical="center"/>
    </xf>
    <xf numFmtId="0" fontId="12" fillId="3" borderId="0" xfId="0" applyFont="1" applyFill="1" applyProtection="1">
      <protection locked="0"/>
    </xf>
    <xf numFmtId="0" fontId="0" fillId="3" borderId="0" xfId="0" applyFill="1" applyProtection="1">
      <protection locked="0"/>
    </xf>
    <xf numFmtId="0" fontId="13" fillId="3" borderId="0" xfId="0" applyFont="1" applyFill="1" applyAlignment="1" applyProtection="1">
      <alignment horizontal="left" vertical="center"/>
      <protection locked="0"/>
    </xf>
    <xf numFmtId="0" fontId="10" fillId="3" borderId="0" xfId="0" applyFont="1" applyFill="1" applyAlignment="1" applyProtection="1">
      <alignment vertical="center"/>
      <protection locked="0"/>
    </xf>
    <xf numFmtId="0" fontId="11" fillId="3" borderId="0" xfId="0" applyFont="1" applyFill="1" applyAlignment="1" applyProtection="1">
      <alignment horizontal="left" vertical="center"/>
      <protection locked="0"/>
    </xf>
    <xf numFmtId="0" fontId="14" fillId="3" borderId="0" xfId="0" applyFont="1" applyFill="1" applyProtection="1">
      <protection locked="0"/>
    </xf>
    <xf numFmtId="0" fontId="15" fillId="3" borderId="0" xfId="0" applyFont="1" applyFill="1" applyProtection="1">
      <protection locked="0"/>
    </xf>
    <xf numFmtId="0" fontId="16" fillId="3" borderId="0" xfId="0" applyFont="1" applyFill="1" applyAlignment="1" applyProtection="1">
      <alignment horizontal="left" vertical="center"/>
      <protection locked="0"/>
    </xf>
    <xf numFmtId="0" fontId="18" fillId="3" borderId="0" xfId="0" applyFont="1" applyFill="1" applyAlignment="1" applyProtection="1">
      <alignment horizontal="left" vertical="center"/>
      <protection locked="0"/>
    </xf>
    <xf numFmtId="0" fontId="19" fillId="3" borderId="0" xfId="0" applyFont="1" applyFill="1" applyProtection="1">
      <protection locked="0"/>
    </xf>
    <xf numFmtId="0" fontId="17" fillId="3" borderId="0" xfId="0" applyFont="1" applyFill="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3" fillId="3" borderId="0" xfId="0" applyFont="1" applyFill="1" applyAlignment="1">
      <alignment horizontal="center" vertical="center"/>
    </xf>
    <xf numFmtId="0" fontId="15" fillId="3" borderId="0" xfId="0" applyFont="1" applyFill="1" applyProtection="1">
      <protection hidden="1"/>
    </xf>
    <xf numFmtId="0" fontId="15" fillId="3" borderId="0" xfId="0" applyFont="1" applyFill="1" applyAlignment="1" applyProtection="1">
      <alignment horizontal="center"/>
      <protection hidden="1"/>
    </xf>
    <xf numFmtId="0" fontId="15" fillId="3" borderId="0" xfId="0" applyFont="1" applyFill="1" applyAlignment="1" applyProtection="1">
      <alignment horizontal="center" vertical="center"/>
      <protection hidden="1"/>
    </xf>
    <xf numFmtId="0" fontId="12" fillId="3" borderId="0" xfId="0" applyFont="1" applyFill="1" applyAlignment="1" applyProtection="1">
      <alignment horizontal="center"/>
      <protection hidden="1"/>
    </xf>
    <xf numFmtId="44" fontId="15" fillId="3" borderId="0" xfId="1" applyFont="1" applyFill="1" applyBorder="1" applyAlignment="1" applyProtection="1">
      <alignment horizontal="center"/>
      <protection hidden="1"/>
    </xf>
    <xf numFmtId="44" fontId="15" fillId="3" borderId="0" xfId="0" applyNumberFormat="1" applyFont="1" applyFill="1" applyAlignment="1" applyProtection="1">
      <alignment horizontal="center"/>
      <protection hidden="1"/>
    </xf>
    <xf numFmtId="0" fontId="2" fillId="3" borderId="0" xfId="0" applyFont="1" applyFill="1" applyAlignment="1">
      <alignment horizontal="center"/>
    </xf>
    <xf numFmtId="0" fontId="15" fillId="3" borderId="0" xfId="0" applyFont="1" applyFill="1" applyAlignment="1" applyProtection="1">
      <alignment horizontal="left" vertical="center"/>
      <protection hidden="1"/>
    </xf>
    <xf numFmtId="44" fontId="15" fillId="3" borderId="0" xfId="1" applyFont="1" applyFill="1" applyBorder="1" applyProtection="1">
      <protection hidden="1"/>
    </xf>
    <xf numFmtId="164" fontId="15" fillId="3" borderId="0" xfId="0" applyNumberFormat="1" applyFont="1" applyFill="1" applyAlignment="1" applyProtection="1">
      <alignment horizontal="center" vertical="center"/>
      <protection hidden="1"/>
    </xf>
    <xf numFmtId="0" fontId="15" fillId="3" borderId="0" xfId="0" applyFont="1" applyFill="1"/>
    <xf numFmtId="0" fontId="0" fillId="3" borderId="0" xfId="0" applyFill="1" applyAlignment="1">
      <alignment horizontal="left" vertical="center"/>
    </xf>
    <xf numFmtId="0" fontId="0" fillId="3" borderId="15" xfId="0" applyFill="1" applyBorder="1" applyAlignment="1">
      <alignment horizontal="center"/>
    </xf>
    <xf numFmtId="44" fontId="0" fillId="3" borderId="15" xfId="0" applyNumberFormat="1" applyFill="1" applyBorder="1"/>
    <xf numFmtId="0" fontId="24" fillId="0" borderId="0" xfId="0" applyFont="1" applyAlignment="1">
      <alignment horizontal="center"/>
    </xf>
    <xf numFmtId="0" fontId="26" fillId="0" borderId="15" xfId="0" applyFont="1" applyBorder="1" applyAlignment="1">
      <alignment horizontal="center"/>
    </xf>
    <xf numFmtId="0" fontId="26" fillId="5" borderId="15" xfId="0" applyFont="1" applyFill="1" applyBorder="1" applyAlignment="1">
      <alignment horizontal="center"/>
    </xf>
    <xf numFmtId="44" fontId="0" fillId="3" borderId="15" xfId="1" applyFont="1" applyFill="1" applyBorder="1"/>
    <xf numFmtId="49" fontId="0" fillId="0" borderId="15" xfId="0" applyNumberFormat="1" applyBorder="1" applyAlignment="1">
      <alignment horizontal="center"/>
    </xf>
    <xf numFmtId="49" fontId="0" fillId="2" borderId="15" xfId="0" applyNumberFormat="1" applyFill="1" applyBorder="1" applyAlignment="1">
      <alignment horizontal="center"/>
    </xf>
    <xf numFmtId="0" fontId="15" fillId="3" borderId="0" xfId="0" applyFont="1" applyFill="1" applyAlignment="1" applyProtection="1">
      <alignment horizontal="center" vertical="center"/>
      <protection hidden="1"/>
    </xf>
    <xf numFmtId="0" fontId="0" fillId="3" borderId="0" xfId="0" applyFill="1" applyAlignment="1" applyProtection="1">
      <alignment horizontal="center" vertical="center"/>
      <protection hidden="1"/>
    </xf>
    <xf numFmtId="49" fontId="21" fillId="3" borderId="0" xfId="0" applyNumberFormat="1" applyFont="1" applyFill="1" applyAlignment="1" applyProtection="1">
      <alignment horizontal="center" vertical="center"/>
      <protection hidden="1"/>
    </xf>
    <xf numFmtId="0" fontId="21" fillId="3" borderId="0" xfId="0" applyFont="1" applyFill="1" applyAlignment="1" applyProtection="1">
      <alignment horizontal="center" vertical="center"/>
      <protection hidden="1"/>
    </xf>
    <xf numFmtId="0" fontId="21" fillId="3" borderId="0" xfId="0" applyFont="1" applyFill="1" applyAlignment="1" applyProtection="1">
      <alignment horizontal="center"/>
      <protection hidden="1"/>
    </xf>
    <xf numFmtId="0" fontId="21" fillId="3" borderId="0" xfId="0" applyFont="1" applyFill="1" applyProtection="1">
      <protection hidden="1"/>
    </xf>
    <xf numFmtId="0" fontId="4" fillId="2" borderId="1" xfId="0" applyFont="1" applyFill="1"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4" fillId="2" borderId="12" xfId="0" applyFont="1" applyFill="1" applyBorder="1" applyAlignment="1">
      <alignment vertical="center"/>
    </xf>
    <xf numFmtId="0" fontId="0" fillId="0" borderId="13" xfId="0" applyBorder="1" applyAlignment="1">
      <alignment vertical="center"/>
    </xf>
    <xf numFmtId="0" fontId="0" fillId="0" borderId="14" xfId="0" applyBorder="1" applyAlignment="1">
      <alignment vertical="center"/>
    </xf>
    <xf numFmtId="0" fontId="28" fillId="3" borderId="0" xfId="0" applyFont="1" applyFill="1" applyAlignment="1" applyProtection="1">
      <alignment vertical="center"/>
      <protection locked="0"/>
    </xf>
    <xf numFmtId="0" fontId="29" fillId="3" borderId="0" xfId="0" applyFont="1" applyFill="1" applyAlignment="1" applyProtection="1">
      <alignment horizontal="center" vertical="center"/>
      <protection locked="0"/>
    </xf>
    <xf numFmtId="0" fontId="30" fillId="3" borderId="0" xfId="0" applyFont="1" applyFill="1" applyAlignment="1" applyProtection="1">
      <alignment horizontal="left" vertical="center"/>
      <protection locked="0"/>
    </xf>
    <xf numFmtId="0" fontId="31" fillId="3" borderId="0" xfId="0" applyFont="1" applyFill="1" applyAlignment="1" applyProtection="1">
      <alignment horizontal="center"/>
      <protection locked="0"/>
    </xf>
    <xf numFmtId="0" fontId="31" fillId="3" borderId="0" xfId="0" applyFont="1" applyFill="1" applyAlignment="1" applyProtection="1">
      <alignment horizontal="center" vertical="center"/>
      <protection locked="0"/>
    </xf>
    <xf numFmtId="0" fontId="28" fillId="3" borderId="0" xfId="0" applyFont="1" applyFill="1" applyAlignment="1" applyProtection="1">
      <alignment horizontal="center" vertical="center"/>
      <protection locked="0"/>
    </xf>
    <xf numFmtId="0" fontId="32" fillId="3" borderId="0" xfId="0" applyFont="1" applyFill="1" applyProtection="1">
      <protection locked="0"/>
    </xf>
    <xf numFmtId="0" fontId="32" fillId="3" borderId="0" xfId="0" applyFont="1" applyFill="1" applyBorder="1" applyProtection="1">
      <protection locked="0"/>
    </xf>
    <xf numFmtId="0" fontId="28" fillId="3" borderId="0" xfId="0" applyFont="1" applyFill="1" applyBorder="1" applyProtection="1">
      <protection locked="0"/>
    </xf>
    <xf numFmtId="0" fontId="33" fillId="3" borderId="0" xfId="0" applyFont="1" applyFill="1" applyBorder="1" applyAlignment="1" applyProtection="1">
      <alignment horizontal="center"/>
      <protection locked="0"/>
    </xf>
    <xf numFmtId="0" fontId="32" fillId="3" borderId="0" xfId="0" applyFont="1" applyFill="1" applyBorder="1" applyAlignment="1" applyProtection="1">
      <alignment horizontal="center"/>
      <protection locked="0"/>
    </xf>
    <xf numFmtId="0" fontId="32" fillId="3" borderId="0" xfId="0" applyFont="1" applyFill="1" applyBorder="1" applyProtection="1">
      <protection locked="0"/>
    </xf>
    <xf numFmtId="0" fontId="33" fillId="3" borderId="0" xfId="0" applyFont="1" applyFill="1" applyBorder="1" applyAlignment="1" applyProtection="1">
      <alignment horizontal="center"/>
      <protection locked="0"/>
    </xf>
    <xf numFmtId="0" fontId="33" fillId="3" borderId="0" xfId="0" applyFont="1" applyFill="1" applyBorder="1" applyProtection="1">
      <protection locked="0"/>
    </xf>
    <xf numFmtId="1" fontId="33" fillId="3" borderId="0" xfId="0" applyNumberFormat="1" applyFont="1" applyFill="1" applyBorder="1" applyAlignment="1" applyProtection="1">
      <alignment horizontal="center" vertical="center"/>
      <protection locked="0"/>
    </xf>
    <xf numFmtId="15" fontId="32" fillId="3" borderId="0" xfId="0" applyNumberFormat="1" applyFont="1" applyFill="1" applyBorder="1" applyProtection="1">
      <protection locked="0"/>
    </xf>
    <xf numFmtId="0" fontId="32" fillId="3" borderId="18" xfId="0" applyFont="1" applyFill="1" applyBorder="1" applyProtection="1">
      <protection locked="0"/>
    </xf>
    <xf numFmtId="49" fontId="32" fillId="3" borderId="18" xfId="0" applyNumberFormat="1" applyFont="1" applyFill="1" applyBorder="1" applyAlignment="1" applyProtection="1">
      <alignment horizontal="center"/>
      <protection locked="0"/>
    </xf>
    <xf numFmtId="15" fontId="33" fillId="3" borderId="18" xfId="0" applyNumberFormat="1" applyFont="1" applyFill="1" applyBorder="1" applyAlignment="1" applyProtection="1">
      <alignment horizontal="center"/>
      <protection locked="0"/>
    </xf>
    <xf numFmtId="15" fontId="32" fillId="3" borderId="18" xfId="0" applyNumberFormat="1" applyFont="1" applyFill="1" applyBorder="1" applyProtection="1">
      <protection locked="0"/>
    </xf>
    <xf numFmtId="49" fontId="32" fillId="3" borderId="21" xfId="0" applyNumberFormat="1" applyFont="1" applyFill="1" applyBorder="1" applyAlignment="1" applyProtection="1">
      <alignment horizontal="left"/>
      <protection locked="0"/>
    </xf>
    <xf numFmtId="0" fontId="32" fillId="3" borderId="25" xfId="0" applyFont="1" applyFill="1" applyBorder="1" applyAlignment="1" applyProtection="1">
      <alignment horizontal="center"/>
      <protection locked="0"/>
    </xf>
    <xf numFmtId="49" fontId="32" fillId="3" borderId="28" xfId="0" applyNumberFormat="1" applyFont="1" applyFill="1" applyBorder="1" applyAlignment="1" applyProtection="1">
      <alignment horizontal="left"/>
      <protection locked="0"/>
    </xf>
    <xf numFmtId="0" fontId="32" fillId="3" borderId="27" xfId="0" applyFont="1" applyFill="1" applyBorder="1" applyAlignment="1" applyProtection="1">
      <alignment horizontal="center"/>
      <protection locked="0"/>
    </xf>
    <xf numFmtId="49" fontId="32" fillId="3" borderId="21" xfId="0" applyNumberFormat="1" applyFont="1" applyFill="1" applyBorder="1" applyProtection="1">
      <protection locked="0"/>
    </xf>
    <xf numFmtId="49" fontId="34" fillId="3" borderId="21" xfId="2" applyNumberFormat="1" applyFont="1" applyFill="1" applyBorder="1" applyAlignment="1" applyProtection="1">
      <alignment horizontal="left"/>
      <protection locked="0"/>
    </xf>
    <xf numFmtId="0" fontId="32" fillId="3" borderId="19" xfId="0" applyFont="1" applyFill="1" applyBorder="1" applyProtection="1">
      <protection locked="0"/>
    </xf>
    <xf numFmtId="0" fontId="32" fillId="3" borderId="25" xfId="0" applyFont="1" applyFill="1" applyBorder="1" applyProtection="1">
      <protection locked="0"/>
    </xf>
    <xf numFmtId="0" fontId="32" fillId="3" borderId="29" xfId="0" applyFont="1" applyFill="1" applyBorder="1" applyProtection="1">
      <protection locked="0"/>
    </xf>
    <xf numFmtId="0" fontId="32" fillId="3" borderId="21" xfId="0" applyFont="1" applyFill="1" applyBorder="1" applyAlignment="1" applyProtection="1">
      <alignment horizontal="center"/>
      <protection locked="0"/>
    </xf>
    <xf numFmtId="15" fontId="33" fillId="3" borderId="21" xfId="0" applyNumberFormat="1" applyFont="1" applyFill="1" applyBorder="1" applyAlignment="1" applyProtection="1">
      <alignment horizontal="center"/>
      <protection locked="0"/>
    </xf>
    <xf numFmtId="0" fontId="33" fillId="3" borderId="29" xfId="0" applyFont="1" applyFill="1" applyBorder="1" applyProtection="1">
      <protection locked="0"/>
    </xf>
    <xf numFmtId="44" fontId="33" fillId="3" borderId="21" xfId="0" applyNumberFormat="1" applyFont="1" applyFill="1" applyBorder="1" applyProtection="1">
      <protection locked="0" hidden="1"/>
    </xf>
    <xf numFmtId="15" fontId="32" fillId="3" borderId="32" xfId="0" applyNumberFormat="1" applyFont="1" applyFill="1" applyBorder="1" applyAlignment="1" applyProtection="1">
      <alignment horizontal="center"/>
      <protection locked="0"/>
    </xf>
    <xf numFmtId="15" fontId="32" fillId="3" borderId="33" xfId="0" applyNumberFormat="1" applyFont="1" applyFill="1" applyBorder="1" applyAlignment="1" applyProtection="1">
      <alignment horizontal="center"/>
      <protection locked="0"/>
    </xf>
    <xf numFmtId="0" fontId="32" fillId="3" borderId="33" xfId="0" applyFont="1" applyFill="1" applyBorder="1" applyAlignment="1" applyProtection="1">
      <alignment horizontal="center"/>
      <protection locked="0"/>
    </xf>
    <xf numFmtId="0" fontId="33" fillId="3" borderId="34" xfId="0" applyFont="1" applyFill="1" applyBorder="1" applyAlignment="1" applyProtection="1">
      <alignment horizontal="center"/>
      <protection locked="0" hidden="1"/>
    </xf>
    <xf numFmtId="0" fontId="33" fillId="3" borderId="31" xfId="0" applyFont="1" applyFill="1" applyBorder="1" applyProtection="1">
      <protection locked="0"/>
    </xf>
    <xf numFmtId="0" fontId="32" fillId="3" borderId="21" xfId="0" applyFont="1" applyFill="1" applyBorder="1" applyProtection="1">
      <protection locked="0"/>
    </xf>
    <xf numFmtId="49" fontId="32" fillId="3" borderId="30" xfId="0" applyNumberFormat="1" applyFont="1" applyFill="1" applyBorder="1" applyAlignment="1" applyProtection="1">
      <alignment horizontal="center"/>
      <protection locked="0"/>
    </xf>
    <xf numFmtId="0" fontId="32" fillId="3" borderId="22" xfId="0" applyFont="1" applyFill="1" applyBorder="1" applyProtection="1">
      <protection locked="0"/>
    </xf>
    <xf numFmtId="0" fontId="32" fillId="3" borderId="23" xfId="0" applyFont="1" applyFill="1" applyBorder="1" applyProtection="1">
      <protection locked="0"/>
    </xf>
    <xf numFmtId="0" fontId="32" fillId="3" borderId="24" xfId="0" applyFont="1" applyFill="1" applyBorder="1" applyProtection="1">
      <protection locked="0"/>
    </xf>
    <xf numFmtId="0" fontId="33" fillId="3" borderId="25" xfId="0" applyFont="1" applyFill="1" applyBorder="1" applyAlignment="1" applyProtection="1">
      <alignment horizontal="center"/>
      <protection locked="0"/>
    </xf>
    <xf numFmtId="0" fontId="32" fillId="3" borderId="26" xfId="0" applyFont="1" applyFill="1" applyBorder="1" applyProtection="1">
      <protection locked="0"/>
    </xf>
    <xf numFmtId="0" fontId="32" fillId="3" borderId="30" xfId="0" applyFont="1" applyFill="1" applyBorder="1" applyProtection="1">
      <protection locked="0"/>
    </xf>
    <xf numFmtId="0" fontId="32" fillId="3" borderId="20" xfId="0" applyFont="1" applyFill="1" applyBorder="1" applyProtection="1">
      <protection locked="0"/>
    </xf>
    <xf numFmtId="0" fontId="32" fillId="3" borderId="31" xfId="0" applyFont="1" applyFill="1" applyBorder="1" applyProtection="1">
      <protection locked="0"/>
    </xf>
    <xf numFmtId="0" fontId="32" fillId="3" borderId="35" xfId="0" applyFont="1" applyFill="1" applyBorder="1" applyProtection="1">
      <protection locked="0"/>
    </xf>
    <xf numFmtId="0" fontId="32" fillId="3" borderId="36" xfId="0" applyFont="1" applyFill="1" applyBorder="1" applyProtection="1">
      <protection locked="0"/>
    </xf>
    <xf numFmtId="0" fontId="25" fillId="6" borderId="16" xfId="0" applyFont="1" applyFill="1" applyBorder="1" applyAlignment="1">
      <alignment horizontal="right"/>
    </xf>
    <xf numFmtId="0" fontId="25" fillId="6" borderId="16" xfId="0" applyFont="1" applyFill="1" applyBorder="1" applyAlignment="1">
      <alignment horizontal="right"/>
    </xf>
    <xf numFmtId="164" fontId="25" fillId="6" borderId="16" xfId="0" applyNumberFormat="1" applyFont="1" applyFill="1" applyBorder="1" applyAlignment="1">
      <alignment horizontal="center"/>
    </xf>
    <xf numFmtId="0" fontId="24" fillId="6" borderId="37" xfId="0" applyFont="1" applyFill="1" applyBorder="1" applyAlignment="1">
      <alignment horizontal="center" vertical="center"/>
    </xf>
    <xf numFmtId="0" fontId="25" fillId="6" borderId="38" xfId="0" applyFont="1" applyFill="1" applyBorder="1" applyAlignment="1">
      <alignment horizontal="right"/>
    </xf>
    <xf numFmtId="0" fontId="35" fillId="0" borderId="39" xfId="0" applyFont="1" applyBorder="1" applyAlignment="1">
      <alignment horizontal="center" vertical="center"/>
    </xf>
    <xf numFmtId="0" fontId="35" fillId="0" borderId="29" xfId="0" applyFont="1" applyBorder="1" applyAlignment="1">
      <alignment horizontal="center" vertical="center"/>
    </xf>
    <xf numFmtId="0" fontId="35" fillId="0" borderId="33" xfId="0" applyFont="1" applyBorder="1" applyAlignment="1">
      <alignment horizontal="center" vertical="center"/>
    </xf>
    <xf numFmtId="0" fontId="35" fillId="0" borderId="40" xfId="0" applyFont="1" applyBorder="1" applyAlignment="1">
      <alignment horizontal="center" vertical="center"/>
    </xf>
    <xf numFmtId="0" fontId="35" fillId="0" borderId="19" xfId="0" applyFont="1" applyBorder="1" applyAlignment="1">
      <alignment horizontal="center" vertical="center"/>
    </xf>
    <xf numFmtId="0" fontId="35" fillId="0" borderId="41" xfId="0" applyFont="1" applyBorder="1" applyAlignment="1">
      <alignment horizontal="center" vertical="center"/>
    </xf>
    <xf numFmtId="0" fontId="25" fillId="6" borderId="16" xfId="0" applyNumberFormat="1" applyFont="1" applyFill="1" applyBorder="1" applyAlignment="1">
      <alignment horizontal="center"/>
    </xf>
    <xf numFmtId="0" fontId="1" fillId="0" borderId="15" xfId="0" applyFont="1" applyBorder="1" applyAlignment="1">
      <alignment horizontal="center"/>
    </xf>
    <xf numFmtId="0" fontId="1" fillId="2" borderId="15" xfId="0" applyFont="1" applyFill="1" applyBorder="1" applyAlignment="1">
      <alignment horizontal="center"/>
    </xf>
    <xf numFmtId="0" fontId="36" fillId="0" borderId="15" xfId="0" applyFont="1" applyBorder="1" applyAlignment="1">
      <alignment horizontal="center"/>
    </xf>
    <xf numFmtId="8" fontId="27" fillId="0" borderId="15" xfId="0" applyNumberFormat="1" applyFont="1" applyBorder="1" applyAlignment="1">
      <alignment horizontal="center"/>
    </xf>
    <xf numFmtId="0" fontId="36" fillId="2" borderId="15" xfId="0" applyFont="1" applyFill="1" applyBorder="1" applyAlignment="1">
      <alignment horizontal="center"/>
    </xf>
    <xf numFmtId="8" fontId="27" fillId="2" borderId="15" xfId="0" applyNumberFormat="1" applyFont="1" applyFill="1" applyBorder="1" applyAlignment="1">
      <alignment horizontal="center"/>
    </xf>
    <xf numFmtId="0" fontId="26" fillId="7" borderId="15" xfId="0" applyFont="1" applyFill="1" applyBorder="1" applyAlignment="1">
      <alignment horizontal="center"/>
    </xf>
    <xf numFmtId="0" fontId="26" fillId="0" borderId="15" xfId="0" applyFont="1" applyFill="1" applyBorder="1" applyAlignment="1">
      <alignment horizontal="center"/>
    </xf>
    <xf numFmtId="0" fontId="23" fillId="6" borderId="15" xfId="0" applyFont="1" applyFill="1" applyBorder="1" applyAlignment="1">
      <alignment horizontal="left"/>
    </xf>
    <xf numFmtId="0" fontId="23" fillId="6" borderId="15" xfId="0" applyFont="1" applyFill="1" applyBorder="1"/>
    <xf numFmtId="0" fontId="23" fillId="6" borderId="15" xfId="0" applyFont="1" applyFill="1" applyBorder="1" applyAlignment="1">
      <alignment horizontal="center"/>
    </xf>
    <xf numFmtId="0" fontId="0" fillId="2" borderId="15" xfId="0" applyFill="1" applyBorder="1" applyAlignment="1">
      <alignment horizontal="center"/>
    </xf>
    <xf numFmtId="8" fontId="27" fillId="7" borderId="15" xfId="0" applyNumberFormat="1" applyFont="1" applyFill="1" applyBorder="1" applyAlignment="1">
      <alignment horizontal="center"/>
    </xf>
    <xf numFmtId="0" fontId="0" fillId="0" borderId="15" xfId="0" applyFill="1" applyBorder="1" applyAlignment="1">
      <alignment horizontal="center"/>
    </xf>
    <xf numFmtId="0" fontId="0" fillId="7" borderId="15" xfId="0" applyFill="1" applyBorder="1" applyAlignment="1">
      <alignment horizontal="center"/>
    </xf>
    <xf numFmtId="44" fontId="0" fillId="0" borderId="15" xfId="0" applyNumberFormat="1" applyFill="1" applyBorder="1"/>
    <xf numFmtId="44" fontId="0" fillId="7" borderId="15" xfId="0" applyNumberFormat="1" applyFill="1" applyBorder="1"/>
    <xf numFmtId="0" fontId="22" fillId="6" borderId="17" xfId="0" applyFont="1" applyFill="1" applyBorder="1" applyAlignment="1">
      <alignment horizontal="left" vertical="center"/>
    </xf>
    <xf numFmtId="0" fontId="0" fillId="0" borderId="17" xfId="0" applyBorder="1" applyAlignment="1">
      <alignment horizontal="left"/>
    </xf>
    <xf numFmtId="164" fontId="0" fillId="0" borderId="15" xfId="1" applyNumberFormat="1" applyFont="1" applyBorder="1" applyAlignment="1">
      <alignment horizontal="center"/>
    </xf>
    <xf numFmtId="164" fontId="0" fillId="2" borderId="15" xfId="1" applyNumberFormat="1" applyFont="1" applyFill="1" applyBorder="1" applyAlignment="1">
      <alignment horizontal="center"/>
    </xf>
    <xf numFmtId="164" fontId="0" fillId="0" borderId="15" xfId="1" applyNumberFormat="1" applyFont="1" applyFill="1" applyBorder="1" applyAlignment="1">
      <alignment horizontal="center"/>
    </xf>
    <xf numFmtId="49" fontId="0" fillId="0" borderId="15" xfId="0" applyNumberFormat="1" applyFill="1" applyBorder="1" applyAlignment="1">
      <alignment horizontal="center"/>
    </xf>
    <xf numFmtId="44" fontId="0" fillId="7" borderId="15" xfId="1" applyFont="1" applyFill="1" applyBorder="1"/>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942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2022929</xdr:colOff>
      <xdr:row>0</xdr:row>
      <xdr:rowOff>81644</xdr:rowOff>
    </xdr:from>
    <xdr:to>
      <xdr:col>4</xdr:col>
      <xdr:colOff>1064986</xdr:colOff>
      <xdr:row>6</xdr:row>
      <xdr:rowOff>25401</xdr:rowOff>
    </xdr:to>
    <xdr:pic>
      <xdr:nvPicPr>
        <xdr:cNvPr id="3" name="Picture 2">
          <a:extLst>
            <a:ext uri="{FF2B5EF4-FFF2-40B4-BE49-F238E27FC236}">
              <a16:creationId xmlns:a16="http://schemas.microsoft.com/office/drawing/2014/main" id="{E56769C6-085A-733C-16E4-6F1113966013}"/>
            </a:ext>
          </a:extLst>
        </xdr:cNvPr>
        <xdr:cNvPicPr>
          <a:picLocks noChangeAspect="1"/>
        </xdr:cNvPicPr>
      </xdr:nvPicPr>
      <xdr:blipFill>
        <a:blip xmlns:r="http://schemas.openxmlformats.org/officeDocument/2006/relationships" r:embed="rId1"/>
        <a:stretch>
          <a:fillRect/>
        </a:stretch>
      </xdr:blipFill>
      <xdr:spPr>
        <a:xfrm>
          <a:off x="4499429" y="81644"/>
          <a:ext cx="3251200" cy="135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152400</xdr:colOff>
      <xdr:row>1</xdr:row>
      <xdr:rowOff>114300</xdr:rowOff>
    </xdr:from>
    <xdr:to>
      <xdr:col>7</xdr:col>
      <xdr:colOff>901700</xdr:colOff>
      <xdr:row>4</xdr:row>
      <xdr:rowOff>25400</xdr:rowOff>
    </xdr:to>
    <xdr:pic>
      <xdr:nvPicPr>
        <xdr:cNvPr id="4" name="Picture 3">
          <a:extLst>
            <a:ext uri="{FF2B5EF4-FFF2-40B4-BE49-F238E27FC236}">
              <a16:creationId xmlns:a16="http://schemas.microsoft.com/office/drawing/2014/main" id="{D9825D74-6474-AC8E-0F27-9697D21E871D}"/>
            </a:ext>
          </a:extLst>
        </xdr:cNvPr>
        <xdr:cNvPicPr>
          <a:picLocks noChangeAspect="1"/>
        </xdr:cNvPicPr>
      </xdr:nvPicPr>
      <xdr:blipFill rotWithShape="1">
        <a:blip xmlns:r="http://schemas.openxmlformats.org/officeDocument/2006/relationships" r:embed="rId1"/>
        <a:srcRect t="15000" r="573" b="16666"/>
        <a:stretch/>
      </xdr:blipFill>
      <xdr:spPr>
        <a:xfrm>
          <a:off x="2667000" y="114300"/>
          <a:ext cx="4406900" cy="5207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opLeftCell="A7" zoomScale="140" zoomScaleNormal="140" workbookViewId="0">
      <selection activeCell="D28" sqref="D28"/>
    </sheetView>
  </sheetViews>
  <sheetFormatPr baseColWidth="10" defaultRowHeight="16"/>
  <cols>
    <col min="1" max="1" width="10.83203125" style="10"/>
    <col min="2" max="2" width="21.6640625" style="10" customWidth="1"/>
    <col min="3" max="3" width="38.6640625" style="57" bestFit="1" customWidth="1"/>
    <col min="4" max="4" width="16.5" style="10" customWidth="1"/>
    <col min="5" max="5" width="15.83203125" style="10" customWidth="1"/>
    <col min="6" max="6" width="10.83203125" style="10"/>
    <col min="7" max="7" width="13.1640625" style="10" customWidth="1"/>
    <col min="8" max="8" width="15.6640625" style="10" customWidth="1"/>
    <col min="9" max="16384" width="10.83203125" style="10"/>
  </cols>
  <sheetData>
    <row r="1" spans="1:9">
      <c r="A1" s="33"/>
      <c r="B1" s="34"/>
      <c r="C1" s="33"/>
      <c r="D1" s="33"/>
      <c r="E1" s="33"/>
      <c r="F1" s="33"/>
      <c r="G1" s="34"/>
      <c r="H1" s="33"/>
      <c r="I1" s="33"/>
    </row>
    <row r="2" spans="1:9">
      <c r="A2" s="33"/>
      <c r="B2" s="33"/>
      <c r="C2" s="33"/>
      <c r="D2" s="33"/>
      <c r="E2" s="33"/>
      <c r="F2" s="33"/>
      <c r="G2" s="33"/>
      <c r="H2" s="33"/>
      <c r="I2" s="33"/>
    </row>
    <row r="3" spans="1:9">
      <c r="A3" s="33"/>
      <c r="B3" s="33"/>
      <c r="C3" s="33"/>
      <c r="D3" s="33"/>
      <c r="E3" s="33"/>
      <c r="F3" s="33"/>
      <c r="G3" s="33"/>
      <c r="H3" s="33"/>
      <c r="I3" s="33"/>
    </row>
    <row r="4" spans="1:9">
      <c r="A4" s="33"/>
      <c r="B4" s="33"/>
      <c r="C4" s="33"/>
      <c r="D4" s="33"/>
      <c r="E4" s="33"/>
      <c r="F4" s="33"/>
      <c r="G4" s="33"/>
      <c r="H4" s="33"/>
      <c r="I4" s="33"/>
    </row>
    <row r="5" spans="1:9">
      <c r="A5" s="33"/>
      <c r="B5" s="33"/>
      <c r="C5" s="33"/>
      <c r="D5" s="33"/>
      <c r="E5" s="33"/>
      <c r="F5" s="33"/>
      <c r="G5" s="33"/>
      <c r="H5" s="33"/>
      <c r="I5" s="33"/>
    </row>
    <row r="6" spans="1:9" ht="33">
      <c r="A6" s="33"/>
      <c r="B6" s="35"/>
      <c r="C6" s="36"/>
      <c r="D6" s="36"/>
      <c r="E6" s="37"/>
      <c r="F6" s="37"/>
      <c r="G6" s="38"/>
      <c r="H6" s="38"/>
      <c r="I6" s="33"/>
    </row>
    <row r="7" spans="1:9" ht="35">
      <c r="A7" s="39"/>
      <c r="B7" s="40"/>
      <c r="C7" s="78"/>
      <c r="D7" s="79" t="s">
        <v>79</v>
      </c>
      <c r="E7" s="80"/>
      <c r="F7" s="41"/>
      <c r="G7" s="39"/>
      <c r="H7" s="39"/>
      <c r="I7" s="39"/>
    </row>
    <row r="8" spans="1:9" ht="14" customHeight="1">
      <c r="A8" s="39"/>
      <c r="B8" s="42"/>
      <c r="C8" s="78"/>
      <c r="D8" s="81" t="s">
        <v>7</v>
      </c>
      <c r="E8" s="80"/>
      <c r="F8" s="41"/>
      <c r="G8" s="39"/>
      <c r="H8" s="39"/>
      <c r="I8" s="39"/>
    </row>
    <row r="9" spans="1:9" s="45" customFormat="1" ht="15">
      <c r="A9" s="43"/>
      <c r="B9" s="44"/>
      <c r="C9" s="82"/>
      <c r="D9" s="82" t="s">
        <v>8</v>
      </c>
      <c r="E9" s="82"/>
      <c r="F9" s="44"/>
      <c r="G9" s="43"/>
      <c r="H9" s="43"/>
      <c r="I9" s="43"/>
    </row>
    <row r="10" spans="1:9" s="45" customFormat="1" ht="14" customHeight="1">
      <c r="A10" s="43"/>
      <c r="B10" s="43"/>
      <c r="C10" s="82"/>
      <c r="D10" s="83" t="s">
        <v>9</v>
      </c>
      <c r="E10" s="82"/>
      <c r="F10" s="44"/>
      <c r="G10" s="43"/>
      <c r="H10" s="43"/>
      <c r="I10" s="43"/>
    </row>
    <row r="11" spans="1:9" s="45" customFormat="1" ht="15" customHeight="1">
      <c r="A11" s="43"/>
      <c r="B11" s="43"/>
      <c r="C11" s="82"/>
      <c r="D11" s="83" t="s">
        <v>10</v>
      </c>
      <c r="E11" s="82"/>
      <c r="F11" s="44"/>
      <c r="G11" s="43"/>
      <c r="H11" s="43"/>
      <c r="I11" s="43"/>
    </row>
    <row r="12" spans="1:9" s="45" customFormat="1" ht="15" customHeight="1">
      <c r="A12" s="43"/>
      <c r="B12" s="43"/>
      <c r="C12" s="82"/>
      <c r="D12" s="83" t="s">
        <v>11</v>
      </c>
      <c r="E12" s="82"/>
      <c r="F12" s="44"/>
      <c r="G12" s="43"/>
      <c r="H12" s="43"/>
      <c r="I12" s="43"/>
    </row>
    <row r="13" spans="1:9" s="45" customFormat="1" ht="15" customHeight="1">
      <c r="A13" s="43"/>
      <c r="B13" s="43"/>
      <c r="C13" s="44"/>
      <c r="D13" s="43"/>
      <c r="E13" s="44"/>
      <c r="F13" s="44"/>
      <c r="G13" s="43"/>
      <c r="H13" s="43"/>
      <c r="I13" s="43"/>
    </row>
    <row r="14" spans="1:9" ht="18" thickBot="1">
      <c r="A14" s="85"/>
      <c r="B14" s="86"/>
      <c r="C14" s="86"/>
      <c r="D14" s="86"/>
      <c r="E14" s="86"/>
      <c r="F14" s="86"/>
      <c r="G14" s="85"/>
      <c r="H14" s="85"/>
      <c r="I14" s="84"/>
    </row>
    <row r="15" spans="1:9" ht="18" thickBot="1">
      <c r="A15" s="85"/>
      <c r="B15" s="87" t="s">
        <v>12</v>
      </c>
      <c r="C15" s="98"/>
      <c r="D15" s="88"/>
      <c r="E15" s="121" t="s">
        <v>13</v>
      </c>
      <c r="F15" s="122"/>
      <c r="G15" s="119"/>
      <c r="H15" s="123"/>
      <c r="I15" s="84"/>
    </row>
    <row r="16" spans="1:9" ht="18" thickBot="1">
      <c r="A16" s="85"/>
      <c r="B16" s="99" t="s">
        <v>14</v>
      </c>
      <c r="C16" s="98"/>
      <c r="D16" s="88"/>
      <c r="E16" s="99" t="s">
        <v>14</v>
      </c>
      <c r="F16" s="124"/>
      <c r="G16" s="120"/>
      <c r="H16" s="125"/>
      <c r="I16" s="84"/>
    </row>
    <row r="17" spans="1:9" ht="18" thickBot="1">
      <c r="A17" s="85"/>
      <c r="B17" s="88" t="s">
        <v>15</v>
      </c>
      <c r="C17" s="100"/>
      <c r="D17" s="101"/>
      <c r="E17" s="99" t="s">
        <v>15</v>
      </c>
      <c r="F17" s="124"/>
      <c r="G17" s="120"/>
      <c r="H17" s="125"/>
      <c r="I17" s="84"/>
    </row>
    <row r="18" spans="1:9" ht="18" thickBot="1">
      <c r="A18" s="85"/>
      <c r="B18" s="88" t="s">
        <v>16</v>
      </c>
      <c r="C18" s="98"/>
      <c r="D18" s="88"/>
      <c r="E18" s="99" t="s">
        <v>16</v>
      </c>
      <c r="F18" s="124"/>
      <c r="G18" s="120"/>
      <c r="H18" s="125"/>
      <c r="I18" s="84"/>
    </row>
    <row r="19" spans="1:9" ht="18" thickBot="1">
      <c r="A19" s="85"/>
      <c r="B19" s="88" t="s">
        <v>17</v>
      </c>
      <c r="C19" s="102"/>
      <c r="D19" s="88"/>
      <c r="E19" s="99" t="s">
        <v>17</v>
      </c>
      <c r="F19" s="124"/>
      <c r="G19" s="120"/>
      <c r="H19" s="125"/>
      <c r="I19" s="84"/>
    </row>
    <row r="20" spans="1:9" ht="18" thickBot="1">
      <c r="A20" s="85"/>
      <c r="B20" s="88" t="s">
        <v>18</v>
      </c>
      <c r="C20" s="98"/>
      <c r="D20" s="88"/>
      <c r="E20" s="99" t="s">
        <v>18</v>
      </c>
      <c r="F20" s="122"/>
      <c r="G20" s="119"/>
      <c r="H20" s="123"/>
      <c r="I20" s="84"/>
    </row>
    <row r="21" spans="1:9" ht="18" thickBot="1">
      <c r="A21" s="85"/>
      <c r="B21" s="88" t="s">
        <v>19</v>
      </c>
      <c r="C21" s="98"/>
      <c r="D21" s="88"/>
      <c r="E21" s="105"/>
      <c r="F21" s="126"/>
      <c r="G21" s="118"/>
      <c r="H21" s="127"/>
      <c r="I21" s="84"/>
    </row>
    <row r="22" spans="1:9" ht="18" thickBot="1">
      <c r="A22" s="85"/>
      <c r="B22" s="88" t="s">
        <v>20</v>
      </c>
      <c r="C22" s="103"/>
      <c r="D22" s="85"/>
      <c r="E22" s="105" t="s">
        <v>21</v>
      </c>
      <c r="F22" s="124"/>
      <c r="G22" s="120"/>
      <c r="H22" s="125"/>
      <c r="I22" s="84"/>
    </row>
    <row r="23" spans="1:9" ht="18" thickBot="1">
      <c r="A23" s="85"/>
      <c r="B23" s="85"/>
      <c r="C23" s="98"/>
      <c r="D23" s="85"/>
      <c r="E23" s="105"/>
      <c r="F23" s="122"/>
      <c r="G23" s="119"/>
      <c r="H23" s="123"/>
      <c r="I23" s="84"/>
    </row>
    <row r="24" spans="1:9" ht="18" thickBot="1">
      <c r="A24" s="85"/>
      <c r="B24" s="104"/>
      <c r="C24" s="106"/>
      <c r="D24" s="85"/>
      <c r="E24" s="85"/>
      <c r="F24" s="89"/>
      <c r="G24" s="89"/>
      <c r="H24" s="89"/>
      <c r="I24" s="84"/>
    </row>
    <row r="25" spans="1:9" ht="18" thickBot="1">
      <c r="A25" s="85"/>
      <c r="B25" s="115" t="s">
        <v>22</v>
      </c>
      <c r="C25" s="114">
        <f>SUM('FW25 Orderform'!K114)</f>
        <v>0</v>
      </c>
      <c r="D25" s="109" t="s">
        <v>23</v>
      </c>
      <c r="E25" s="110">
        <f>SUM('FW25 Orderform'!L114)</f>
        <v>0</v>
      </c>
      <c r="F25" s="90"/>
      <c r="G25" s="90"/>
      <c r="H25" s="90"/>
      <c r="I25" s="84"/>
    </row>
    <row r="26" spans="1:9" ht="18" thickBot="1">
      <c r="A26" s="105"/>
      <c r="B26" s="116" t="s">
        <v>24</v>
      </c>
      <c r="C26" s="113" t="s">
        <v>25</v>
      </c>
      <c r="D26" s="107" t="s">
        <v>26</v>
      </c>
      <c r="E26" s="88"/>
      <c r="F26" s="91"/>
      <c r="G26" s="92"/>
      <c r="H26" s="91"/>
      <c r="I26" s="84"/>
    </row>
    <row r="27" spans="1:9" ht="18" thickBot="1">
      <c r="A27" s="85"/>
      <c r="B27" s="117"/>
      <c r="C27" s="112"/>
      <c r="D27" s="108">
        <v>45931</v>
      </c>
      <c r="E27" s="93"/>
      <c r="F27" s="85"/>
      <c r="G27" s="85"/>
      <c r="H27" s="85"/>
      <c r="I27" s="84"/>
    </row>
    <row r="28" spans="1:9" ht="17">
      <c r="A28" s="94"/>
      <c r="B28" s="95"/>
      <c r="C28" s="111"/>
      <c r="D28" s="96"/>
      <c r="E28" s="97"/>
      <c r="F28" s="94"/>
      <c r="G28" s="94"/>
      <c r="H28" s="94"/>
      <c r="I28" s="84"/>
    </row>
    <row r="29" spans="1:9" ht="21">
      <c r="A29" s="46"/>
      <c r="B29" s="68"/>
      <c r="C29" s="69"/>
      <c r="D29" s="69"/>
      <c r="E29" s="69"/>
      <c r="F29" s="69"/>
      <c r="G29" s="69"/>
      <c r="H29" s="69"/>
      <c r="I29" s="46"/>
    </row>
    <row r="30" spans="1:9" ht="17">
      <c r="A30" s="46"/>
      <c r="B30" s="47"/>
      <c r="C30" s="48"/>
      <c r="D30" s="47"/>
      <c r="E30" s="47"/>
      <c r="F30" s="47"/>
      <c r="G30" s="47"/>
      <c r="H30" s="47"/>
      <c r="I30" s="46"/>
    </row>
    <row r="31" spans="1:9" ht="17">
      <c r="A31" s="46"/>
      <c r="B31" s="49"/>
      <c r="C31" s="47"/>
      <c r="D31" s="47"/>
      <c r="E31" s="50"/>
      <c r="F31" s="47"/>
      <c r="G31" s="47"/>
      <c r="H31" s="51"/>
      <c r="I31" s="46"/>
    </row>
    <row r="32" spans="1:9" ht="17">
      <c r="A32" s="46"/>
      <c r="B32" s="49"/>
      <c r="C32" s="47"/>
      <c r="D32" s="47"/>
      <c r="E32" s="50"/>
      <c r="F32" s="47"/>
      <c r="G32" s="47"/>
      <c r="H32" s="51"/>
      <c r="I32" s="46"/>
    </row>
    <row r="33" spans="1:10" ht="17">
      <c r="A33" s="46"/>
      <c r="B33" s="49"/>
      <c r="C33" s="47"/>
      <c r="D33" s="47"/>
      <c r="E33" s="50"/>
      <c r="F33" s="47"/>
      <c r="G33" s="47"/>
      <c r="H33" s="51"/>
      <c r="I33" s="46"/>
    </row>
    <row r="34" spans="1:10" ht="17">
      <c r="A34" s="46"/>
      <c r="B34" s="49"/>
      <c r="C34" s="47"/>
      <c r="D34" s="47"/>
      <c r="E34" s="50"/>
      <c r="F34" s="47"/>
      <c r="G34" s="47"/>
      <c r="H34" s="51"/>
      <c r="I34" s="46"/>
    </row>
    <row r="35" spans="1:10" ht="17">
      <c r="A35" s="46"/>
      <c r="B35" s="49"/>
      <c r="C35" s="47"/>
      <c r="D35" s="47"/>
      <c r="E35" s="50"/>
      <c r="F35" s="47"/>
      <c r="G35" s="47"/>
      <c r="H35" s="51"/>
      <c r="I35" s="46"/>
    </row>
    <row r="36" spans="1:10" ht="17">
      <c r="A36" s="46"/>
      <c r="B36" s="49"/>
      <c r="C36" s="47"/>
      <c r="D36" s="47"/>
      <c r="E36" s="50"/>
      <c r="F36" s="47"/>
      <c r="G36" s="47"/>
      <c r="H36" s="51"/>
      <c r="I36" s="46"/>
      <c r="J36" s="52"/>
    </row>
    <row r="37" spans="1:10" ht="17">
      <c r="A37" s="46"/>
      <c r="B37" s="49"/>
      <c r="C37" s="47"/>
      <c r="D37" s="47"/>
      <c r="E37" s="50"/>
      <c r="F37" s="47"/>
      <c r="G37" s="47"/>
      <c r="H37" s="51"/>
      <c r="I37" s="46"/>
      <c r="J37" s="12"/>
    </row>
    <row r="38" spans="1:10" ht="17">
      <c r="A38" s="46"/>
      <c r="B38" s="49"/>
      <c r="C38" s="47"/>
      <c r="D38" s="47"/>
      <c r="E38" s="50"/>
      <c r="F38" s="47"/>
      <c r="G38" s="47"/>
      <c r="H38" s="51"/>
      <c r="I38" s="46"/>
      <c r="J38" s="12"/>
    </row>
    <row r="39" spans="1:10" ht="17">
      <c r="A39" s="46"/>
      <c r="B39" s="49"/>
      <c r="C39" s="47"/>
      <c r="D39" s="47"/>
      <c r="E39" s="50"/>
      <c r="F39" s="47"/>
      <c r="G39" s="47"/>
      <c r="H39" s="51"/>
      <c r="I39" s="46"/>
      <c r="J39" s="12"/>
    </row>
    <row r="40" spans="1:10" ht="17">
      <c r="A40" s="46"/>
      <c r="B40" s="49"/>
      <c r="C40" s="47"/>
      <c r="D40" s="47"/>
      <c r="E40" s="50"/>
      <c r="F40" s="47"/>
      <c r="G40" s="47"/>
      <c r="H40" s="51"/>
      <c r="I40" s="46"/>
      <c r="J40" s="12"/>
    </row>
    <row r="41" spans="1:10" ht="17">
      <c r="A41" s="46"/>
      <c r="B41" s="49"/>
      <c r="C41" s="47"/>
      <c r="D41" s="47"/>
      <c r="E41" s="50"/>
      <c r="F41" s="47"/>
      <c r="G41" s="47"/>
      <c r="H41" s="51"/>
      <c r="I41" s="46"/>
      <c r="J41" s="12"/>
    </row>
    <row r="42" spans="1:10" ht="17">
      <c r="A42" s="46"/>
      <c r="B42" s="49"/>
      <c r="C42" s="47"/>
      <c r="D42" s="47"/>
      <c r="E42" s="50"/>
      <c r="F42" s="47"/>
      <c r="G42" s="47"/>
      <c r="H42" s="51"/>
      <c r="I42" s="46"/>
      <c r="J42" s="12"/>
    </row>
    <row r="43" spans="1:10" ht="17">
      <c r="A43" s="46"/>
      <c r="B43" s="49"/>
      <c r="C43" s="47"/>
      <c r="D43" s="47"/>
      <c r="E43" s="50"/>
      <c r="F43" s="47"/>
      <c r="G43" s="47"/>
      <c r="H43" s="51"/>
      <c r="I43" s="46"/>
      <c r="J43" s="12"/>
    </row>
    <row r="44" spans="1:10" ht="17">
      <c r="A44" s="46"/>
      <c r="B44" s="49"/>
      <c r="C44" s="47"/>
      <c r="D44" s="47"/>
      <c r="E44" s="50"/>
      <c r="F44" s="47"/>
      <c r="G44" s="47"/>
      <c r="H44" s="51"/>
      <c r="I44" s="46"/>
      <c r="J44" s="12"/>
    </row>
    <row r="45" spans="1:10" ht="17">
      <c r="A45" s="46"/>
      <c r="B45" s="49"/>
      <c r="C45" s="47"/>
      <c r="D45" s="47"/>
      <c r="E45" s="50"/>
      <c r="F45" s="47"/>
      <c r="G45" s="47"/>
      <c r="H45" s="51"/>
      <c r="I45" s="46"/>
    </row>
    <row r="46" spans="1:10" ht="17">
      <c r="A46" s="46"/>
      <c r="B46" s="49"/>
      <c r="C46" s="47"/>
      <c r="D46" s="47"/>
      <c r="E46" s="50"/>
      <c r="F46" s="47"/>
      <c r="G46" s="47"/>
      <c r="H46" s="51"/>
      <c r="I46" s="46"/>
    </row>
    <row r="47" spans="1:10" ht="17">
      <c r="A47" s="46"/>
      <c r="B47" s="49"/>
      <c r="C47" s="47"/>
      <c r="D47" s="47"/>
      <c r="E47" s="50"/>
      <c r="F47" s="47"/>
      <c r="G47" s="47"/>
      <c r="H47" s="51"/>
      <c r="I47" s="46"/>
    </row>
    <row r="48" spans="1:10" ht="17">
      <c r="A48" s="46"/>
      <c r="B48" s="49"/>
      <c r="C48" s="47"/>
      <c r="D48" s="47"/>
      <c r="E48" s="50"/>
      <c r="F48" s="47"/>
      <c r="G48" s="47"/>
      <c r="H48" s="51"/>
      <c r="I48" s="46"/>
    </row>
    <row r="49" spans="1:9" ht="17">
      <c r="A49" s="46"/>
      <c r="B49" s="49"/>
      <c r="C49" s="47"/>
      <c r="D49" s="47"/>
      <c r="E49" s="50"/>
      <c r="F49" s="47"/>
      <c r="G49" s="47"/>
      <c r="H49" s="51"/>
      <c r="I49" s="46"/>
    </row>
    <row r="50" spans="1:9" ht="17">
      <c r="A50" s="46"/>
      <c r="B50" s="49"/>
      <c r="C50" s="47"/>
      <c r="D50" s="47"/>
      <c r="E50" s="50"/>
      <c r="F50" s="47"/>
      <c r="G50" s="47"/>
      <c r="H50" s="51"/>
      <c r="I50" s="46"/>
    </row>
    <row r="51" spans="1:9" ht="17">
      <c r="A51" s="46"/>
      <c r="B51" s="47"/>
      <c r="C51" s="48"/>
      <c r="D51" s="47"/>
      <c r="E51" s="46"/>
      <c r="F51" s="46"/>
      <c r="G51" s="46"/>
      <c r="H51" s="46"/>
      <c r="I51" s="46"/>
    </row>
    <row r="52" spans="1:9" ht="17">
      <c r="A52" s="46"/>
      <c r="B52" s="47"/>
      <c r="C52" s="48"/>
      <c r="D52" s="47"/>
      <c r="E52" s="46"/>
      <c r="F52" s="46"/>
      <c r="G52" s="46"/>
      <c r="H52" s="46"/>
      <c r="I52" s="46"/>
    </row>
    <row r="53" spans="1:9" ht="17">
      <c r="A53" s="46"/>
      <c r="B53" s="47"/>
      <c r="C53" s="48"/>
      <c r="D53" s="47"/>
      <c r="E53" s="46"/>
      <c r="F53" s="46"/>
      <c r="G53" s="46"/>
      <c r="H53" s="46"/>
      <c r="I53" s="46"/>
    </row>
    <row r="54" spans="1:9" ht="17">
      <c r="A54" s="46"/>
      <c r="B54" s="47"/>
      <c r="C54" s="48"/>
      <c r="D54" s="47"/>
      <c r="E54" s="46"/>
      <c r="F54" s="46"/>
      <c r="G54" s="46"/>
      <c r="H54" s="46"/>
      <c r="I54" s="46"/>
    </row>
    <row r="55" spans="1:9" ht="17">
      <c r="A55" s="46"/>
      <c r="B55" s="47"/>
      <c r="C55" s="48"/>
      <c r="D55" s="47"/>
      <c r="E55" s="46"/>
      <c r="F55" s="46"/>
      <c r="G55" s="46"/>
      <c r="H55" s="46"/>
      <c r="I55" s="46"/>
    </row>
    <row r="56" spans="1:9" ht="17">
      <c r="A56" s="46"/>
      <c r="B56" s="47"/>
      <c r="C56" s="48"/>
      <c r="D56" s="47"/>
      <c r="E56" s="46"/>
      <c r="F56" s="46"/>
      <c r="G56" s="46"/>
      <c r="H56" s="46"/>
      <c r="I56" s="46"/>
    </row>
    <row r="57" spans="1:9" ht="17">
      <c r="A57" s="46"/>
      <c r="B57" s="47"/>
      <c r="C57" s="48"/>
      <c r="D57" s="47"/>
      <c r="E57" s="46"/>
      <c r="F57" s="46"/>
      <c r="G57" s="46"/>
      <c r="H57" s="46"/>
      <c r="I57" s="46"/>
    </row>
    <row r="58" spans="1:9" ht="17">
      <c r="A58" s="46"/>
      <c r="B58" s="47"/>
      <c r="C58" s="48"/>
      <c r="D58" s="47"/>
      <c r="E58" s="46"/>
      <c r="F58" s="46"/>
      <c r="G58" s="46"/>
      <c r="H58" s="46"/>
      <c r="I58" s="46"/>
    </row>
    <row r="59" spans="1:9" ht="17">
      <c r="A59" s="46"/>
      <c r="B59" s="47"/>
      <c r="C59" s="48"/>
      <c r="D59" s="47"/>
      <c r="E59" s="46"/>
      <c r="F59" s="46"/>
      <c r="G59" s="46"/>
      <c r="H59" s="46"/>
      <c r="I59" s="46"/>
    </row>
    <row r="60" spans="1:9" ht="17">
      <c r="A60" s="46"/>
      <c r="B60" s="47"/>
      <c r="C60" s="48"/>
      <c r="D60" s="47"/>
      <c r="E60" s="46"/>
      <c r="F60" s="46"/>
      <c r="G60" s="46"/>
      <c r="H60" s="46"/>
      <c r="I60" s="46"/>
    </row>
    <row r="61" spans="1:9" ht="17">
      <c r="A61" s="46"/>
      <c r="B61" s="47"/>
      <c r="C61" s="48"/>
      <c r="D61" s="47"/>
      <c r="E61" s="46"/>
      <c r="F61" s="46"/>
      <c r="G61" s="46"/>
      <c r="H61" s="46"/>
      <c r="I61" s="46"/>
    </row>
    <row r="62" spans="1:9" ht="17">
      <c r="A62" s="46"/>
      <c r="B62" s="47"/>
      <c r="C62" s="48"/>
      <c r="D62" s="47"/>
      <c r="E62" s="46"/>
      <c r="F62" s="46"/>
      <c r="G62" s="46"/>
      <c r="H62" s="46"/>
      <c r="I62" s="46"/>
    </row>
    <row r="63" spans="1:9" ht="17">
      <c r="A63" s="46"/>
      <c r="B63" s="47"/>
      <c r="C63" s="48"/>
      <c r="D63" s="47"/>
      <c r="E63" s="46"/>
      <c r="F63" s="46"/>
      <c r="G63" s="46"/>
      <c r="H63" s="46"/>
      <c r="I63" s="46"/>
    </row>
    <row r="64" spans="1:9" ht="17">
      <c r="A64" s="46"/>
      <c r="B64" s="47"/>
      <c r="C64" s="48"/>
      <c r="D64" s="47"/>
      <c r="E64" s="46"/>
      <c r="F64" s="46"/>
      <c r="G64" s="46"/>
      <c r="H64" s="46"/>
      <c r="I64" s="46"/>
    </row>
    <row r="65" spans="1:9" ht="17">
      <c r="A65" s="46"/>
      <c r="B65" s="47"/>
      <c r="C65" s="48"/>
      <c r="D65" s="47"/>
      <c r="E65" s="46"/>
      <c r="F65" s="46"/>
      <c r="G65" s="46"/>
      <c r="H65" s="46"/>
      <c r="I65" s="46"/>
    </row>
    <row r="66" spans="1:9" ht="17">
      <c r="A66" s="46"/>
      <c r="B66" s="47"/>
      <c r="C66" s="48"/>
      <c r="D66" s="47"/>
      <c r="E66" s="46"/>
      <c r="F66" s="46"/>
      <c r="G66" s="46"/>
      <c r="H66" s="46"/>
      <c r="I66" s="46"/>
    </row>
    <row r="67" spans="1:9" ht="17">
      <c r="A67" s="46"/>
      <c r="B67" s="47"/>
      <c r="C67" s="48"/>
      <c r="D67" s="47"/>
      <c r="E67" s="46"/>
      <c r="F67" s="46"/>
      <c r="G67" s="46"/>
      <c r="H67" s="46"/>
      <c r="I67" s="46"/>
    </row>
    <row r="68" spans="1:9" ht="17">
      <c r="A68" s="46"/>
      <c r="B68" s="47"/>
      <c r="C68" s="48"/>
      <c r="D68" s="47"/>
      <c r="E68" s="46"/>
      <c r="F68" s="46"/>
      <c r="G68" s="46"/>
      <c r="H68" s="46"/>
      <c r="I68" s="46"/>
    </row>
    <row r="69" spans="1:9" ht="17">
      <c r="A69" s="46"/>
      <c r="B69" s="47"/>
      <c r="C69" s="48"/>
      <c r="D69" s="47"/>
      <c r="E69" s="46"/>
      <c r="F69" s="46"/>
      <c r="G69" s="46"/>
      <c r="H69" s="46"/>
      <c r="I69" s="46"/>
    </row>
    <row r="70" spans="1:9" ht="17">
      <c r="A70" s="46"/>
      <c r="B70" s="47"/>
      <c r="C70" s="48"/>
      <c r="D70" s="47"/>
      <c r="E70" s="46"/>
      <c r="F70" s="46"/>
      <c r="G70" s="46"/>
      <c r="H70" s="46"/>
      <c r="I70" s="46"/>
    </row>
    <row r="71" spans="1:9" ht="17">
      <c r="A71" s="46"/>
      <c r="B71" s="47"/>
      <c r="C71" s="48"/>
      <c r="D71" s="47"/>
      <c r="E71" s="46"/>
      <c r="F71" s="46"/>
      <c r="G71" s="46"/>
      <c r="H71" s="46"/>
      <c r="I71" s="46"/>
    </row>
    <row r="72" spans="1:9" ht="17">
      <c r="A72" s="46"/>
      <c r="B72" s="47"/>
      <c r="C72" s="48"/>
      <c r="D72" s="47"/>
      <c r="E72" s="46"/>
      <c r="F72" s="46"/>
      <c r="G72" s="46"/>
      <c r="H72" s="46"/>
      <c r="I72" s="46"/>
    </row>
    <row r="73" spans="1:9" ht="17">
      <c r="A73" s="46"/>
      <c r="B73" s="47"/>
      <c r="C73" s="48"/>
      <c r="D73" s="47"/>
      <c r="E73" s="46"/>
      <c r="F73" s="46"/>
      <c r="G73" s="46"/>
      <c r="H73" s="46"/>
      <c r="I73" s="46"/>
    </row>
    <row r="74" spans="1:9" ht="17">
      <c r="A74" s="46"/>
      <c r="B74" s="47"/>
      <c r="C74" s="48"/>
      <c r="D74" s="47"/>
      <c r="E74" s="46"/>
      <c r="F74" s="46"/>
      <c r="G74" s="46"/>
      <c r="H74" s="46"/>
      <c r="I74" s="46"/>
    </row>
    <row r="75" spans="1:9" ht="17">
      <c r="A75" s="46"/>
      <c r="B75" s="47"/>
      <c r="C75" s="48"/>
      <c r="D75" s="47"/>
      <c r="E75" s="46"/>
      <c r="F75" s="46"/>
      <c r="G75" s="46"/>
      <c r="H75" s="46"/>
      <c r="I75" s="46"/>
    </row>
    <row r="76" spans="1:9" ht="17">
      <c r="A76" s="46"/>
      <c r="B76" s="47"/>
      <c r="C76" s="48"/>
      <c r="D76" s="47"/>
      <c r="E76" s="46"/>
      <c r="F76" s="46"/>
      <c r="G76" s="46"/>
      <c r="H76" s="46"/>
      <c r="I76" s="46"/>
    </row>
    <row r="77" spans="1:9" ht="17">
      <c r="A77" s="46"/>
      <c r="B77" s="47"/>
      <c r="C77" s="48"/>
      <c r="D77" s="47"/>
      <c r="E77" s="46"/>
      <c r="F77" s="46"/>
      <c r="G77" s="46"/>
      <c r="H77" s="46"/>
      <c r="I77" s="46"/>
    </row>
    <row r="78" spans="1:9" ht="17">
      <c r="A78" s="46"/>
      <c r="B78" s="47"/>
      <c r="C78" s="48"/>
      <c r="D78" s="47"/>
      <c r="E78" s="46"/>
      <c r="F78" s="46"/>
      <c r="G78" s="46"/>
      <c r="H78" s="46"/>
      <c r="I78" s="46"/>
    </row>
    <row r="79" spans="1:9" ht="17">
      <c r="A79" s="46"/>
      <c r="B79" s="47"/>
      <c r="C79" s="48"/>
      <c r="D79" s="47"/>
      <c r="E79" s="46"/>
      <c r="F79" s="46"/>
      <c r="G79" s="46"/>
      <c r="H79" s="46"/>
      <c r="I79" s="46"/>
    </row>
    <row r="80" spans="1:9" ht="17">
      <c r="A80" s="46"/>
      <c r="B80" s="47"/>
      <c r="C80" s="48"/>
      <c r="D80" s="47"/>
      <c r="E80" s="46"/>
      <c r="F80" s="46"/>
      <c r="G80" s="46"/>
      <c r="H80" s="46"/>
      <c r="I80" s="46"/>
    </row>
    <row r="81" spans="1:9" ht="17">
      <c r="A81" s="46"/>
      <c r="B81" s="46"/>
      <c r="C81" s="53"/>
      <c r="D81" s="46"/>
      <c r="E81" s="46"/>
      <c r="F81" s="46"/>
      <c r="G81" s="46"/>
      <c r="H81" s="46"/>
      <c r="I81" s="46"/>
    </row>
    <row r="82" spans="1:9" ht="17">
      <c r="A82" s="46"/>
      <c r="B82" s="46"/>
      <c r="C82" s="53"/>
      <c r="D82" s="46"/>
      <c r="E82" s="46"/>
      <c r="F82" s="46"/>
      <c r="G82" s="46"/>
      <c r="H82" s="46"/>
      <c r="I82" s="46"/>
    </row>
    <row r="83" spans="1:9" ht="21">
      <c r="A83" s="46"/>
      <c r="B83" s="70"/>
      <c r="C83" s="71"/>
      <c r="D83" s="71"/>
      <c r="E83" s="71"/>
      <c r="F83" s="71"/>
      <c r="G83" s="71"/>
      <c r="H83" s="71"/>
      <c r="I83" s="46"/>
    </row>
    <row r="84" spans="1:9" ht="17">
      <c r="A84" s="46"/>
      <c r="B84" s="47"/>
      <c r="C84" s="47"/>
      <c r="D84" s="47"/>
      <c r="E84" s="50"/>
      <c r="F84" s="50"/>
      <c r="G84" s="50"/>
      <c r="H84" s="51"/>
      <c r="I84" s="46"/>
    </row>
    <row r="85" spans="1:9" ht="17">
      <c r="A85" s="46"/>
      <c r="B85" s="47"/>
      <c r="C85" s="66"/>
      <c r="D85" s="47"/>
      <c r="E85" s="50"/>
      <c r="F85" s="47"/>
      <c r="G85" s="47"/>
      <c r="H85" s="51"/>
      <c r="I85" s="46"/>
    </row>
    <row r="86" spans="1:9" ht="17">
      <c r="A86" s="46"/>
      <c r="B86" s="47"/>
      <c r="C86" s="67"/>
      <c r="D86" s="47"/>
      <c r="E86" s="50"/>
      <c r="F86" s="47"/>
      <c r="G86" s="47"/>
      <c r="H86" s="51"/>
      <c r="I86" s="46"/>
    </row>
    <row r="87" spans="1:9" ht="17">
      <c r="A87" s="46"/>
      <c r="B87" s="47"/>
      <c r="C87" s="67"/>
      <c r="D87" s="47"/>
      <c r="E87" s="50"/>
      <c r="F87" s="47"/>
      <c r="G87" s="47"/>
      <c r="H87" s="51"/>
      <c r="I87" s="46"/>
    </row>
    <row r="88" spans="1:9" ht="17">
      <c r="A88" s="46"/>
      <c r="B88" s="47"/>
      <c r="C88" s="66"/>
      <c r="D88" s="47"/>
      <c r="E88" s="54"/>
      <c r="F88" s="47"/>
      <c r="G88" s="47"/>
      <c r="H88" s="51"/>
      <c r="I88" s="46"/>
    </row>
    <row r="89" spans="1:9" ht="17">
      <c r="A89" s="46"/>
      <c r="B89" s="47"/>
      <c r="C89" s="67"/>
      <c r="D89" s="47"/>
      <c r="E89" s="54"/>
      <c r="F89" s="47"/>
      <c r="G89" s="47"/>
      <c r="H89" s="51"/>
      <c r="I89" s="46"/>
    </row>
    <row r="90" spans="1:9" ht="17">
      <c r="A90" s="46"/>
      <c r="B90" s="47"/>
      <c r="C90" s="67"/>
      <c r="D90" s="47"/>
      <c r="E90" s="54"/>
      <c r="F90" s="47"/>
      <c r="G90" s="47"/>
      <c r="H90" s="51"/>
      <c r="I90" s="46"/>
    </row>
    <row r="91" spans="1:9" ht="17">
      <c r="A91" s="46"/>
      <c r="B91" s="47"/>
      <c r="C91" s="66"/>
      <c r="D91" s="47"/>
      <c r="E91" s="50"/>
      <c r="F91" s="47"/>
      <c r="G91" s="47"/>
      <c r="H91" s="51"/>
      <c r="I91" s="46"/>
    </row>
    <row r="92" spans="1:9" ht="17">
      <c r="A92" s="46"/>
      <c r="B92" s="47"/>
      <c r="C92" s="67"/>
      <c r="D92" s="47"/>
      <c r="E92" s="50"/>
      <c r="F92" s="47"/>
      <c r="G92" s="47"/>
      <c r="H92" s="51"/>
      <c r="I92" s="46"/>
    </row>
    <row r="93" spans="1:9" ht="17">
      <c r="A93" s="46"/>
      <c r="B93" s="47"/>
      <c r="C93" s="67"/>
      <c r="D93" s="47"/>
      <c r="E93" s="50"/>
      <c r="F93" s="47"/>
      <c r="G93" s="47"/>
      <c r="H93" s="51"/>
      <c r="I93" s="46"/>
    </row>
    <row r="94" spans="1:9" ht="17">
      <c r="A94" s="46"/>
      <c r="B94" s="47"/>
      <c r="C94" s="66"/>
      <c r="D94" s="47"/>
      <c r="E94" s="54"/>
      <c r="F94" s="47"/>
      <c r="G94" s="47"/>
      <c r="H94" s="51"/>
      <c r="I94" s="46"/>
    </row>
    <row r="95" spans="1:9" ht="17">
      <c r="A95" s="46"/>
      <c r="B95" s="47"/>
      <c r="C95" s="67"/>
      <c r="D95" s="47"/>
      <c r="E95" s="54"/>
      <c r="F95" s="47"/>
      <c r="G95" s="47"/>
      <c r="H95" s="51"/>
      <c r="I95" s="46"/>
    </row>
    <row r="96" spans="1:9" ht="17">
      <c r="A96" s="46"/>
      <c r="B96" s="47"/>
      <c r="C96" s="67"/>
      <c r="D96" s="47"/>
      <c r="E96" s="54"/>
      <c r="F96" s="47"/>
      <c r="G96" s="47"/>
      <c r="H96" s="51"/>
      <c r="I96" s="46"/>
    </row>
    <row r="97" spans="1:9" ht="17">
      <c r="A97" s="46"/>
      <c r="B97" s="46"/>
      <c r="C97" s="53"/>
      <c r="D97" s="46"/>
      <c r="E97" s="46"/>
      <c r="F97" s="46"/>
      <c r="G97" s="46"/>
      <c r="H97" s="46"/>
      <c r="I97" s="46"/>
    </row>
    <row r="98" spans="1:9" ht="17">
      <c r="A98" s="46"/>
      <c r="B98" s="48"/>
      <c r="C98" s="48"/>
      <c r="D98" s="48"/>
      <c r="E98" s="48"/>
      <c r="F98" s="48"/>
      <c r="G98" s="48"/>
      <c r="H98" s="55"/>
      <c r="I98" s="46"/>
    </row>
    <row r="99" spans="1:9" ht="17">
      <c r="A99" s="56"/>
      <c r="I99" s="56"/>
    </row>
    <row r="100" spans="1:9" ht="17">
      <c r="A100" s="56"/>
      <c r="I100" s="56"/>
    </row>
    <row r="101" spans="1:9" ht="17">
      <c r="A101" s="56"/>
      <c r="I101" s="56"/>
    </row>
    <row r="102" spans="1:9" ht="17">
      <c r="A102" s="56"/>
      <c r="I102" s="56"/>
    </row>
    <row r="103" spans="1:9" ht="17">
      <c r="A103" s="56"/>
      <c r="I103" s="56"/>
    </row>
    <row r="104" spans="1:9" ht="17">
      <c r="A104" s="56"/>
      <c r="I104" s="56"/>
    </row>
    <row r="105" spans="1:9" ht="17">
      <c r="A105" s="56"/>
      <c r="I105" s="56"/>
    </row>
    <row r="106" spans="1:9" ht="17">
      <c r="A106" s="56"/>
      <c r="I106" s="56"/>
    </row>
    <row r="107" spans="1:9" ht="17">
      <c r="A107" s="56"/>
      <c r="I107" s="56"/>
    </row>
    <row r="108" spans="1:9" ht="17">
      <c r="A108" s="56"/>
      <c r="I108" s="56"/>
    </row>
  </sheetData>
  <sheetProtection formatCells="0" formatColumns="0" formatRows="0" insertColumns="0" insertRows="0" insertHyperlinks="0" deleteColumns="0" deleteRows="0" sort="0" autoFilter="0" pivotTables="0"/>
  <mergeCells count="17">
    <mergeCell ref="C85:C87"/>
    <mergeCell ref="C88:C90"/>
    <mergeCell ref="C91:C93"/>
    <mergeCell ref="C94:C96"/>
    <mergeCell ref="F23:H23"/>
    <mergeCell ref="F24:H24"/>
    <mergeCell ref="F25:H25"/>
    <mergeCell ref="B29:H29"/>
    <mergeCell ref="B83:H83"/>
    <mergeCell ref="F20:H20"/>
    <mergeCell ref="F21:H21"/>
    <mergeCell ref="F22:H22"/>
    <mergeCell ref="F15:H15"/>
    <mergeCell ref="F16:H16"/>
    <mergeCell ref="F17:H17"/>
    <mergeCell ref="F18:H18"/>
    <mergeCell ref="F19:H19"/>
  </mergeCells>
  <phoneticPr fontId="9" type="noConversion"/>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zoomScale="110" zoomScaleNormal="110" zoomScalePageLayoutView="110" workbookViewId="0">
      <selection activeCell="A8" sqref="A8"/>
    </sheetView>
  </sheetViews>
  <sheetFormatPr baseColWidth="10" defaultRowHeight="16"/>
  <cols>
    <col min="1" max="1" width="146.5" style="1" bestFit="1" customWidth="1"/>
    <col min="2" max="256" width="10.83203125" style="1"/>
    <col min="257" max="257" width="146.5" style="1" bestFit="1" customWidth="1"/>
    <col min="258" max="512" width="10.83203125" style="1"/>
    <col min="513" max="513" width="146.5" style="1" bestFit="1" customWidth="1"/>
    <col min="514" max="768" width="10.83203125" style="1"/>
    <col min="769" max="769" width="146.5" style="1" bestFit="1" customWidth="1"/>
    <col min="770" max="1024" width="10.83203125" style="1"/>
    <col min="1025" max="1025" width="146.5" style="1" bestFit="1" customWidth="1"/>
    <col min="1026" max="1280" width="10.83203125" style="1"/>
    <col min="1281" max="1281" width="146.5" style="1" bestFit="1" customWidth="1"/>
    <col min="1282" max="1536" width="10.83203125" style="1"/>
    <col min="1537" max="1537" width="146.5" style="1" bestFit="1" customWidth="1"/>
    <col min="1538" max="1792" width="10.83203125" style="1"/>
    <col min="1793" max="1793" width="146.5" style="1" bestFit="1" customWidth="1"/>
    <col min="1794" max="2048" width="10.83203125" style="1"/>
    <col min="2049" max="2049" width="146.5" style="1" bestFit="1" customWidth="1"/>
    <col min="2050" max="2304" width="10.83203125" style="1"/>
    <col min="2305" max="2305" width="146.5" style="1" bestFit="1" customWidth="1"/>
    <col min="2306" max="2560" width="10.83203125" style="1"/>
    <col min="2561" max="2561" width="146.5" style="1" bestFit="1" customWidth="1"/>
    <col min="2562" max="2816" width="10.83203125" style="1"/>
    <col min="2817" max="2817" width="146.5" style="1" bestFit="1" customWidth="1"/>
    <col min="2818" max="3072" width="10.83203125" style="1"/>
    <col min="3073" max="3073" width="146.5" style="1" bestFit="1" customWidth="1"/>
    <col min="3074" max="3328" width="10.83203125" style="1"/>
    <col min="3329" max="3329" width="146.5" style="1" bestFit="1" customWidth="1"/>
    <col min="3330" max="3584" width="10.83203125" style="1"/>
    <col min="3585" max="3585" width="146.5" style="1" bestFit="1" customWidth="1"/>
    <col min="3586" max="3840" width="10.83203125" style="1"/>
    <col min="3841" max="3841" width="146.5" style="1" bestFit="1" customWidth="1"/>
    <col min="3842" max="4096" width="10.83203125" style="1"/>
    <col min="4097" max="4097" width="146.5" style="1" bestFit="1" customWidth="1"/>
    <col min="4098" max="4352" width="10.83203125" style="1"/>
    <col min="4353" max="4353" width="146.5" style="1" bestFit="1" customWidth="1"/>
    <col min="4354" max="4608" width="10.83203125" style="1"/>
    <col min="4609" max="4609" width="146.5" style="1" bestFit="1" customWidth="1"/>
    <col min="4610" max="4864" width="10.83203125" style="1"/>
    <col min="4865" max="4865" width="146.5" style="1" bestFit="1" customWidth="1"/>
    <col min="4866" max="5120" width="10.83203125" style="1"/>
    <col min="5121" max="5121" width="146.5" style="1" bestFit="1" customWidth="1"/>
    <col min="5122" max="5376" width="10.83203125" style="1"/>
    <col min="5377" max="5377" width="146.5" style="1" bestFit="1" customWidth="1"/>
    <col min="5378" max="5632" width="10.83203125" style="1"/>
    <col min="5633" max="5633" width="146.5" style="1" bestFit="1" customWidth="1"/>
    <col min="5634" max="5888" width="10.83203125" style="1"/>
    <col min="5889" max="5889" width="146.5" style="1" bestFit="1" customWidth="1"/>
    <col min="5890" max="6144" width="10.83203125" style="1"/>
    <col min="6145" max="6145" width="146.5" style="1" bestFit="1" customWidth="1"/>
    <col min="6146" max="6400" width="10.83203125" style="1"/>
    <col min="6401" max="6401" width="146.5" style="1" bestFit="1" customWidth="1"/>
    <col min="6402" max="6656" width="10.83203125" style="1"/>
    <col min="6657" max="6657" width="146.5" style="1" bestFit="1" customWidth="1"/>
    <col min="6658" max="6912" width="10.83203125" style="1"/>
    <col min="6913" max="6913" width="146.5" style="1" bestFit="1" customWidth="1"/>
    <col min="6914" max="7168" width="10.83203125" style="1"/>
    <col min="7169" max="7169" width="146.5" style="1" bestFit="1" customWidth="1"/>
    <col min="7170" max="7424" width="10.83203125" style="1"/>
    <col min="7425" max="7425" width="146.5" style="1" bestFit="1" customWidth="1"/>
    <col min="7426" max="7680" width="10.83203125" style="1"/>
    <col min="7681" max="7681" width="146.5" style="1" bestFit="1" customWidth="1"/>
    <col min="7682" max="7936" width="10.83203125" style="1"/>
    <col min="7937" max="7937" width="146.5" style="1" bestFit="1" customWidth="1"/>
    <col min="7938" max="8192" width="10.83203125" style="1"/>
    <col min="8193" max="8193" width="146.5" style="1" bestFit="1" customWidth="1"/>
    <col min="8194" max="8448" width="10.83203125" style="1"/>
    <col min="8449" max="8449" width="146.5" style="1" bestFit="1" customWidth="1"/>
    <col min="8450" max="8704" width="10.83203125" style="1"/>
    <col min="8705" max="8705" width="146.5" style="1" bestFit="1" customWidth="1"/>
    <col min="8706" max="8960" width="10.83203125" style="1"/>
    <col min="8961" max="8961" width="146.5" style="1" bestFit="1" customWidth="1"/>
    <col min="8962" max="9216" width="10.83203125" style="1"/>
    <col min="9217" max="9217" width="146.5" style="1" bestFit="1" customWidth="1"/>
    <col min="9218" max="9472" width="10.83203125" style="1"/>
    <col min="9473" max="9473" width="146.5" style="1" bestFit="1" customWidth="1"/>
    <col min="9474" max="9728" width="10.83203125" style="1"/>
    <col min="9729" max="9729" width="146.5" style="1" bestFit="1" customWidth="1"/>
    <col min="9730" max="9984" width="10.83203125" style="1"/>
    <col min="9985" max="9985" width="146.5" style="1" bestFit="1" customWidth="1"/>
    <col min="9986" max="10240" width="10.83203125" style="1"/>
    <col min="10241" max="10241" width="146.5" style="1" bestFit="1" customWidth="1"/>
    <col min="10242" max="10496" width="10.83203125" style="1"/>
    <col min="10497" max="10497" width="146.5" style="1" bestFit="1" customWidth="1"/>
    <col min="10498" max="10752" width="10.83203125" style="1"/>
    <col min="10753" max="10753" width="146.5" style="1" bestFit="1" customWidth="1"/>
    <col min="10754" max="11008" width="10.83203125" style="1"/>
    <col min="11009" max="11009" width="146.5" style="1" bestFit="1" customWidth="1"/>
    <col min="11010" max="11264" width="10.83203125" style="1"/>
    <col min="11265" max="11265" width="146.5" style="1" bestFit="1" customWidth="1"/>
    <col min="11266" max="11520" width="10.83203125" style="1"/>
    <col min="11521" max="11521" width="146.5" style="1" bestFit="1" customWidth="1"/>
    <col min="11522" max="11776" width="10.83203125" style="1"/>
    <col min="11777" max="11777" width="146.5" style="1" bestFit="1" customWidth="1"/>
    <col min="11778" max="12032" width="10.83203125" style="1"/>
    <col min="12033" max="12033" width="146.5" style="1" bestFit="1" customWidth="1"/>
    <col min="12034" max="12288" width="10.83203125" style="1"/>
    <col min="12289" max="12289" width="146.5" style="1" bestFit="1" customWidth="1"/>
    <col min="12290" max="12544" width="10.83203125" style="1"/>
    <col min="12545" max="12545" width="146.5" style="1" bestFit="1" customWidth="1"/>
    <col min="12546" max="12800" width="10.83203125" style="1"/>
    <col min="12801" max="12801" width="146.5" style="1" bestFit="1" customWidth="1"/>
    <col min="12802" max="13056" width="10.83203125" style="1"/>
    <col min="13057" max="13057" width="146.5" style="1" bestFit="1" customWidth="1"/>
    <col min="13058" max="13312" width="10.83203125" style="1"/>
    <col min="13313" max="13313" width="146.5" style="1" bestFit="1" customWidth="1"/>
    <col min="13314" max="13568" width="10.83203125" style="1"/>
    <col min="13569" max="13569" width="146.5" style="1" bestFit="1" customWidth="1"/>
    <col min="13570" max="13824" width="10.83203125" style="1"/>
    <col min="13825" max="13825" width="146.5" style="1" bestFit="1" customWidth="1"/>
    <col min="13826" max="14080" width="10.83203125" style="1"/>
    <col min="14081" max="14081" width="146.5" style="1" bestFit="1" customWidth="1"/>
    <col min="14082" max="14336" width="10.83203125" style="1"/>
    <col min="14337" max="14337" width="146.5" style="1" bestFit="1" customWidth="1"/>
    <col min="14338" max="14592" width="10.83203125" style="1"/>
    <col min="14593" max="14593" width="146.5" style="1" bestFit="1" customWidth="1"/>
    <col min="14594" max="14848" width="10.83203125" style="1"/>
    <col min="14849" max="14849" width="146.5" style="1" bestFit="1" customWidth="1"/>
    <col min="14850" max="15104" width="10.83203125" style="1"/>
    <col min="15105" max="15105" width="146.5" style="1" bestFit="1" customWidth="1"/>
    <col min="15106" max="15360" width="10.83203125" style="1"/>
    <col min="15361" max="15361" width="146.5" style="1" bestFit="1" customWidth="1"/>
    <col min="15362" max="15616" width="10.83203125" style="1"/>
    <col min="15617" max="15617" width="146.5" style="1" bestFit="1" customWidth="1"/>
    <col min="15618" max="15872" width="10.83203125" style="1"/>
    <col min="15873" max="15873" width="146.5" style="1" bestFit="1" customWidth="1"/>
    <col min="15874" max="16128" width="10.83203125" style="1"/>
    <col min="16129" max="16129" width="146.5" style="1" bestFit="1" customWidth="1"/>
    <col min="16130" max="16384" width="10.83203125" style="1"/>
  </cols>
  <sheetData>
    <row r="1" spans="1:3">
      <c r="A1" s="72" t="s">
        <v>27</v>
      </c>
      <c r="B1" s="73"/>
      <c r="C1" s="74"/>
    </row>
    <row r="2" spans="1:3">
      <c r="A2" s="13" t="s">
        <v>28</v>
      </c>
      <c r="B2" s="14"/>
      <c r="C2" s="15"/>
    </row>
    <row r="3" spans="1:3">
      <c r="A3" s="13" t="s">
        <v>29</v>
      </c>
      <c r="B3" s="14"/>
      <c r="C3" s="15"/>
    </row>
    <row r="4" spans="1:3">
      <c r="A4" s="13" t="s">
        <v>73</v>
      </c>
      <c r="B4" s="14"/>
      <c r="C4" s="15"/>
    </row>
    <row r="5" spans="1:3">
      <c r="A5" s="13" t="s">
        <v>30</v>
      </c>
      <c r="B5" s="14"/>
      <c r="C5" s="15"/>
    </row>
    <row r="6" spans="1:3">
      <c r="A6" s="13" t="s">
        <v>31</v>
      </c>
      <c r="B6" s="14"/>
      <c r="C6" s="15"/>
    </row>
    <row r="7" spans="1:3">
      <c r="A7" s="13" t="s">
        <v>32</v>
      </c>
      <c r="B7" s="14"/>
      <c r="C7" s="15"/>
    </row>
    <row r="8" spans="1:3">
      <c r="A8" s="13" t="s">
        <v>33</v>
      </c>
      <c r="B8" s="14"/>
      <c r="C8" s="15"/>
    </row>
    <row r="9" spans="1:3">
      <c r="A9" s="13" t="s">
        <v>34</v>
      </c>
      <c r="B9" s="14"/>
      <c r="C9" s="15"/>
    </row>
    <row r="10" spans="1:3">
      <c r="A10" s="13" t="s">
        <v>72</v>
      </c>
      <c r="B10" s="14"/>
      <c r="C10" s="15"/>
    </row>
    <row r="11" spans="1:3">
      <c r="A11" s="13" t="s">
        <v>35</v>
      </c>
      <c r="B11" s="14"/>
      <c r="C11" s="15"/>
    </row>
    <row r="12" spans="1:3">
      <c r="A12" s="13" t="s">
        <v>74</v>
      </c>
      <c r="B12" s="14"/>
      <c r="C12" s="15"/>
    </row>
    <row r="13" spans="1:3">
      <c r="A13" s="13" t="s">
        <v>36</v>
      </c>
      <c r="B13" s="14"/>
      <c r="C13" s="15"/>
    </row>
    <row r="14" spans="1:3">
      <c r="A14" s="13" t="s">
        <v>37</v>
      </c>
      <c r="B14" s="14"/>
      <c r="C14" s="15"/>
    </row>
    <row r="15" spans="1:3">
      <c r="A15" s="13" t="s">
        <v>38</v>
      </c>
      <c r="B15" s="14"/>
      <c r="C15" s="15"/>
    </row>
    <row r="16" spans="1:3">
      <c r="A16" s="16" t="s">
        <v>39</v>
      </c>
      <c r="B16" s="17"/>
      <c r="C16" s="18"/>
    </row>
    <row r="17" spans="1:3">
      <c r="A17" s="19"/>
      <c r="B17" s="20"/>
      <c r="C17" s="20"/>
    </row>
    <row r="18" spans="1:3">
      <c r="A18" s="72" t="s">
        <v>40</v>
      </c>
      <c r="B18" s="73"/>
      <c r="C18" s="74"/>
    </row>
    <row r="19" spans="1:3">
      <c r="A19" s="21" t="s">
        <v>41</v>
      </c>
      <c r="B19" s="22"/>
      <c r="C19" s="23"/>
    </row>
    <row r="20" spans="1:3">
      <c r="A20" s="24" t="s">
        <v>75</v>
      </c>
      <c r="B20" s="20"/>
      <c r="C20" s="25"/>
    </row>
    <row r="21" spans="1:3">
      <c r="A21" s="24" t="s">
        <v>42</v>
      </c>
      <c r="B21" s="20"/>
      <c r="C21" s="25"/>
    </row>
    <row r="22" spans="1:3">
      <c r="A22" s="13" t="s">
        <v>43</v>
      </c>
      <c r="B22" s="14"/>
      <c r="C22" s="15"/>
    </row>
    <row r="23" spans="1:3">
      <c r="A23" s="24" t="s">
        <v>44</v>
      </c>
      <c r="B23" s="20"/>
      <c r="C23" s="25"/>
    </row>
    <row r="24" spans="1:3">
      <c r="A24" s="26" t="s">
        <v>45</v>
      </c>
      <c r="B24" s="27"/>
      <c r="C24" s="28"/>
    </row>
    <row r="25" spans="1:3">
      <c r="A25" s="19"/>
      <c r="B25" s="20"/>
      <c r="C25" s="20"/>
    </row>
    <row r="26" spans="1:3">
      <c r="A26" s="72" t="s">
        <v>46</v>
      </c>
      <c r="B26" s="73"/>
      <c r="C26" s="74"/>
    </row>
    <row r="27" spans="1:3">
      <c r="A27" s="21" t="s">
        <v>47</v>
      </c>
      <c r="B27" s="22"/>
      <c r="C27" s="23"/>
    </row>
    <row r="28" spans="1:3">
      <c r="A28" s="24" t="s">
        <v>76</v>
      </c>
      <c r="B28" s="20"/>
      <c r="C28" s="25"/>
    </row>
    <row r="29" spans="1:3">
      <c r="A29" s="24" t="s">
        <v>48</v>
      </c>
      <c r="B29" s="20"/>
      <c r="C29" s="25"/>
    </row>
    <row r="30" spans="1:3">
      <c r="A30" s="24" t="s">
        <v>49</v>
      </c>
      <c r="B30" s="20"/>
      <c r="C30" s="25"/>
    </row>
    <row r="31" spans="1:3">
      <c r="A31" s="26" t="s">
        <v>50</v>
      </c>
      <c r="B31" s="27"/>
      <c r="C31" s="28"/>
    </row>
    <row r="32" spans="1:3" ht="17" thickBot="1">
      <c r="A32" s="29"/>
      <c r="B32" s="27"/>
      <c r="C32" s="27"/>
    </row>
    <row r="33" spans="1:3">
      <c r="A33" s="75" t="s">
        <v>51</v>
      </c>
      <c r="B33" s="76"/>
      <c r="C33" s="77"/>
    </row>
    <row r="34" spans="1:3">
      <c r="A34" s="30" t="s">
        <v>52</v>
      </c>
      <c r="B34" s="31"/>
      <c r="C34" s="32"/>
    </row>
    <row r="35" spans="1:3">
      <c r="A35" s="2" t="s">
        <v>53</v>
      </c>
      <c r="B35" s="3"/>
      <c r="C35" s="3"/>
    </row>
  </sheetData>
  <mergeCells count="4">
    <mergeCell ref="A1:C1"/>
    <mergeCell ref="A18:C18"/>
    <mergeCell ref="A26:C26"/>
    <mergeCell ref="A33:C33"/>
  </mergeCell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91D33-8BB0-4E40-B1A5-47DDD799A568}">
  <dimension ref="A1:M141"/>
  <sheetViews>
    <sheetView tabSelected="1" topLeftCell="C1" workbookViewId="0">
      <selection activeCell="N10" sqref="N10"/>
    </sheetView>
  </sheetViews>
  <sheetFormatPr baseColWidth="10" defaultRowHeight="16"/>
  <cols>
    <col min="1" max="2" width="0" style="10" hidden="1" customWidth="1"/>
    <col min="3" max="3" width="5" style="10" customWidth="1"/>
    <col min="4" max="4" width="15.1640625" style="10" bestFit="1" customWidth="1"/>
    <col min="5" max="5" width="20.33203125" style="10" customWidth="1"/>
    <col min="6" max="6" width="31.5" style="10" bestFit="1" customWidth="1"/>
    <col min="7" max="7" width="16.5" style="10" customWidth="1"/>
    <col min="8" max="8" width="17.1640625" style="10" bestFit="1" customWidth="1"/>
    <col min="9" max="9" width="10.6640625" style="10" customWidth="1"/>
    <col min="10" max="10" width="10.83203125" style="10"/>
    <col min="11" max="11" width="10.83203125" style="12"/>
    <col min="12" max="256" width="10.83203125" style="10"/>
    <col min="257" max="258" width="0" style="10" hidden="1" customWidth="1"/>
    <col min="259" max="259" width="5" style="10" customWidth="1"/>
    <col min="260" max="260" width="15.1640625" style="10" bestFit="1" customWidth="1"/>
    <col min="261" max="261" width="12.83203125" style="10" bestFit="1" customWidth="1"/>
    <col min="262" max="262" width="25.6640625" style="10" bestFit="1" customWidth="1"/>
    <col min="263" max="263" width="13.83203125" style="10" bestFit="1" customWidth="1"/>
    <col min="264" max="264" width="10.83203125" style="10"/>
    <col min="265" max="265" width="10.6640625" style="10" customWidth="1"/>
    <col min="266" max="512" width="10.83203125" style="10"/>
    <col min="513" max="514" width="0" style="10" hidden="1" customWidth="1"/>
    <col min="515" max="515" width="5" style="10" customWidth="1"/>
    <col min="516" max="516" width="15.1640625" style="10" bestFit="1" customWidth="1"/>
    <col min="517" max="517" width="12.83203125" style="10" bestFit="1" customWidth="1"/>
    <col min="518" max="518" width="25.6640625" style="10" bestFit="1" customWidth="1"/>
    <col min="519" max="519" width="13.83203125" style="10" bestFit="1" customWidth="1"/>
    <col min="520" max="520" width="10.83203125" style="10"/>
    <col min="521" max="521" width="10.6640625" style="10" customWidth="1"/>
    <col min="522" max="768" width="10.83203125" style="10"/>
    <col min="769" max="770" width="0" style="10" hidden="1" customWidth="1"/>
    <col min="771" max="771" width="5" style="10" customWidth="1"/>
    <col min="772" max="772" width="15.1640625" style="10" bestFit="1" customWidth="1"/>
    <col min="773" max="773" width="12.83203125" style="10" bestFit="1" customWidth="1"/>
    <col min="774" max="774" width="25.6640625" style="10" bestFit="1" customWidth="1"/>
    <col min="775" max="775" width="13.83203125" style="10" bestFit="1" customWidth="1"/>
    <col min="776" max="776" width="10.83203125" style="10"/>
    <col min="777" max="777" width="10.6640625" style="10" customWidth="1"/>
    <col min="778" max="1024" width="10.83203125" style="10"/>
    <col min="1025" max="1026" width="0" style="10" hidden="1" customWidth="1"/>
    <col min="1027" max="1027" width="5" style="10" customWidth="1"/>
    <col min="1028" max="1028" width="15.1640625" style="10" bestFit="1" customWidth="1"/>
    <col min="1029" max="1029" width="12.83203125" style="10" bestFit="1" customWidth="1"/>
    <col min="1030" max="1030" width="25.6640625" style="10" bestFit="1" customWidth="1"/>
    <col min="1031" max="1031" width="13.83203125" style="10" bestFit="1" customWidth="1"/>
    <col min="1032" max="1032" width="10.83203125" style="10"/>
    <col min="1033" max="1033" width="10.6640625" style="10" customWidth="1"/>
    <col min="1034" max="1280" width="10.83203125" style="10"/>
    <col min="1281" max="1282" width="0" style="10" hidden="1" customWidth="1"/>
    <col min="1283" max="1283" width="5" style="10" customWidth="1"/>
    <col min="1284" max="1284" width="15.1640625" style="10" bestFit="1" customWidth="1"/>
    <col min="1285" max="1285" width="12.83203125" style="10" bestFit="1" customWidth="1"/>
    <col min="1286" max="1286" width="25.6640625" style="10" bestFit="1" customWidth="1"/>
    <col min="1287" max="1287" width="13.83203125" style="10" bestFit="1" customWidth="1"/>
    <col min="1288" max="1288" width="10.83203125" style="10"/>
    <col min="1289" max="1289" width="10.6640625" style="10" customWidth="1"/>
    <col min="1290" max="1536" width="10.83203125" style="10"/>
    <col min="1537" max="1538" width="0" style="10" hidden="1" customWidth="1"/>
    <col min="1539" max="1539" width="5" style="10" customWidth="1"/>
    <col min="1540" max="1540" width="15.1640625" style="10" bestFit="1" customWidth="1"/>
    <col min="1541" max="1541" width="12.83203125" style="10" bestFit="1" customWidth="1"/>
    <col min="1542" max="1542" width="25.6640625" style="10" bestFit="1" customWidth="1"/>
    <col min="1543" max="1543" width="13.83203125" style="10" bestFit="1" customWidth="1"/>
    <col min="1544" max="1544" width="10.83203125" style="10"/>
    <col min="1545" max="1545" width="10.6640625" style="10" customWidth="1"/>
    <col min="1546" max="1792" width="10.83203125" style="10"/>
    <col min="1793" max="1794" width="0" style="10" hidden="1" customWidth="1"/>
    <col min="1795" max="1795" width="5" style="10" customWidth="1"/>
    <col min="1796" max="1796" width="15.1640625" style="10" bestFit="1" customWidth="1"/>
    <col min="1797" max="1797" width="12.83203125" style="10" bestFit="1" customWidth="1"/>
    <col min="1798" max="1798" width="25.6640625" style="10" bestFit="1" customWidth="1"/>
    <col min="1799" max="1799" width="13.83203125" style="10" bestFit="1" customWidth="1"/>
    <col min="1800" max="1800" width="10.83203125" style="10"/>
    <col min="1801" max="1801" width="10.6640625" style="10" customWidth="1"/>
    <col min="1802" max="2048" width="10.83203125" style="10"/>
    <col min="2049" max="2050" width="0" style="10" hidden="1" customWidth="1"/>
    <col min="2051" max="2051" width="5" style="10" customWidth="1"/>
    <col min="2052" max="2052" width="15.1640625" style="10" bestFit="1" customWidth="1"/>
    <col min="2053" max="2053" width="12.83203125" style="10" bestFit="1" customWidth="1"/>
    <col min="2054" max="2054" width="25.6640625" style="10" bestFit="1" customWidth="1"/>
    <col min="2055" max="2055" width="13.83203125" style="10" bestFit="1" customWidth="1"/>
    <col min="2056" max="2056" width="10.83203125" style="10"/>
    <col min="2057" max="2057" width="10.6640625" style="10" customWidth="1"/>
    <col min="2058" max="2304" width="10.83203125" style="10"/>
    <col min="2305" max="2306" width="0" style="10" hidden="1" customWidth="1"/>
    <col min="2307" max="2307" width="5" style="10" customWidth="1"/>
    <col min="2308" max="2308" width="15.1640625" style="10" bestFit="1" customWidth="1"/>
    <col min="2309" max="2309" width="12.83203125" style="10" bestFit="1" customWidth="1"/>
    <col min="2310" max="2310" width="25.6640625" style="10" bestFit="1" customWidth="1"/>
    <col min="2311" max="2311" width="13.83203125" style="10" bestFit="1" customWidth="1"/>
    <col min="2312" max="2312" width="10.83203125" style="10"/>
    <col min="2313" max="2313" width="10.6640625" style="10" customWidth="1"/>
    <col min="2314" max="2560" width="10.83203125" style="10"/>
    <col min="2561" max="2562" width="0" style="10" hidden="1" customWidth="1"/>
    <col min="2563" max="2563" width="5" style="10" customWidth="1"/>
    <col min="2564" max="2564" width="15.1640625" style="10" bestFit="1" customWidth="1"/>
    <col min="2565" max="2565" width="12.83203125" style="10" bestFit="1" customWidth="1"/>
    <col min="2566" max="2566" width="25.6640625" style="10" bestFit="1" customWidth="1"/>
    <col min="2567" max="2567" width="13.83203125" style="10" bestFit="1" customWidth="1"/>
    <col min="2568" max="2568" width="10.83203125" style="10"/>
    <col min="2569" max="2569" width="10.6640625" style="10" customWidth="1"/>
    <col min="2570" max="2816" width="10.83203125" style="10"/>
    <col min="2817" max="2818" width="0" style="10" hidden="1" customWidth="1"/>
    <col min="2819" max="2819" width="5" style="10" customWidth="1"/>
    <col min="2820" max="2820" width="15.1640625" style="10" bestFit="1" customWidth="1"/>
    <col min="2821" max="2821" width="12.83203125" style="10" bestFit="1" customWidth="1"/>
    <col min="2822" max="2822" width="25.6640625" style="10" bestFit="1" customWidth="1"/>
    <col min="2823" max="2823" width="13.83203125" style="10" bestFit="1" customWidth="1"/>
    <col min="2824" max="2824" width="10.83203125" style="10"/>
    <col min="2825" max="2825" width="10.6640625" style="10" customWidth="1"/>
    <col min="2826" max="3072" width="10.83203125" style="10"/>
    <col min="3073" max="3074" width="0" style="10" hidden="1" customWidth="1"/>
    <col min="3075" max="3075" width="5" style="10" customWidth="1"/>
    <col min="3076" max="3076" width="15.1640625" style="10" bestFit="1" customWidth="1"/>
    <col min="3077" max="3077" width="12.83203125" style="10" bestFit="1" customWidth="1"/>
    <col min="3078" max="3078" width="25.6640625" style="10" bestFit="1" customWidth="1"/>
    <col min="3079" max="3079" width="13.83203125" style="10" bestFit="1" customWidth="1"/>
    <col min="3080" max="3080" width="10.83203125" style="10"/>
    <col min="3081" max="3081" width="10.6640625" style="10" customWidth="1"/>
    <col min="3082" max="3328" width="10.83203125" style="10"/>
    <col min="3329" max="3330" width="0" style="10" hidden="1" customWidth="1"/>
    <col min="3331" max="3331" width="5" style="10" customWidth="1"/>
    <col min="3332" max="3332" width="15.1640625" style="10" bestFit="1" customWidth="1"/>
    <col min="3333" max="3333" width="12.83203125" style="10" bestFit="1" customWidth="1"/>
    <col min="3334" max="3334" width="25.6640625" style="10" bestFit="1" customWidth="1"/>
    <col min="3335" max="3335" width="13.83203125" style="10" bestFit="1" customWidth="1"/>
    <col min="3336" max="3336" width="10.83203125" style="10"/>
    <col min="3337" max="3337" width="10.6640625" style="10" customWidth="1"/>
    <col min="3338" max="3584" width="10.83203125" style="10"/>
    <col min="3585" max="3586" width="0" style="10" hidden="1" customWidth="1"/>
    <col min="3587" max="3587" width="5" style="10" customWidth="1"/>
    <col min="3588" max="3588" width="15.1640625" style="10" bestFit="1" customWidth="1"/>
    <col min="3589" max="3589" width="12.83203125" style="10" bestFit="1" customWidth="1"/>
    <col min="3590" max="3590" width="25.6640625" style="10" bestFit="1" customWidth="1"/>
    <col min="3591" max="3591" width="13.83203125" style="10" bestFit="1" customWidth="1"/>
    <col min="3592" max="3592" width="10.83203125" style="10"/>
    <col min="3593" max="3593" width="10.6640625" style="10" customWidth="1"/>
    <col min="3594" max="3840" width="10.83203125" style="10"/>
    <col min="3841" max="3842" width="0" style="10" hidden="1" customWidth="1"/>
    <col min="3843" max="3843" width="5" style="10" customWidth="1"/>
    <col min="3844" max="3844" width="15.1640625" style="10" bestFit="1" customWidth="1"/>
    <col min="3845" max="3845" width="12.83203125" style="10" bestFit="1" customWidth="1"/>
    <col min="3846" max="3846" width="25.6640625" style="10" bestFit="1" customWidth="1"/>
    <col min="3847" max="3847" width="13.83203125" style="10" bestFit="1" customWidth="1"/>
    <col min="3848" max="3848" width="10.83203125" style="10"/>
    <col min="3849" max="3849" width="10.6640625" style="10" customWidth="1"/>
    <col min="3850" max="4096" width="10.83203125" style="10"/>
    <col min="4097" max="4098" width="0" style="10" hidden="1" customWidth="1"/>
    <col min="4099" max="4099" width="5" style="10" customWidth="1"/>
    <col min="4100" max="4100" width="15.1640625" style="10" bestFit="1" customWidth="1"/>
    <col min="4101" max="4101" width="12.83203125" style="10" bestFit="1" customWidth="1"/>
    <col min="4102" max="4102" width="25.6640625" style="10" bestFit="1" customWidth="1"/>
    <col min="4103" max="4103" width="13.83203125" style="10" bestFit="1" customWidth="1"/>
    <col min="4104" max="4104" width="10.83203125" style="10"/>
    <col min="4105" max="4105" width="10.6640625" style="10" customWidth="1"/>
    <col min="4106" max="4352" width="10.83203125" style="10"/>
    <col min="4353" max="4354" width="0" style="10" hidden="1" customWidth="1"/>
    <col min="4355" max="4355" width="5" style="10" customWidth="1"/>
    <col min="4356" max="4356" width="15.1640625" style="10" bestFit="1" customWidth="1"/>
    <col min="4357" max="4357" width="12.83203125" style="10" bestFit="1" customWidth="1"/>
    <col min="4358" max="4358" width="25.6640625" style="10" bestFit="1" customWidth="1"/>
    <col min="4359" max="4359" width="13.83203125" style="10" bestFit="1" customWidth="1"/>
    <col min="4360" max="4360" width="10.83203125" style="10"/>
    <col min="4361" max="4361" width="10.6640625" style="10" customWidth="1"/>
    <col min="4362" max="4608" width="10.83203125" style="10"/>
    <col min="4609" max="4610" width="0" style="10" hidden="1" customWidth="1"/>
    <col min="4611" max="4611" width="5" style="10" customWidth="1"/>
    <col min="4612" max="4612" width="15.1640625" style="10" bestFit="1" customWidth="1"/>
    <col min="4613" max="4613" width="12.83203125" style="10" bestFit="1" customWidth="1"/>
    <col min="4614" max="4614" width="25.6640625" style="10" bestFit="1" customWidth="1"/>
    <col min="4615" max="4615" width="13.83203125" style="10" bestFit="1" customWidth="1"/>
    <col min="4616" max="4616" width="10.83203125" style="10"/>
    <col min="4617" max="4617" width="10.6640625" style="10" customWidth="1"/>
    <col min="4618" max="4864" width="10.83203125" style="10"/>
    <col min="4865" max="4866" width="0" style="10" hidden="1" customWidth="1"/>
    <col min="4867" max="4867" width="5" style="10" customWidth="1"/>
    <col min="4868" max="4868" width="15.1640625" style="10" bestFit="1" customWidth="1"/>
    <col min="4869" max="4869" width="12.83203125" style="10" bestFit="1" customWidth="1"/>
    <col min="4870" max="4870" width="25.6640625" style="10" bestFit="1" customWidth="1"/>
    <col min="4871" max="4871" width="13.83203125" style="10" bestFit="1" customWidth="1"/>
    <col min="4872" max="4872" width="10.83203125" style="10"/>
    <col min="4873" max="4873" width="10.6640625" style="10" customWidth="1"/>
    <col min="4874" max="5120" width="10.83203125" style="10"/>
    <col min="5121" max="5122" width="0" style="10" hidden="1" customWidth="1"/>
    <col min="5123" max="5123" width="5" style="10" customWidth="1"/>
    <col min="5124" max="5124" width="15.1640625" style="10" bestFit="1" customWidth="1"/>
    <col min="5125" max="5125" width="12.83203125" style="10" bestFit="1" customWidth="1"/>
    <col min="5126" max="5126" width="25.6640625" style="10" bestFit="1" customWidth="1"/>
    <col min="5127" max="5127" width="13.83203125" style="10" bestFit="1" customWidth="1"/>
    <col min="5128" max="5128" width="10.83203125" style="10"/>
    <col min="5129" max="5129" width="10.6640625" style="10" customWidth="1"/>
    <col min="5130" max="5376" width="10.83203125" style="10"/>
    <col min="5377" max="5378" width="0" style="10" hidden="1" customWidth="1"/>
    <col min="5379" max="5379" width="5" style="10" customWidth="1"/>
    <col min="5380" max="5380" width="15.1640625" style="10" bestFit="1" customWidth="1"/>
    <col min="5381" max="5381" width="12.83203125" style="10" bestFit="1" customWidth="1"/>
    <col min="5382" max="5382" width="25.6640625" style="10" bestFit="1" customWidth="1"/>
    <col min="5383" max="5383" width="13.83203125" style="10" bestFit="1" customWidth="1"/>
    <col min="5384" max="5384" width="10.83203125" style="10"/>
    <col min="5385" max="5385" width="10.6640625" style="10" customWidth="1"/>
    <col min="5386" max="5632" width="10.83203125" style="10"/>
    <col min="5633" max="5634" width="0" style="10" hidden="1" customWidth="1"/>
    <col min="5635" max="5635" width="5" style="10" customWidth="1"/>
    <col min="5636" max="5636" width="15.1640625" style="10" bestFit="1" customWidth="1"/>
    <col min="5637" max="5637" width="12.83203125" style="10" bestFit="1" customWidth="1"/>
    <col min="5638" max="5638" width="25.6640625" style="10" bestFit="1" customWidth="1"/>
    <col min="5639" max="5639" width="13.83203125" style="10" bestFit="1" customWidth="1"/>
    <col min="5640" max="5640" width="10.83203125" style="10"/>
    <col min="5641" max="5641" width="10.6640625" style="10" customWidth="1"/>
    <col min="5642" max="5888" width="10.83203125" style="10"/>
    <col min="5889" max="5890" width="0" style="10" hidden="1" customWidth="1"/>
    <col min="5891" max="5891" width="5" style="10" customWidth="1"/>
    <col min="5892" max="5892" width="15.1640625" style="10" bestFit="1" customWidth="1"/>
    <col min="5893" max="5893" width="12.83203125" style="10" bestFit="1" customWidth="1"/>
    <col min="5894" max="5894" width="25.6640625" style="10" bestFit="1" customWidth="1"/>
    <col min="5895" max="5895" width="13.83203125" style="10" bestFit="1" customWidth="1"/>
    <col min="5896" max="5896" width="10.83203125" style="10"/>
    <col min="5897" max="5897" width="10.6640625" style="10" customWidth="1"/>
    <col min="5898" max="6144" width="10.83203125" style="10"/>
    <col min="6145" max="6146" width="0" style="10" hidden="1" customWidth="1"/>
    <col min="6147" max="6147" width="5" style="10" customWidth="1"/>
    <col min="6148" max="6148" width="15.1640625" style="10" bestFit="1" customWidth="1"/>
    <col min="6149" max="6149" width="12.83203125" style="10" bestFit="1" customWidth="1"/>
    <col min="6150" max="6150" width="25.6640625" style="10" bestFit="1" customWidth="1"/>
    <col min="6151" max="6151" width="13.83203125" style="10" bestFit="1" customWidth="1"/>
    <col min="6152" max="6152" width="10.83203125" style="10"/>
    <col min="6153" max="6153" width="10.6640625" style="10" customWidth="1"/>
    <col min="6154" max="6400" width="10.83203125" style="10"/>
    <col min="6401" max="6402" width="0" style="10" hidden="1" customWidth="1"/>
    <col min="6403" max="6403" width="5" style="10" customWidth="1"/>
    <col min="6404" max="6404" width="15.1640625" style="10" bestFit="1" customWidth="1"/>
    <col min="6405" max="6405" width="12.83203125" style="10" bestFit="1" customWidth="1"/>
    <col min="6406" max="6406" width="25.6640625" style="10" bestFit="1" customWidth="1"/>
    <col min="6407" max="6407" width="13.83203125" style="10" bestFit="1" customWidth="1"/>
    <col min="6408" max="6408" width="10.83203125" style="10"/>
    <col min="6409" max="6409" width="10.6640625" style="10" customWidth="1"/>
    <col min="6410" max="6656" width="10.83203125" style="10"/>
    <col min="6657" max="6658" width="0" style="10" hidden="1" customWidth="1"/>
    <col min="6659" max="6659" width="5" style="10" customWidth="1"/>
    <col min="6660" max="6660" width="15.1640625" style="10" bestFit="1" customWidth="1"/>
    <col min="6661" max="6661" width="12.83203125" style="10" bestFit="1" customWidth="1"/>
    <col min="6662" max="6662" width="25.6640625" style="10" bestFit="1" customWidth="1"/>
    <col min="6663" max="6663" width="13.83203125" style="10" bestFit="1" customWidth="1"/>
    <col min="6664" max="6664" width="10.83203125" style="10"/>
    <col min="6665" max="6665" width="10.6640625" style="10" customWidth="1"/>
    <col min="6666" max="6912" width="10.83203125" style="10"/>
    <col min="6913" max="6914" width="0" style="10" hidden="1" customWidth="1"/>
    <col min="6915" max="6915" width="5" style="10" customWidth="1"/>
    <col min="6916" max="6916" width="15.1640625" style="10" bestFit="1" customWidth="1"/>
    <col min="6917" max="6917" width="12.83203125" style="10" bestFit="1" customWidth="1"/>
    <col min="6918" max="6918" width="25.6640625" style="10" bestFit="1" customWidth="1"/>
    <col min="6919" max="6919" width="13.83203125" style="10" bestFit="1" customWidth="1"/>
    <col min="6920" max="6920" width="10.83203125" style="10"/>
    <col min="6921" max="6921" width="10.6640625" style="10" customWidth="1"/>
    <col min="6922" max="7168" width="10.83203125" style="10"/>
    <col min="7169" max="7170" width="0" style="10" hidden="1" customWidth="1"/>
    <col min="7171" max="7171" width="5" style="10" customWidth="1"/>
    <col min="7172" max="7172" width="15.1640625" style="10" bestFit="1" customWidth="1"/>
    <col min="7173" max="7173" width="12.83203125" style="10" bestFit="1" customWidth="1"/>
    <col min="7174" max="7174" width="25.6640625" style="10" bestFit="1" customWidth="1"/>
    <col min="7175" max="7175" width="13.83203125" style="10" bestFit="1" customWidth="1"/>
    <col min="7176" max="7176" width="10.83203125" style="10"/>
    <col min="7177" max="7177" width="10.6640625" style="10" customWidth="1"/>
    <col min="7178" max="7424" width="10.83203125" style="10"/>
    <col min="7425" max="7426" width="0" style="10" hidden="1" customWidth="1"/>
    <col min="7427" max="7427" width="5" style="10" customWidth="1"/>
    <col min="7428" max="7428" width="15.1640625" style="10" bestFit="1" customWidth="1"/>
    <col min="7429" max="7429" width="12.83203125" style="10" bestFit="1" customWidth="1"/>
    <col min="7430" max="7430" width="25.6640625" style="10" bestFit="1" customWidth="1"/>
    <col min="7431" max="7431" width="13.83203125" style="10" bestFit="1" customWidth="1"/>
    <col min="7432" max="7432" width="10.83203125" style="10"/>
    <col min="7433" max="7433" width="10.6640625" style="10" customWidth="1"/>
    <col min="7434" max="7680" width="10.83203125" style="10"/>
    <col min="7681" max="7682" width="0" style="10" hidden="1" customWidth="1"/>
    <col min="7683" max="7683" width="5" style="10" customWidth="1"/>
    <col min="7684" max="7684" width="15.1640625" style="10" bestFit="1" customWidth="1"/>
    <col min="7685" max="7685" width="12.83203125" style="10" bestFit="1" customWidth="1"/>
    <col min="7686" max="7686" width="25.6640625" style="10" bestFit="1" customWidth="1"/>
    <col min="7687" max="7687" width="13.83203125" style="10" bestFit="1" customWidth="1"/>
    <col min="7688" max="7688" width="10.83203125" style="10"/>
    <col min="7689" max="7689" width="10.6640625" style="10" customWidth="1"/>
    <col min="7690" max="7936" width="10.83203125" style="10"/>
    <col min="7937" max="7938" width="0" style="10" hidden="1" customWidth="1"/>
    <col min="7939" max="7939" width="5" style="10" customWidth="1"/>
    <col min="7940" max="7940" width="15.1640625" style="10" bestFit="1" customWidth="1"/>
    <col min="7941" max="7941" width="12.83203125" style="10" bestFit="1" customWidth="1"/>
    <col min="7942" max="7942" width="25.6640625" style="10" bestFit="1" customWidth="1"/>
    <col min="7943" max="7943" width="13.83203125" style="10" bestFit="1" customWidth="1"/>
    <col min="7944" max="7944" width="10.83203125" style="10"/>
    <col min="7945" max="7945" width="10.6640625" style="10" customWidth="1"/>
    <col min="7946" max="8192" width="10.83203125" style="10"/>
    <col min="8193" max="8194" width="0" style="10" hidden="1" customWidth="1"/>
    <col min="8195" max="8195" width="5" style="10" customWidth="1"/>
    <col min="8196" max="8196" width="15.1640625" style="10" bestFit="1" customWidth="1"/>
    <col min="8197" max="8197" width="12.83203125" style="10" bestFit="1" customWidth="1"/>
    <col min="8198" max="8198" width="25.6640625" style="10" bestFit="1" customWidth="1"/>
    <col min="8199" max="8199" width="13.83203125" style="10" bestFit="1" customWidth="1"/>
    <col min="8200" max="8200" width="10.83203125" style="10"/>
    <col min="8201" max="8201" width="10.6640625" style="10" customWidth="1"/>
    <col min="8202" max="8448" width="10.83203125" style="10"/>
    <col min="8449" max="8450" width="0" style="10" hidden="1" customWidth="1"/>
    <col min="8451" max="8451" width="5" style="10" customWidth="1"/>
    <col min="8452" max="8452" width="15.1640625" style="10" bestFit="1" customWidth="1"/>
    <col min="8453" max="8453" width="12.83203125" style="10" bestFit="1" customWidth="1"/>
    <col min="8454" max="8454" width="25.6640625" style="10" bestFit="1" customWidth="1"/>
    <col min="8455" max="8455" width="13.83203125" style="10" bestFit="1" customWidth="1"/>
    <col min="8456" max="8456" width="10.83203125" style="10"/>
    <col min="8457" max="8457" width="10.6640625" style="10" customWidth="1"/>
    <col min="8458" max="8704" width="10.83203125" style="10"/>
    <col min="8705" max="8706" width="0" style="10" hidden="1" customWidth="1"/>
    <col min="8707" max="8707" width="5" style="10" customWidth="1"/>
    <col min="8708" max="8708" width="15.1640625" style="10" bestFit="1" customWidth="1"/>
    <col min="8709" max="8709" width="12.83203125" style="10" bestFit="1" customWidth="1"/>
    <col min="8710" max="8710" width="25.6640625" style="10" bestFit="1" customWidth="1"/>
    <col min="8711" max="8711" width="13.83203125" style="10" bestFit="1" customWidth="1"/>
    <col min="8712" max="8712" width="10.83203125" style="10"/>
    <col min="8713" max="8713" width="10.6640625" style="10" customWidth="1"/>
    <col min="8714" max="8960" width="10.83203125" style="10"/>
    <col min="8961" max="8962" width="0" style="10" hidden="1" customWidth="1"/>
    <col min="8963" max="8963" width="5" style="10" customWidth="1"/>
    <col min="8964" max="8964" width="15.1640625" style="10" bestFit="1" customWidth="1"/>
    <col min="8965" max="8965" width="12.83203125" style="10" bestFit="1" customWidth="1"/>
    <col min="8966" max="8966" width="25.6640625" style="10" bestFit="1" customWidth="1"/>
    <col min="8967" max="8967" width="13.83203125" style="10" bestFit="1" customWidth="1"/>
    <col min="8968" max="8968" width="10.83203125" style="10"/>
    <col min="8969" max="8969" width="10.6640625" style="10" customWidth="1"/>
    <col min="8970" max="9216" width="10.83203125" style="10"/>
    <col min="9217" max="9218" width="0" style="10" hidden="1" customWidth="1"/>
    <col min="9219" max="9219" width="5" style="10" customWidth="1"/>
    <col min="9220" max="9220" width="15.1640625" style="10" bestFit="1" customWidth="1"/>
    <col min="9221" max="9221" width="12.83203125" style="10" bestFit="1" customWidth="1"/>
    <col min="9222" max="9222" width="25.6640625" style="10" bestFit="1" customWidth="1"/>
    <col min="9223" max="9223" width="13.83203125" style="10" bestFit="1" customWidth="1"/>
    <col min="9224" max="9224" width="10.83203125" style="10"/>
    <col min="9225" max="9225" width="10.6640625" style="10" customWidth="1"/>
    <col min="9226" max="9472" width="10.83203125" style="10"/>
    <col min="9473" max="9474" width="0" style="10" hidden="1" customWidth="1"/>
    <col min="9475" max="9475" width="5" style="10" customWidth="1"/>
    <col min="9476" max="9476" width="15.1640625" style="10" bestFit="1" customWidth="1"/>
    <col min="9477" max="9477" width="12.83203125" style="10" bestFit="1" customWidth="1"/>
    <col min="9478" max="9478" width="25.6640625" style="10" bestFit="1" customWidth="1"/>
    <col min="9479" max="9479" width="13.83203125" style="10" bestFit="1" customWidth="1"/>
    <col min="9480" max="9480" width="10.83203125" style="10"/>
    <col min="9481" max="9481" width="10.6640625" style="10" customWidth="1"/>
    <col min="9482" max="9728" width="10.83203125" style="10"/>
    <col min="9729" max="9730" width="0" style="10" hidden="1" customWidth="1"/>
    <col min="9731" max="9731" width="5" style="10" customWidth="1"/>
    <col min="9732" max="9732" width="15.1640625" style="10" bestFit="1" customWidth="1"/>
    <col min="9733" max="9733" width="12.83203125" style="10" bestFit="1" customWidth="1"/>
    <col min="9734" max="9734" width="25.6640625" style="10" bestFit="1" customWidth="1"/>
    <col min="9735" max="9735" width="13.83203125" style="10" bestFit="1" customWidth="1"/>
    <col min="9736" max="9736" width="10.83203125" style="10"/>
    <col min="9737" max="9737" width="10.6640625" style="10" customWidth="1"/>
    <col min="9738" max="9984" width="10.83203125" style="10"/>
    <col min="9985" max="9986" width="0" style="10" hidden="1" customWidth="1"/>
    <col min="9987" max="9987" width="5" style="10" customWidth="1"/>
    <col min="9988" max="9988" width="15.1640625" style="10" bestFit="1" customWidth="1"/>
    <col min="9989" max="9989" width="12.83203125" style="10" bestFit="1" customWidth="1"/>
    <col min="9990" max="9990" width="25.6640625" style="10" bestFit="1" customWidth="1"/>
    <col min="9991" max="9991" width="13.83203125" style="10" bestFit="1" customWidth="1"/>
    <col min="9992" max="9992" width="10.83203125" style="10"/>
    <col min="9993" max="9993" width="10.6640625" style="10" customWidth="1"/>
    <col min="9994" max="10240" width="10.83203125" style="10"/>
    <col min="10241" max="10242" width="0" style="10" hidden="1" customWidth="1"/>
    <col min="10243" max="10243" width="5" style="10" customWidth="1"/>
    <col min="10244" max="10244" width="15.1640625" style="10" bestFit="1" customWidth="1"/>
    <col min="10245" max="10245" width="12.83203125" style="10" bestFit="1" customWidth="1"/>
    <col min="10246" max="10246" width="25.6640625" style="10" bestFit="1" customWidth="1"/>
    <col min="10247" max="10247" width="13.83203125" style="10" bestFit="1" customWidth="1"/>
    <col min="10248" max="10248" width="10.83203125" style="10"/>
    <col min="10249" max="10249" width="10.6640625" style="10" customWidth="1"/>
    <col min="10250" max="10496" width="10.83203125" style="10"/>
    <col min="10497" max="10498" width="0" style="10" hidden="1" customWidth="1"/>
    <col min="10499" max="10499" width="5" style="10" customWidth="1"/>
    <col min="10500" max="10500" width="15.1640625" style="10" bestFit="1" customWidth="1"/>
    <col min="10501" max="10501" width="12.83203125" style="10" bestFit="1" customWidth="1"/>
    <col min="10502" max="10502" width="25.6640625" style="10" bestFit="1" customWidth="1"/>
    <col min="10503" max="10503" width="13.83203125" style="10" bestFit="1" customWidth="1"/>
    <col min="10504" max="10504" width="10.83203125" style="10"/>
    <col min="10505" max="10505" width="10.6640625" style="10" customWidth="1"/>
    <col min="10506" max="10752" width="10.83203125" style="10"/>
    <col min="10753" max="10754" width="0" style="10" hidden="1" customWidth="1"/>
    <col min="10755" max="10755" width="5" style="10" customWidth="1"/>
    <col min="10756" max="10756" width="15.1640625" style="10" bestFit="1" customWidth="1"/>
    <col min="10757" max="10757" width="12.83203125" style="10" bestFit="1" customWidth="1"/>
    <col min="10758" max="10758" width="25.6640625" style="10" bestFit="1" customWidth="1"/>
    <col min="10759" max="10759" width="13.83203125" style="10" bestFit="1" customWidth="1"/>
    <col min="10760" max="10760" width="10.83203125" style="10"/>
    <col min="10761" max="10761" width="10.6640625" style="10" customWidth="1"/>
    <col min="10762" max="11008" width="10.83203125" style="10"/>
    <col min="11009" max="11010" width="0" style="10" hidden="1" customWidth="1"/>
    <col min="11011" max="11011" width="5" style="10" customWidth="1"/>
    <col min="11012" max="11012" width="15.1640625" style="10" bestFit="1" customWidth="1"/>
    <col min="11013" max="11013" width="12.83203125" style="10" bestFit="1" customWidth="1"/>
    <col min="11014" max="11014" width="25.6640625" style="10" bestFit="1" customWidth="1"/>
    <col min="11015" max="11015" width="13.83203125" style="10" bestFit="1" customWidth="1"/>
    <col min="11016" max="11016" width="10.83203125" style="10"/>
    <col min="11017" max="11017" width="10.6640625" style="10" customWidth="1"/>
    <col min="11018" max="11264" width="10.83203125" style="10"/>
    <col min="11265" max="11266" width="0" style="10" hidden="1" customWidth="1"/>
    <col min="11267" max="11267" width="5" style="10" customWidth="1"/>
    <col min="11268" max="11268" width="15.1640625" style="10" bestFit="1" customWidth="1"/>
    <col min="11269" max="11269" width="12.83203125" style="10" bestFit="1" customWidth="1"/>
    <col min="11270" max="11270" width="25.6640625" style="10" bestFit="1" customWidth="1"/>
    <col min="11271" max="11271" width="13.83203125" style="10" bestFit="1" customWidth="1"/>
    <col min="11272" max="11272" width="10.83203125" style="10"/>
    <col min="11273" max="11273" width="10.6640625" style="10" customWidth="1"/>
    <col min="11274" max="11520" width="10.83203125" style="10"/>
    <col min="11521" max="11522" width="0" style="10" hidden="1" customWidth="1"/>
    <col min="11523" max="11523" width="5" style="10" customWidth="1"/>
    <col min="11524" max="11524" width="15.1640625" style="10" bestFit="1" customWidth="1"/>
    <col min="11525" max="11525" width="12.83203125" style="10" bestFit="1" customWidth="1"/>
    <col min="11526" max="11526" width="25.6640625" style="10" bestFit="1" customWidth="1"/>
    <col min="11527" max="11527" width="13.83203125" style="10" bestFit="1" customWidth="1"/>
    <col min="11528" max="11528" width="10.83203125" style="10"/>
    <col min="11529" max="11529" width="10.6640625" style="10" customWidth="1"/>
    <col min="11530" max="11776" width="10.83203125" style="10"/>
    <col min="11777" max="11778" width="0" style="10" hidden="1" customWidth="1"/>
    <col min="11779" max="11779" width="5" style="10" customWidth="1"/>
    <col min="11780" max="11780" width="15.1640625" style="10" bestFit="1" customWidth="1"/>
    <col min="11781" max="11781" width="12.83203125" style="10" bestFit="1" customWidth="1"/>
    <col min="11782" max="11782" width="25.6640625" style="10" bestFit="1" customWidth="1"/>
    <col min="11783" max="11783" width="13.83203125" style="10" bestFit="1" customWidth="1"/>
    <col min="11784" max="11784" width="10.83203125" style="10"/>
    <col min="11785" max="11785" width="10.6640625" style="10" customWidth="1"/>
    <col min="11786" max="12032" width="10.83203125" style="10"/>
    <col min="12033" max="12034" width="0" style="10" hidden="1" customWidth="1"/>
    <col min="12035" max="12035" width="5" style="10" customWidth="1"/>
    <col min="12036" max="12036" width="15.1640625" style="10" bestFit="1" customWidth="1"/>
    <col min="12037" max="12037" width="12.83203125" style="10" bestFit="1" customWidth="1"/>
    <col min="12038" max="12038" width="25.6640625" style="10" bestFit="1" customWidth="1"/>
    <col min="12039" max="12039" width="13.83203125" style="10" bestFit="1" customWidth="1"/>
    <col min="12040" max="12040" width="10.83203125" style="10"/>
    <col min="12041" max="12041" width="10.6640625" style="10" customWidth="1"/>
    <col min="12042" max="12288" width="10.83203125" style="10"/>
    <col min="12289" max="12290" width="0" style="10" hidden="1" customWidth="1"/>
    <col min="12291" max="12291" width="5" style="10" customWidth="1"/>
    <col min="12292" max="12292" width="15.1640625" style="10" bestFit="1" customWidth="1"/>
    <col min="12293" max="12293" width="12.83203125" style="10" bestFit="1" customWidth="1"/>
    <col min="12294" max="12294" width="25.6640625" style="10" bestFit="1" customWidth="1"/>
    <col min="12295" max="12295" width="13.83203125" style="10" bestFit="1" customWidth="1"/>
    <col min="12296" max="12296" width="10.83203125" style="10"/>
    <col min="12297" max="12297" width="10.6640625" style="10" customWidth="1"/>
    <col min="12298" max="12544" width="10.83203125" style="10"/>
    <col min="12545" max="12546" width="0" style="10" hidden="1" customWidth="1"/>
    <col min="12547" max="12547" width="5" style="10" customWidth="1"/>
    <col min="12548" max="12548" width="15.1640625" style="10" bestFit="1" customWidth="1"/>
    <col min="12549" max="12549" width="12.83203125" style="10" bestFit="1" customWidth="1"/>
    <col min="12550" max="12550" width="25.6640625" style="10" bestFit="1" customWidth="1"/>
    <col min="12551" max="12551" width="13.83203125" style="10" bestFit="1" customWidth="1"/>
    <col min="12552" max="12552" width="10.83203125" style="10"/>
    <col min="12553" max="12553" width="10.6640625" style="10" customWidth="1"/>
    <col min="12554" max="12800" width="10.83203125" style="10"/>
    <col min="12801" max="12802" width="0" style="10" hidden="1" customWidth="1"/>
    <col min="12803" max="12803" width="5" style="10" customWidth="1"/>
    <col min="12804" max="12804" width="15.1640625" style="10" bestFit="1" customWidth="1"/>
    <col min="12805" max="12805" width="12.83203125" style="10" bestFit="1" customWidth="1"/>
    <col min="12806" max="12806" width="25.6640625" style="10" bestFit="1" customWidth="1"/>
    <col min="12807" max="12807" width="13.83203125" style="10" bestFit="1" customWidth="1"/>
    <col min="12808" max="12808" width="10.83203125" style="10"/>
    <col min="12809" max="12809" width="10.6640625" style="10" customWidth="1"/>
    <col min="12810" max="13056" width="10.83203125" style="10"/>
    <col min="13057" max="13058" width="0" style="10" hidden="1" customWidth="1"/>
    <col min="13059" max="13059" width="5" style="10" customWidth="1"/>
    <col min="13060" max="13060" width="15.1640625" style="10" bestFit="1" customWidth="1"/>
    <col min="13061" max="13061" width="12.83203125" style="10" bestFit="1" customWidth="1"/>
    <col min="13062" max="13062" width="25.6640625" style="10" bestFit="1" customWidth="1"/>
    <col min="13063" max="13063" width="13.83203125" style="10" bestFit="1" customWidth="1"/>
    <col min="13064" max="13064" width="10.83203125" style="10"/>
    <col min="13065" max="13065" width="10.6640625" style="10" customWidth="1"/>
    <col min="13066" max="13312" width="10.83203125" style="10"/>
    <col min="13313" max="13314" width="0" style="10" hidden="1" customWidth="1"/>
    <col min="13315" max="13315" width="5" style="10" customWidth="1"/>
    <col min="13316" max="13316" width="15.1640625" style="10" bestFit="1" customWidth="1"/>
    <col min="13317" max="13317" width="12.83203125" style="10" bestFit="1" customWidth="1"/>
    <col min="13318" max="13318" width="25.6640625" style="10" bestFit="1" customWidth="1"/>
    <col min="13319" max="13319" width="13.83203125" style="10" bestFit="1" customWidth="1"/>
    <col min="13320" max="13320" width="10.83203125" style="10"/>
    <col min="13321" max="13321" width="10.6640625" style="10" customWidth="1"/>
    <col min="13322" max="13568" width="10.83203125" style="10"/>
    <col min="13569" max="13570" width="0" style="10" hidden="1" customWidth="1"/>
    <col min="13571" max="13571" width="5" style="10" customWidth="1"/>
    <col min="13572" max="13572" width="15.1640625" style="10" bestFit="1" customWidth="1"/>
    <col min="13573" max="13573" width="12.83203125" style="10" bestFit="1" customWidth="1"/>
    <col min="13574" max="13574" width="25.6640625" style="10" bestFit="1" customWidth="1"/>
    <col min="13575" max="13575" width="13.83203125" style="10" bestFit="1" customWidth="1"/>
    <col min="13576" max="13576" width="10.83203125" style="10"/>
    <col min="13577" max="13577" width="10.6640625" style="10" customWidth="1"/>
    <col min="13578" max="13824" width="10.83203125" style="10"/>
    <col min="13825" max="13826" width="0" style="10" hidden="1" customWidth="1"/>
    <col min="13827" max="13827" width="5" style="10" customWidth="1"/>
    <col min="13828" max="13828" width="15.1640625" style="10" bestFit="1" customWidth="1"/>
    <col min="13829" max="13829" width="12.83203125" style="10" bestFit="1" customWidth="1"/>
    <col min="13830" max="13830" width="25.6640625" style="10" bestFit="1" customWidth="1"/>
    <col min="13831" max="13831" width="13.83203125" style="10" bestFit="1" customWidth="1"/>
    <col min="13832" max="13832" width="10.83203125" style="10"/>
    <col min="13833" max="13833" width="10.6640625" style="10" customWidth="1"/>
    <col min="13834" max="14080" width="10.83203125" style="10"/>
    <col min="14081" max="14082" width="0" style="10" hidden="1" customWidth="1"/>
    <col min="14083" max="14083" width="5" style="10" customWidth="1"/>
    <col min="14084" max="14084" width="15.1640625" style="10" bestFit="1" customWidth="1"/>
    <col min="14085" max="14085" width="12.83203125" style="10" bestFit="1" customWidth="1"/>
    <col min="14086" max="14086" width="25.6640625" style="10" bestFit="1" customWidth="1"/>
    <col min="14087" max="14087" width="13.83203125" style="10" bestFit="1" customWidth="1"/>
    <col min="14088" max="14088" width="10.83203125" style="10"/>
    <col min="14089" max="14089" width="10.6640625" style="10" customWidth="1"/>
    <col min="14090" max="14336" width="10.83203125" style="10"/>
    <col min="14337" max="14338" width="0" style="10" hidden="1" customWidth="1"/>
    <col min="14339" max="14339" width="5" style="10" customWidth="1"/>
    <col min="14340" max="14340" width="15.1640625" style="10" bestFit="1" customWidth="1"/>
    <col min="14341" max="14341" width="12.83203125" style="10" bestFit="1" customWidth="1"/>
    <col min="14342" max="14342" width="25.6640625" style="10" bestFit="1" customWidth="1"/>
    <col min="14343" max="14343" width="13.83203125" style="10" bestFit="1" customWidth="1"/>
    <col min="14344" max="14344" width="10.83203125" style="10"/>
    <col min="14345" max="14345" width="10.6640625" style="10" customWidth="1"/>
    <col min="14346" max="14592" width="10.83203125" style="10"/>
    <col min="14593" max="14594" width="0" style="10" hidden="1" customWidth="1"/>
    <col min="14595" max="14595" width="5" style="10" customWidth="1"/>
    <col min="14596" max="14596" width="15.1640625" style="10" bestFit="1" customWidth="1"/>
    <col min="14597" max="14597" width="12.83203125" style="10" bestFit="1" customWidth="1"/>
    <col min="14598" max="14598" width="25.6640625" style="10" bestFit="1" customWidth="1"/>
    <col min="14599" max="14599" width="13.83203125" style="10" bestFit="1" customWidth="1"/>
    <col min="14600" max="14600" width="10.83203125" style="10"/>
    <col min="14601" max="14601" width="10.6640625" style="10" customWidth="1"/>
    <col min="14602" max="14848" width="10.83203125" style="10"/>
    <col min="14849" max="14850" width="0" style="10" hidden="1" customWidth="1"/>
    <col min="14851" max="14851" width="5" style="10" customWidth="1"/>
    <col min="14852" max="14852" width="15.1640625" style="10" bestFit="1" customWidth="1"/>
    <col min="14853" max="14853" width="12.83203125" style="10" bestFit="1" customWidth="1"/>
    <col min="14854" max="14854" width="25.6640625" style="10" bestFit="1" customWidth="1"/>
    <col min="14855" max="14855" width="13.83203125" style="10" bestFit="1" customWidth="1"/>
    <col min="14856" max="14856" width="10.83203125" style="10"/>
    <col min="14857" max="14857" width="10.6640625" style="10" customWidth="1"/>
    <col min="14858" max="15104" width="10.83203125" style="10"/>
    <col min="15105" max="15106" width="0" style="10" hidden="1" customWidth="1"/>
    <col min="15107" max="15107" width="5" style="10" customWidth="1"/>
    <col min="15108" max="15108" width="15.1640625" style="10" bestFit="1" customWidth="1"/>
    <col min="15109" max="15109" width="12.83203125" style="10" bestFit="1" customWidth="1"/>
    <col min="15110" max="15110" width="25.6640625" style="10" bestFit="1" customWidth="1"/>
    <col min="15111" max="15111" width="13.83203125" style="10" bestFit="1" customWidth="1"/>
    <col min="15112" max="15112" width="10.83203125" style="10"/>
    <col min="15113" max="15113" width="10.6640625" style="10" customWidth="1"/>
    <col min="15114" max="15360" width="10.83203125" style="10"/>
    <col min="15361" max="15362" width="0" style="10" hidden="1" customWidth="1"/>
    <col min="15363" max="15363" width="5" style="10" customWidth="1"/>
    <col min="15364" max="15364" width="15.1640625" style="10" bestFit="1" customWidth="1"/>
    <col min="15365" max="15365" width="12.83203125" style="10" bestFit="1" customWidth="1"/>
    <col min="15366" max="15366" width="25.6640625" style="10" bestFit="1" customWidth="1"/>
    <col min="15367" max="15367" width="13.83203125" style="10" bestFit="1" customWidth="1"/>
    <col min="15368" max="15368" width="10.83203125" style="10"/>
    <col min="15369" max="15369" width="10.6640625" style="10" customWidth="1"/>
    <col min="15370" max="15616" width="10.83203125" style="10"/>
    <col min="15617" max="15618" width="0" style="10" hidden="1" customWidth="1"/>
    <col min="15619" max="15619" width="5" style="10" customWidth="1"/>
    <col min="15620" max="15620" width="15.1640625" style="10" bestFit="1" customWidth="1"/>
    <col min="15621" max="15621" width="12.83203125" style="10" bestFit="1" customWidth="1"/>
    <col min="15622" max="15622" width="25.6640625" style="10" bestFit="1" customWidth="1"/>
    <col min="15623" max="15623" width="13.83203125" style="10" bestFit="1" customWidth="1"/>
    <col min="15624" max="15624" width="10.83203125" style="10"/>
    <col min="15625" max="15625" width="10.6640625" style="10" customWidth="1"/>
    <col min="15626" max="15872" width="10.83203125" style="10"/>
    <col min="15873" max="15874" width="0" style="10" hidden="1" customWidth="1"/>
    <col min="15875" max="15875" width="5" style="10" customWidth="1"/>
    <col min="15876" max="15876" width="15.1640625" style="10" bestFit="1" customWidth="1"/>
    <col min="15877" max="15877" width="12.83203125" style="10" bestFit="1" customWidth="1"/>
    <col min="15878" max="15878" width="25.6640625" style="10" bestFit="1" customWidth="1"/>
    <col min="15879" max="15879" width="13.83203125" style="10" bestFit="1" customWidth="1"/>
    <col min="15880" max="15880" width="10.83203125" style="10"/>
    <col min="15881" max="15881" width="10.6640625" style="10" customWidth="1"/>
    <col min="15882" max="16128" width="10.83203125" style="10"/>
    <col min="16129" max="16130" width="0" style="10" hidden="1" customWidth="1"/>
    <col min="16131" max="16131" width="5" style="10" customWidth="1"/>
    <col min="16132" max="16132" width="15.1640625" style="10" bestFit="1" customWidth="1"/>
    <col min="16133" max="16133" width="12.83203125" style="10" bestFit="1" customWidth="1"/>
    <col min="16134" max="16134" width="25.6640625" style="10" bestFit="1" customWidth="1"/>
    <col min="16135" max="16135" width="13.83203125" style="10" bestFit="1" customWidth="1"/>
    <col min="16136" max="16136" width="10.83203125" style="10"/>
    <col min="16137" max="16137" width="10.6640625" style="10" customWidth="1"/>
    <col min="16138" max="16384" width="10.83203125" style="10"/>
  </cols>
  <sheetData>
    <row r="1" spans="1:13">
      <c r="D1" s="9" t="s">
        <v>64</v>
      </c>
      <c r="E1" s="9" t="s">
        <v>6</v>
      </c>
      <c r="F1" s="9"/>
      <c r="G1" s="9"/>
      <c r="H1" s="9"/>
      <c r="I1" s="9"/>
      <c r="J1" s="9"/>
      <c r="K1" s="52" t="s">
        <v>0</v>
      </c>
    </row>
    <row r="5" spans="1:13" s="6" customFormat="1" thickBot="1">
      <c r="A5" s="5"/>
      <c r="B5" s="5"/>
      <c r="D5" s="7"/>
      <c r="E5" s="8"/>
      <c r="F5" s="7"/>
      <c r="M5" s="5"/>
    </row>
    <row r="6" spans="1:13" s="6" customFormat="1" ht="15" customHeight="1">
      <c r="A6" s="5"/>
      <c r="B6" s="5"/>
      <c r="D6" s="128" t="s">
        <v>78</v>
      </c>
      <c r="E6" s="131"/>
      <c r="F6" s="133" t="s">
        <v>80</v>
      </c>
      <c r="G6" s="134"/>
      <c r="H6" s="135"/>
      <c r="I6" s="132" t="s">
        <v>62</v>
      </c>
      <c r="J6" s="129"/>
      <c r="K6" s="139" t="s">
        <v>81</v>
      </c>
      <c r="L6" s="139"/>
      <c r="M6" s="5"/>
    </row>
    <row r="7" spans="1:13" s="6" customFormat="1" ht="16" customHeight="1" thickBot="1">
      <c r="A7" s="5"/>
      <c r="B7" s="5"/>
      <c r="D7" s="128" t="s">
        <v>63</v>
      </c>
      <c r="E7" s="131"/>
      <c r="F7" s="136"/>
      <c r="G7" s="137"/>
      <c r="H7" s="138"/>
      <c r="I7" s="132" t="s">
        <v>1</v>
      </c>
      <c r="J7" s="129"/>
      <c r="K7" s="130">
        <f>L114</f>
        <v>0</v>
      </c>
      <c r="L7" s="130"/>
    </row>
    <row r="8" spans="1:13" s="6" customFormat="1" ht="15">
      <c r="A8" s="5"/>
      <c r="B8" s="5"/>
      <c r="D8" s="7"/>
      <c r="E8" s="8"/>
      <c r="F8" s="7"/>
      <c r="M8" s="5"/>
    </row>
    <row r="9" spans="1:13" s="6" customFormat="1" ht="15">
      <c r="A9" s="5"/>
      <c r="B9" s="5"/>
      <c r="D9" s="7"/>
      <c r="E9" s="8"/>
      <c r="F9" s="7"/>
      <c r="M9" s="5"/>
    </row>
    <row r="10" spans="1:13" s="6" customFormat="1" ht="15">
      <c r="A10" s="5"/>
      <c r="B10" s="5"/>
      <c r="C10" s="60"/>
      <c r="D10" s="148" t="s">
        <v>64</v>
      </c>
      <c r="E10" s="149" t="s">
        <v>6</v>
      </c>
      <c r="F10" s="148" t="s">
        <v>65</v>
      </c>
      <c r="G10" s="150" t="s">
        <v>55</v>
      </c>
      <c r="H10" s="150" t="s">
        <v>133</v>
      </c>
      <c r="I10" s="150" t="s">
        <v>66</v>
      </c>
      <c r="J10" s="150" t="s">
        <v>67</v>
      </c>
      <c r="K10" s="150" t="s">
        <v>0</v>
      </c>
      <c r="L10" s="150" t="s">
        <v>68</v>
      </c>
    </row>
    <row r="11" spans="1:13">
      <c r="A11" s="9">
        <f>$E$6</f>
        <v>0</v>
      </c>
      <c r="B11" s="9">
        <f>$E$7</f>
        <v>0</v>
      </c>
      <c r="D11" s="64" t="s">
        <v>82</v>
      </c>
      <c r="E11" s="140" t="s">
        <v>83</v>
      </c>
      <c r="F11" s="140" t="s">
        <v>84</v>
      </c>
      <c r="G11" s="61" t="s">
        <v>77</v>
      </c>
      <c r="H11" s="140" t="s">
        <v>2</v>
      </c>
      <c r="I11" s="143">
        <v>14</v>
      </c>
      <c r="J11" s="143">
        <f>SUM(I11*2)</f>
        <v>28</v>
      </c>
      <c r="K11" s="4"/>
      <c r="L11" s="11">
        <f>K11*I11</f>
        <v>0</v>
      </c>
      <c r="M11" s="9">
        <f>$N$7</f>
        <v>0</v>
      </c>
    </row>
    <row r="12" spans="1:13">
      <c r="A12" s="9">
        <f t="shared" ref="A12:A90" si="0">$E$6</f>
        <v>0</v>
      </c>
      <c r="B12" s="9">
        <f t="shared" ref="B12:B90" si="1">$E$7</f>
        <v>0</v>
      </c>
      <c r="D12" s="64" t="s">
        <v>85</v>
      </c>
      <c r="E12" s="140" t="s">
        <v>86</v>
      </c>
      <c r="F12" s="140" t="s">
        <v>84</v>
      </c>
      <c r="G12" s="61" t="s">
        <v>77</v>
      </c>
      <c r="H12" s="140" t="s">
        <v>56</v>
      </c>
      <c r="I12" s="143">
        <v>14</v>
      </c>
      <c r="J12" s="143">
        <f t="shared" ref="J12:J57" si="2">SUM(I12*2)</f>
        <v>28</v>
      </c>
      <c r="K12" s="4"/>
      <c r="L12" s="11">
        <f t="shared" ref="L12:L72" si="3">K12*I12</f>
        <v>0</v>
      </c>
      <c r="M12" s="9">
        <f t="shared" ref="M12:M90" si="4">$N$7</f>
        <v>0</v>
      </c>
    </row>
    <row r="13" spans="1:13">
      <c r="A13" s="9">
        <f t="shared" si="0"/>
        <v>0</v>
      </c>
      <c r="B13" s="9">
        <f t="shared" si="1"/>
        <v>0</v>
      </c>
      <c r="D13" s="65" t="s">
        <v>87</v>
      </c>
      <c r="E13" s="141" t="s">
        <v>88</v>
      </c>
      <c r="F13" s="141" t="s">
        <v>89</v>
      </c>
      <c r="G13" s="146" t="s">
        <v>77</v>
      </c>
      <c r="H13" s="141" t="s">
        <v>130</v>
      </c>
      <c r="I13" s="145">
        <v>14</v>
      </c>
      <c r="J13" s="152">
        <f t="shared" si="2"/>
        <v>28</v>
      </c>
      <c r="K13" s="154"/>
      <c r="L13" s="156">
        <f t="shared" si="3"/>
        <v>0</v>
      </c>
      <c r="M13" s="9">
        <f t="shared" si="4"/>
        <v>0</v>
      </c>
    </row>
    <row r="14" spans="1:13">
      <c r="A14" s="9">
        <f t="shared" si="0"/>
        <v>0</v>
      </c>
      <c r="B14" s="9">
        <f t="shared" si="1"/>
        <v>0</v>
      </c>
      <c r="D14" s="65" t="s">
        <v>90</v>
      </c>
      <c r="E14" s="141" t="s">
        <v>91</v>
      </c>
      <c r="F14" s="141" t="s">
        <v>89</v>
      </c>
      <c r="G14" s="146" t="s">
        <v>77</v>
      </c>
      <c r="H14" s="141" t="s">
        <v>2</v>
      </c>
      <c r="I14" s="145">
        <v>14</v>
      </c>
      <c r="J14" s="152">
        <f t="shared" si="2"/>
        <v>28</v>
      </c>
      <c r="K14" s="154"/>
      <c r="L14" s="156">
        <f t="shared" si="3"/>
        <v>0</v>
      </c>
      <c r="M14" s="9">
        <f t="shared" si="4"/>
        <v>0</v>
      </c>
    </row>
    <row r="15" spans="1:13">
      <c r="A15" s="9">
        <f t="shared" si="0"/>
        <v>0</v>
      </c>
      <c r="B15" s="9">
        <f t="shared" si="1"/>
        <v>0</v>
      </c>
      <c r="D15" s="64" t="s">
        <v>92</v>
      </c>
      <c r="E15" s="140" t="s">
        <v>93</v>
      </c>
      <c r="F15" s="140" t="s">
        <v>94</v>
      </c>
      <c r="G15" s="61" t="s">
        <v>77</v>
      </c>
      <c r="H15" s="140" t="s">
        <v>57</v>
      </c>
      <c r="I15" s="143">
        <v>14</v>
      </c>
      <c r="J15" s="143">
        <f t="shared" si="2"/>
        <v>28</v>
      </c>
      <c r="K15" s="4"/>
      <c r="L15" s="11">
        <f t="shared" si="3"/>
        <v>0</v>
      </c>
      <c r="M15" s="9">
        <f t="shared" si="4"/>
        <v>0</v>
      </c>
    </row>
    <row r="16" spans="1:13">
      <c r="A16" s="9">
        <f t="shared" si="0"/>
        <v>0</v>
      </c>
      <c r="B16" s="9">
        <f t="shared" si="1"/>
        <v>0</v>
      </c>
      <c r="D16" s="64" t="s">
        <v>95</v>
      </c>
      <c r="E16" s="140" t="s">
        <v>96</v>
      </c>
      <c r="F16" s="140" t="s">
        <v>94</v>
      </c>
      <c r="G16" s="61" t="s">
        <v>77</v>
      </c>
      <c r="H16" s="140" t="s">
        <v>131</v>
      </c>
      <c r="I16" s="143">
        <v>14</v>
      </c>
      <c r="J16" s="143">
        <f t="shared" si="2"/>
        <v>28</v>
      </c>
      <c r="K16" s="4"/>
      <c r="L16" s="11">
        <f t="shared" si="3"/>
        <v>0</v>
      </c>
      <c r="M16" s="9">
        <f t="shared" si="4"/>
        <v>0</v>
      </c>
    </row>
    <row r="17" spans="1:13">
      <c r="A17" s="9">
        <f t="shared" si="0"/>
        <v>0</v>
      </c>
      <c r="B17" s="9">
        <f t="shared" si="1"/>
        <v>0</v>
      </c>
      <c r="D17" s="65" t="s">
        <v>97</v>
      </c>
      <c r="E17" s="141" t="s">
        <v>98</v>
      </c>
      <c r="F17" s="141" t="s">
        <v>99</v>
      </c>
      <c r="G17" s="146" t="s">
        <v>77</v>
      </c>
      <c r="H17" s="141" t="s">
        <v>130</v>
      </c>
      <c r="I17" s="145">
        <v>14</v>
      </c>
      <c r="J17" s="152">
        <f t="shared" si="2"/>
        <v>28</v>
      </c>
      <c r="K17" s="154"/>
      <c r="L17" s="156">
        <f t="shared" si="3"/>
        <v>0</v>
      </c>
      <c r="M17" s="9">
        <f t="shared" si="4"/>
        <v>0</v>
      </c>
    </row>
    <row r="18" spans="1:13">
      <c r="A18" s="9">
        <f t="shared" si="0"/>
        <v>0</v>
      </c>
      <c r="B18" s="9">
        <f t="shared" si="1"/>
        <v>0</v>
      </c>
      <c r="D18" s="65" t="s">
        <v>100</v>
      </c>
      <c r="E18" s="141" t="s">
        <v>101</v>
      </c>
      <c r="F18" s="141" t="s">
        <v>99</v>
      </c>
      <c r="G18" s="146" t="s">
        <v>77</v>
      </c>
      <c r="H18" s="141" t="s">
        <v>2</v>
      </c>
      <c r="I18" s="145">
        <v>14</v>
      </c>
      <c r="J18" s="152">
        <f t="shared" si="2"/>
        <v>28</v>
      </c>
      <c r="K18" s="154"/>
      <c r="L18" s="156">
        <f t="shared" si="3"/>
        <v>0</v>
      </c>
      <c r="M18" s="9">
        <f t="shared" si="4"/>
        <v>0</v>
      </c>
    </row>
    <row r="19" spans="1:13">
      <c r="A19" s="9">
        <f t="shared" si="0"/>
        <v>0</v>
      </c>
      <c r="B19" s="9">
        <f t="shared" si="1"/>
        <v>0</v>
      </c>
      <c r="D19" s="64" t="s">
        <v>102</v>
      </c>
      <c r="E19" s="140" t="s">
        <v>103</v>
      </c>
      <c r="F19" s="140" t="s">
        <v>104</v>
      </c>
      <c r="G19" s="61" t="s">
        <v>77</v>
      </c>
      <c r="H19" s="140" t="s">
        <v>56</v>
      </c>
      <c r="I19" s="143">
        <v>14</v>
      </c>
      <c r="J19" s="143">
        <f t="shared" si="2"/>
        <v>28</v>
      </c>
      <c r="K19" s="4"/>
      <c r="L19" s="11">
        <f t="shared" si="3"/>
        <v>0</v>
      </c>
      <c r="M19" s="9">
        <f t="shared" si="4"/>
        <v>0</v>
      </c>
    </row>
    <row r="20" spans="1:13">
      <c r="A20" s="9">
        <f t="shared" si="0"/>
        <v>0</v>
      </c>
      <c r="B20" s="9">
        <f t="shared" si="1"/>
        <v>0</v>
      </c>
      <c r="D20" s="64" t="s">
        <v>105</v>
      </c>
      <c r="E20" s="140" t="s">
        <v>106</v>
      </c>
      <c r="F20" s="140" t="s">
        <v>104</v>
      </c>
      <c r="G20" s="61" t="s">
        <v>77</v>
      </c>
      <c r="H20" s="140" t="s">
        <v>59</v>
      </c>
      <c r="I20" s="143">
        <v>14</v>
      </c>
      <c r="J20" s="143">
        <f t="shared" si="2"/>
        <v>28</v>
      </c>
      <c r="K20" s="4"/>
      <c r="L20" s="11">
        <f t="shared" si="3"/>
        <v>0</v>
      </c>
      <c r="M20" s="9">
        <f t="shared" si="4"/>
        <v>0</v>
      </c>
    </row>
    <row r="21" spans="1:13">
      <c r="A21" s="9">
        <f t="shared" si="0"/>
        <v>0</v>
      </c>
      <c r="B21" s="9">
        <f t="shared" si="1"/>
        <v>0</v>
      </c>
      <c r="D21" s="65" t="s">
        <v>107</v>
      </c>
      <c r="E21" s="141" t="s">
        <v>108</v>
      </c>
      <c r="F21" s="141" t="s">
        <v>109</v>
      </c>
      <c r="G21" s="146" t="s">
        <v>77</v>
      </c>
      <c r="H21" s="141" t="s">
        <v>2</v>
      </c>
      <c r="I21" s="145">
        <v>14</v>
      </c>
      <c r="J21" s="152">
        <f t="shared" si="2"/>
        <v>28</v>
      </c>
      <c r="K21" s="154"/>
      <c r="L21" s="156">
        <f t="shared" si="3"/>
        <v>0</v>
      </c>
      <c r="M21" s="9">
        <f t="shared" si="4"/>
        <v>0</v>
      </c>
    </row>
    <row r="22" spans="1:13">
      <c r="A22" s="9">
        <f t="shared" si="0"/>
        <v>0</v>
      </c>
      <c r="B22" s="9">
        <f t="shared" si="1"/>
        <v>0</v>
      </c>
      <c r="D22" s="65" t="s">
        <v>110</v>
      </c>
      <c r="E22" s="141" t="s">
        <v>111</v>
      </c>
      <c r="F22" s="141" t="s">
        <v>109</v>
      </c>
      <c r="G22" s="146" t="s">
        <v>77</v>
      </c>
      <c r="H22" s="141" t="s">
        <v>58</v>
      </c>
      <c r="I22" s="145">
        <v>14</v>
      </c>
      <c r="J22" s="152">
        <f t="shared" si="2"/>
        <v>28</v>
      </c>
      <c r="K22" s="154"/>
      <c r="L22" s="156">
        <f t="shared" si="3"/>
        <v>0</v>
      </c>
      <c r="M22" s="9">
        <f t="shared" si="4"/>
        <v>0</v>
      </c>
    </row>
    <row r="23" spans="1:13">
      <c r="A23" s="9">
        <f t="shared" si="0"/>
        <v>0</v>
      </c>
      <c r="B23" s="9">
        <f t="shared" si="1"/>
        <v>0</v>
      </c>
      <c r="D23" s="64" t="s">
        <v>112</v>
      </c>
      <c r="E23" s="140" t="s">
        <v>113</v>
      </c>
      <c r="F23" s="140" t="s">
        <v>114</v>
      </c>
      <c r="G23" s="61" t="s">
        <v>77</v>
      </c>
      <c r="H23" s="140" t="s">
        <v>132</v>
      </c>
      <c r="I23" s="143">
        <v>14</v>
      </c>
      <c r="J23" s="143">
        <f t="shared" si="2"/>
        <v>28</v>
      </c>
      <c r="K23" s="4"/>
      <c r="L23" s="11">
        <f t="shared" si="3"/>
        <v>0</v>
      </c>
      <c r="M23" s="9">
        <f t="shared" si="4"/>
        <v>0</v>
      </c>
    </row>
    <row r="24" spans="1:13">
      <c r="A24" s="9">
        <f t="shared" si="0"/>
        <v>0</v>
      </c>
      <c r="B24" s="9">
        <f t="shared" si="1"/>
        <v>0</v>
      </c>
      <c r="D24" s="64" t="s">
        <v>115</v>
      </c>
      <c r="E24" s="140" t="s">
        <v>116</v>
      </c>
      <c r="F24" s="140" t="s">
        <v>114</v>
      </c>
      <c r="G24" s="61" t="s">
        <v>77</v>
      </c>
      <c r="H24" s="140" t="s">
        <v>58</v>
      </c>
      <c r="I24" s="143">
        <v>14</v>
      </c>
      <c r="J24" s="143">
        <f t="shared" si="2"/>
        <v>28</v>
      </c>
      <c r="K24" s="4"/>
      <c r="L24" s="11">
        <f t="shared" si="3"/>
        <v>0</v>
      </c>
      <c r="M24" s="9">
        <f t="shared" si="4"/>
        <v>0</v>
      </c>
    </row>
    <row r="25" spans="1:13">
      <c r="A25" s="9">
        <f t="shared" si="0"/>
        <v>0</v>
      </c>
      <c r="B25" s="9">
        <f t="shared" si="1"/>
        <v>0</v>
      </c>
      <c r="D25" s="65" t="s">
        <v>117</v>
      </c>
      <c r="E25" s="141" t="s">
        <v>118</v>
      </c>
      <c r="F25" s="141" t="s">
        <v>119</v>
      </c>
      <c r="G25" s="146" t="s">
        <v>77</v>
      </c>
      <c r="H25" s="141" t="s">
        <v>2</v>
      </c>
      <c r="I25" s="145">
        <v>14</v>
      </c>
      <c r="J25" s="152">
        <f t="shared" si="2"/>
        <v>28</v>
      </c>
      <c r="K25" s="154"/>
      <c r="L25" s="156">
        <f t="shared" si="3"/>
        <v>0</v>
      </c>
      <c r="M25" s="9">
        <f t="shared" si="4"/>
        <v>0</v>
      </c>
    </row>
    <row r="26" spans="1:13">
      <c r="A26" s="9">
        <f t="shared" si="0"/>
        <v>0</v>
      </c>
      <c r="B26" s="9">
        <f t="shared" si="1"/>
        <v>0</v>
      </c>
      <c r="D26" s="65" t="s">
        <v>120</v>
      </c>
      <c r="E26" s="141" t="s">
        <v>121</v>
      </c>
      <c r="F26" s="141" t="s">
        <v>119</v>
      </c>
      <c r="G26" s="146" t="s">
        <v>77</v>
      </c>
      <c r="H26" s="141" t="s">
        <v>56</v>
      </c>
      <c r="I26" s="145">
        <v>14</v>
      </c>
      <c r="J26" s="152">
        <f t="shared" si="2"/>
        <v>28</v>
      </c>
      <c r="K26" s="154"/>
      <c r="L26" s="156">
        <f t="shared" si="3"/>
        <v>0</v>
      </c>
      <c r="M26" s="9">
        <f t="shared" si="4"/>
        <v>0</v>
      </c>
    </row>
    <row r="27" spans="1:13">
      <c r="A27" s="9">
        <f t="shared" si="0"/>
        <v>0</v>
      </c>
      <c r="B27" s="9">
        <f t="shared" si="1"/>
        <v>0</v>
      </c>
      <c r="D27" s="64" t="s">
        <v>122</v>
      </c>
      <c r="E27" s="140" t="s">
        <v>123</v>
      </c>
      <c r="F27" s="140" t="s">
        <v>124</v>
      </c>
      <c r="G27" s="61" t="s">
        <v>77</v>
      </c>
      <c r="H27" s="140" t="s">
        <v>61</v>
      </c>
      <c r="I27" s="143">
        <v>14</v>
      </c>
      <c r="J27" s="143">
        <f t="shared" si="2"/>
        <v>28</v>
      </c>
      <c r="K27" s="4"/>
      <c r="L27" s="11">
        <f t="shared" si="3"/>
        <v>0</v>
      </c>
      <c r="M27" s="9">
        <f t="shared" si="4"/>
        <v>0</v>
      </c>
    </row>
    <row r="28" spans="1:13">
      <c r="A28" s="9">
        <f t="shared" si="0"/>
        <v>0</v>
      </c>
      <c r="B28" s="9">
        <f t="shared" si="1"/>
        <v>0</v>
      </c>
      <c r="D28" s="64" t="s">
        <v>125</v>
      </c>
      <c r="E28" s="140" t="s">
        <v>126</v>
      </c>
      <c r="F28" s="140" t="s">
        <v>124</v>
      </c>
      <c r="G28" s="147" t="s">
        <v>77</v>
      </c>
      <c r="H28" s="140" t="s">
        <v>2</v>
      </c>
      <c r="I28" s="143">
        <v>14</v>
      </c>
      <c r="J28" s="143">
        <f t="shared" si="2"/>
        <v>28</v>
      </c>
      <c r="K28" s="4"/>
      <c r="L28" s="11">
        <f t="shared" si="3"/>
        <v>0</v>
      </c>
      <c r="M28" s="9">
        <f t="shared" si="4"/>
        <v>0</v>
      </c>
    </row>
    <row r="29" spans="1:13">
      <c r="A29" s="9">
        <f t="shared" si="0"/>
        <v>0</v>
      </c>
      <c r="B29" s="9">
        <f t="shared" si="1"/>
        <v>0</v>
      </c>
      <c r="D29" s="65" t="s">
        <v>127</v>
      </c>
      <c r="E29" s="141" t="s">
        <v>128</v>
      </c>
      <c r="F29" s="141" t="s">
        <v>129</v>
      </c>
      <c r="G29" s="146" t="s">
        <v>77</v>
      </c>
      <c r="H29" s="141" t="s">
        <v>2</v>
      </c>
      <c r="I29" s="145">
        <v>14</v>
      </c>
      <c r="J29" s="152">
        <f t="shared" si="2"/>
        <v>28</v>
      </c>
      <c r="K29" s="154"/>
      <c r="L29" s="156">
        <f t="shared" si="3"/>
        <v>0</v>
      </c>
      <c r="M29" s="9">
        <f t="shared" si="4"/>
        <v>0</v>
      </c>
    </row>
    <row r="30" spans="1:13">
      <c r="A30" s="9">
        <f t="shared" si="0"/>
        <v>0</v>
      </c>
      <c r="B30" s="9">
        <f t="shared" si="1"/>
        <v>0</v>
      </c>
      <c r="D30" s="64" t="s">
        <v>134</v>
      </c>
      <c r="E30" s="140" t="s">
        <v>135</v>
      </c>
      <c r="F30" s="140" t="s">
        <v>136</v>
      </c>
      <c r="G30" s="61" t="s">
        <v>77</v>
      </c>
      <c r="H30" s="140" t="s">
        <v>54</v>
      </c>
      <c r="I30" s="143">
        <v>14</v>
      </c>
      <c r="J30" s="143">
        <f t="shared" si="2"/>
        <v>28</v>
      </c>
      <c r="K30" s="4"/>
      <c r="L30" s="11">
        <f t="shared" si="3"/>
        <v>0</v>
      </c>
      <c r="M30" s="9">
        <f t="shared" si="4"/>
        <v>0</v>
      </c>
    </row>
    <row r="31" spans="1:13">
      <c r="A31" s="9">
        <f t="shared" si="0"/>
        <v>0</v>
      </c>
      <c r="B31" s="9">
        <f t="shared" si="1"/>
        <v>0</v>
      </c>
      <c r="D31" s="64" t="s">
        <v>137</v>
      </c>
      <c r="E31" s="140" t="s">
        <v>138</v>
      </c>
      <c r="F31" s="140" t="s">
        <v>136</v>
      </c>
      <c r="G31" s="61" t="s">
        <v>77</v>
      </c>
      <c r="H31" s="140" t="s">
        <v>131</v>
      </c>
      <c r="I31" s="143">
        <v>14</v>
      </c>
      <c r="J31" s="143">
        <f t="shared" si="2"/>
        <v>28</v>
      </c>
      <c r="K31" s="4"/>
      <c r="L31" s="11">
        <f t="shared" si="3"/>
        <v>0</v>
      </c>
      <c r="M31" s="9">
        <f t="shared" si="4"/>
        <v>0</v>
      </c>
    </row>
    <row r="32" spans="1:13">
      <c r="A32" s="9">
        <f t="shared" si="0"/>
        <v>0</v>
      </c>
      <c r="B32" s="9">
        <f t="shared" si="1"/>
        <v>0</v>
      </c>
      <c r="D32" s="65" t="s">
        <v>139</v>
      </c>
      <c r="E32" s="141" t="s">
        <v>140</v>
      </c>
      <c r="F32" s="141" t="s">
        <v>141</v>
      </c>
      <c r="G32" s="62" t="s">
        <v>77</v>
      </c>
      <c r="H32" s="141" t="s">
        <v>130</v>
      </c>
      <c r="I32" s="145">
        <v>14</v>
      </c>
      <c r="J32" s="152">
        <f t="shared" si="2"/>
        <v>28</v>
      </c>
      <c r="K32" s="154"/>
      <c r="L32" s="156">
        <f t="shared" si="3"/>
        <v>0</v>
      </c>
      <c r="M32" s="9">
        <f t="shared" si="4"/>
        <v>0</v>
      </c>
    </row>
    <row r="33" spans="1:13">
      <c r="A33" s="9">
        <f t="shared" si="0"/>
        <v>0</v>
      </c>
      <c r="B33" s="9">
        <f t="shared" si="1"/>
        <v>0</v>
      </c>
      <c r="D33" s="65" t="s">
        <v>142</v>
      </c>
      <c r="E33" s="141" t="s">
        <v>143</v>
      </c>
      <c r="F33" s="141" t="s">
        <v>141</v>
      </c>
      <c r="G33" s="62" t="s">
        <v>77</v>
      </c>
      <c r="H33" s="141" t="s">
        <v>2</v>
      </c>
      <c r="I33" s="145">
        <v>14</v>
      </c>
      <c r="J33" s="152">
        <f t="shared" si="2"/>
        <v>28</v>
      </c>
      <c r="K33" s="154"/>
      <c r="L33" s="156">
        <f t="shared" si="3"/>
        <v>0</v>
      </c>
      <c r="M33" s="9">
        <f t="shared" si="4"/>
        <v>0</v>
      </c>
    </row>
    <row r="34" spans="1:13">
      <c r="A34" s="9">
        <f t="shared" si="0"/>
        <v>0</v>
      </c>
      <c r="B34" s="9">
        <f t="shared" si="1"/>
        <v>0</v>
      </c>
      <c r="D34" s="64" t="s">
        <v>144</v>
      </c>
      <c r="E34" s="140" t="s">
        <v>145</v>
      </c>
      <c r="F34" s="140" t="s">
        <v>146</v>
      </c>
      <c r="G34" s="61" t="s">
        <v>77</v>
      </c>
      <c r="H34" s="140" t="s">
        <v>59</v>
      </c>
      <c r="I34" s="143">
        <v>14</v>
      </c>
      <c r="J34" s="143">
        <f t="shared" si="2"/>
        <v>28</v>
      </c>
      <c r="K34" s="4"/>
      <c r="L34" s="11">
        <f t="shared" si="3"/>
        <v>0</v>
      </c>
      <c r="M34" s="9">
        <f t="shared" si="4"/>
        <v>0</v>
      </c>
    </row>
    <row r="35" spans="1:13">
      <c r="A35" s="9">
        <f t="shared" si="0"/>
        <v>0</v>
      </c>
      <c r="B35" s="9">
        <f t="shared" si="1"/>
        <v>0</v>
      </c>
      <c r="D35" s="64" t="s">
        <v>147</v>
      </c>
      <c r="E35" s="140" t="s">
        <v>148</v>
      </c>
      <c r="F35" s="140" t="s">
        <v>146</v>
      </c>
      <c r="G35" s="61" t="s">
        <v>77</v>
      </c>
      <c r="H35" s="140" t="s">
        <v>132</v>
      </c>
      <c r="I35" s="143">
        <v>14</v>
      </c>
      <c r="J35" s="143">
        <f t="shared" si="2"/>
        <v>28</v>
      </c>
      <c r="K35" s="4"/>
      <c r="L35" s="11">
        <f t="shared" si="3"/>
        <v>0</v>
      </c>
      <c r="M35" s="9">
        <f t="shared" si="4"/>
        <v>0</v>
      </c>
    </row>
    <row r="36" spans="1:13">
      <c r="A36" s="9">
        <f t="shared" si="0"/>
        <v>0</v>
      </c>
      <c r="B36" s="9">
        <f t="shared" si="1"/>
        <v>0</v>
      </c>
      <c r="D36" s="65" t="s">
        <v>149</v>
      </c>
      <c r="E36" s="141" t="s">
        <v>150</v>
      </c>
      <c r="F36" s="141" t="s">
        <v>151</v>
      </c>
      <c r="G36" s="62" t="s">
        <v>77</v>
      </c>
      <c r="H36" s="141" t="s">
        <v>57</v>
      </c>
      <c r="I36" s="145">
        <v>14</v>
      </c>
      <c r="J36" s="152">
        <f t="shared" si="2"/>
        <v>28</v>
      </c>
      <c r="K36" s="154"/>
      <c r="L36" s="156">
        <f t="shared" si="3"/>
        <v>0</v>
      </c>
      <c r="M36" s="9">
        <f t="shared" si="4"/>
        <v>0</v>
      </c>
    </row>
    <row r="37" spans="1:13">
      <c r="A37" s="9">
        <f t="shared" si="0"/>
        <v>0</v>
      </c>
      <c r="B37" s="9">
        <f t="shared" si="1"/>
        <v>0</v>
      </c>
      <c r="D37" s="65" t="s">
        <v>152</v>
      </c>
      <c r="E37" s="141" t="s">
        <v>153</v>
      </c>
      <c r="F37" s="141" t="s">
        <v>151</v>
      </c>
      <c r="G37" s="62" t="s">
        <v>77</v>
      </c>
      <c r="H37" s="141" t="s">
        <v>164</v>
      </c>
      <c r="I37" s="145">
        <v>14</v>
      </c>
      <c r="J37" s="152">
        <f t="shared" si="2"/>
        <v>28</v>
      </c>
      <c r="K37" s="154"/>
      <c r="L37" s="156">
        <f t="shared" si="3"/>
        <v>0</v>
      </c>
      <c r="M37" s="9">
        <f t="shared" si="4"/>
        <v>0</v>
      </c>
    </row>
    <row r="38" spans="1:13">
      <c r="A38" s="9">
        <f t="shared" si="0"/>
        <v>0</v>
      </c>
      <c r="B38" s="9">
        <f t="shared" si="1"/>
        <v>0</v>
      </c>
      <c r="D38" s="64" t="s">
        <v>154</v>
      </c>
      <c r="E38" s="140" t="s">
        <v>155</v>
      </c>
      <c r="F38" s="140" t="s">
        <v>156</v>
      </c>
      <c r="G38" s="61" t="s">
        <v>77</v>
      </c>
      <c r="H38" s="140" t="s">
        <v>2</v>
      </c>
      <c r="I38" s="143">
        <v>14</v>
      </c>
      <c r="J38" s="143">
        <f t="shared" si="2"/>
        <v>28</v>
      </c>
      <c r="K38" s="4"/>
      <c r="L38" s="11">
        <f t="shared" si="3"/>
        <v>0</v>
      </c>
      <c r="M38" s="9">
        <f t="shared" si="4"/>
        <v>0</v>
      </c>
    </row>
    <row r="39" spans="1:13">
      <c r="A39" s="9">
        <f t="shared" si="0"/>
        <v>0</v>
      </c>
      <c r="B39" s="9">
        <f t="shared" si="1"/>
        <v>0</v>
      </c>
      <c r="D39" s="64" t="s">
        <v>157</v>
      </c>
      <c r="E39" s="140" t="s">
        <v>158</v>
      </c>
      <c r="F39" s="140" t="s">
        <v>156</v>
      </c>
      <c r="G39" s="61" t="s">
        <v>77</v>
      </c>
      <c r="H39" s="140" t="s">
        <v>56</v>
      </c>
      <c r="I39" s="143">
        <v>14</v>
      </c>
      <c r="J39" s="143">
        <f t="shared" si="2"/>
        <v>28</v>
      </c>
      <c r="K39" s="4"/>
      <c r="L39" s="11">
        <f t="shared" si="3"/>
        <v>0</v>
      </c>
      <c r="M39" s="9">
        <f t="shared" si="4"/>
        <v>0</v>
      </c>
    </row>
    <row r="40" spans="1:13">
      <c r="A40" s="9">
        <f t="shared" si="0"/>
        <v>0</v>
      </c>
      <c r="B40" s="9">
        <f t="shared" si="1"/>
        <v>0</v>
      </c>
      <c r="D40" s="65" t="s">
        <v>159</v>
      </c>
      <c r="E40" s="141" t="s">
        <v>160</v>
      </c>
      <c r="F40" s="141" t="s">
        <v>161</v>
      </c>
      <c r="G40" s="62" t="s">
        <v>77</v>
      </c>
      <c r="H40" s="141" t="s">
        <v>130</v>
      </c>
      <c r="I40" s="145">
        <v>14</v>
      </c>
      <c r="J40" s="152">
        <f t="shared" si="2"/>
        <v>28</v>
      </c>
      <c r="K40" s="154"/>
      <c r="L40" s="156">
        <f t="shared" si="3"/>
        <v>0</v>
      </c>
      <c r="M40" s="9">
        <f t="shared" si="4"/>
        <v>0</v>
      </c>
    </row>
    <row r="41" spans="1:13">
      <c r="A41" s="9">
        <f t="shared" si="0"/>
        <v>0</v>
      </c>
      <c r="B41" s="9">
        <f t="shared" si="1"/>
        <v>0</v>
      </c>
      <c r="D41" s="65" t="s">
        <v>162</v>
      </c>
      <c r="E41" s="141" t="s">
        <v>163</v>
      </c>
      <c r="F41" s="141" t="s">
        <v>161</v>
      </c>
      <c r="G41" s="62" t="s">
        <v>77</v>
      </c>
      <c r="H41" s="141" t="s">
        <v>57</v>
      </c>
      <c r="I41" s="145">
        <v>14</v>
      </c>
      <c r="J41" s="152">
        <f t="shared" si="2"/>
        <v>28</v>
      </c>
      <c r="K41" s="154"/>
      <c r="L41" s="156">
        <f t="shared" si="3"/>
        <v>0</v>
      </c>
      <c r="M41" s="9">
        <f t="shared" si="4"/>
        <v>0</v>
      </c>
    </row>
    <row r="42" spans="1:13">
      <c r="A42" s="9">
        <f t="shared" si="0"/>
        <v>0</v>
      </c>
      <c r="B42" s="9">
        <f t="shared" si="1"/>
        <v>0</v>
      </c>
      <c r="D42" s="64" t="s">
        <v>165</v>
      </c>
      <c r="E42" s="140" t="s">
        <v>166</v>
      </c>
      <c r="F42" s="140" t="s">
        <v>167</v>
      </c>
      <c r="G42" s="147" t="s">
        <v>77</v>
      </c>
      <c r="H42" s="140" t="s">
        <v>2</v>
      </c>
      <c r="I42" s="143">
        <v>14</v>
      </c>
      <c r="J42" s="143">
        <f t="shared" si="2"/>
        <v>28</v>
      </c>
      <c r="K42" s="153"/>
      <c r="L42" s="155">
        <f t="shared" ref="L42:L48" si="5">K42*I42</f>
        <v>0</v>
      </c>
      <c r="M42" s="9">
        <f t="shared" si="4"/>
        <v>0</v>
      </c>
    </row>
    <row r="43" spans="1:13">
      <c r="A43" s="9">
        <f t="shared" si="0"/>
        <v>0</v>
      </c>
      <c r="B43" s="9">
        <f t="shared" si="1"/>
        <v>0</v>
      </c>
      <c r="D43" s="65" t="s">
        <v>168</v>
      </c>
      <c r="E43" s="141" t="s">
        <v>169</v>
      </c>
      <c r="F43" s="141" t="s">
        <v>170</v>
      </c>
      <c r="G43" s="146" t="s">
        <v>77</v>
      </c>
      <c r="H43" s="141" t="s">
        <v>131</v>
      </c>
      <c r="I43" s="145">
        <v>17</v>
      </c>
      <c r="J43" s="152">
        <f t="shared" si="2"/>
        <v>34</v>
      </c>
      <c r="K43" s="154"/>
      <c r="L43" s="156">
        <f t="shared" si="5"/>
        <v>0</v>
      </c>
      <c r="M43" s="9">
        <f t="shared" si="4"/>
        <v>0</v>
      </c>
    </row>
    <row r="44" spans="1:13">
      <c r="A44" s="9">
        <f t="shared" si="0"/>
        <v>0</v>
      </c>
      <c r="B44" s="9">
        <f t="shared" si="1"/>
        <v>0</v>
      </c>
      <c r="D44" s="64" t="s">
        <v>171</v>
      </c>
      <c r="E44" s="140" t="s">
        <v>172</v>
      </c>
      <c r="F44" s="140" t="s">
        <v>173</v>
      </c>
      <c r="G44" s="147" t="s">
        <v>77</v>
      </c>
      <c r="H44" s="140" t="s">
        <v>59</v>
      </c>
      <c r="I44" s="143">
        <v>17</v>
      </c>
      <c r="J44" s="143">
        <f t="shared" si="2"/>
        <v>34</v>
      </c>
      <c r="K44" s="153"/>
      <c r="L44" s="155">
        <f t="shared" si="5"/>
        <v>0</v>
      </c>
      <c r="M44" s="9">
        <f t="shared" si="4"/>
        <v>0</v>
      </c>
    </row>
    <row r="45" spans="1:13">
      <c r="A45" s="9">
        <f t="shared" si="0"/>
        <v>0</v>
      </c>
      <c r="B45" s="9">
        <f t="shared" si="1"/>
        <v>0</v>
      </c>
      <c r="D45" s="65" t="s">
        <v>174</v>
      </c>
      <c r="E45" s="141" t="s">
        <v>175</v>
      </c>
      <c r="F45" s="141" t="s">
        <v>176</v>
      </c>
      <c r="G45" s="146" t="s">
        <v>77</v>
      </c>
      <c r="H45" s="141" t="s">
        <v>2</v>
      </c>
      <c r="I45" s="145">
        <v>15</v>
      </c>
      <c r="J45" s="152">
        <f t="shared" si="2"/>
        <v>30</v>
      </c>
      <c r="K45" s="154"/>
      <c r="L45" s="156">
        <f t="shared" si="5"/>
        <v>0</v>
      </c>
      <c r="M45" s="9">
        <f t="shared" si="4"/>
        <v>0</v>
      </c>
    </row>
    <row r="46" spans="1:13">
      <c r="A46" s="9">
        <f t="shared" si="0"/>
        <v>0</v>
      </c>
      <c r="B46" s="9">
        <f t="shared" si="1"/>
        <v>0</v>
      </c>
      <c r="D46" s="64" t="s">
        <v>177</v>
      </c>
      <c r="E46" s="140" t="s">
        <v>178</v>
      </c>
      <c r="F46" s="140" t="s">
        <v>179</v>
      </c>
      <c r="G46" s="147" t="s">
        <v>77</v>
      </c>
      <c r="H46" s="140" t="s">
        <v>132</v>
      </c>
      <c r="I46" s="143">
        <v>15</v>
      </c>
      <c r="J46" s="143">
        <f t="shared" si="2"/>
        <v>30</v>
      </c>
      <c r="K46" s="153"/>
      <c r="L46" s="155">
        <f t="shared" si="5"/>
        <v>0</v>
      </c>
      <c r="M46" s="9">
        <f t="shared" si="4"/>
        <v>0</v>
      </c>
    </row>
    <row r="47" spans="1:13">
      <c r="A47" s="9">
        <f t="shared" si="0"/>
        <v>0</v>
      </c>
      <c r="B47" s="9">
        <f t="shared" si="1"/>
        <v>0</v>
      </c>
      <c r="D47" s="65" t="s">
        <v>180</v>
      </c>
      <c r="E47" s="141" t="s">
        <v>181</v>
      </c>
      <c r="F47" s="141" t="s">
        <v>182</v>
      </c>
      <c r="G47" s="146" t="s">
        <v>77</v>
      </c>
      <c r="H47" s="141" t="s">
        <v>2</v>
      </c>
      <c r="I47" s="145">
        <v>15</v>
      </c>
      <c r="J47" s="152">
        <f t="shared" si="2"/>
        <v>30</v>
      </c>
      <c r="K47" s="154"/>
      <c r="L47" s="156">
        <f t="shared" si="5"/>
        <v>0</v>
      </c>
      <c r="M47" s="9">
        <f t="shared" si="4"/>
        <v>0</v>
      </c>
    </row>
    <row r="48" spans="1:13">
      <c r="A48" s="9">
        <f t="shared" si="0"/>
        <v>0</v>
      </c>
      <c r="B48" s="9">
        <f t="shared" si="1"/>
        <v>0</v>
      </c>
      <c r="D48" s="64" t="s">
        <v>183</v>
      </c>
      <c r="E48" s="140" t="s">
        <v>184</v>
      </c>
      <c r="F48" s="140" t="s">
        <v>185</v>
      </c>
      <c r="G48" s="147" t="s">
        <v>77</v>
      </c>
      <c r="H48" s="140" t="s">
        <v>59</v>
      </c>
      <c r="I48" s="143">
        <v>15</v>
      </c>
      <c r="J48" s="143">
        <f t="shared" si="2"/>
        <v>30</v>
      </c>
      <c r="K48" s="153"/>
      <c r="L48" s="155">
        <f t="shared" si="5"/>
        <v>0</v>
      </c>
      <c r="M48" s="9">
        <f t="shared" si="4"/>
        <v>0</v>
      </c>
    </row>
    <row r="49" spans="1:13">
      <c r="A49" s="9">
        <f t="shared" si="0"/>
        <v>0</v>
      </c>
      <c r="B49" s="9">
        <f t="shared" si="1"/>
        <v>0</v>
      </c>
      <c r="D49" s="65" t="s">
        <v>186</v>
      </c>
      <c r="E49" s="151" t="s">
        <v>187</v>
      </c>
      <c r="F49" s="151" t="s">
        <v>188</v>
      </c>
      <c r="G49" s="146" t="s">
        <v>77</v>
      </c>
      <c r="H49" s="151" t="s">
        <v>201</v>
      </c>
      <c r="I49" s="145">
        <v>19</v>
      </c>
      <c r="J49" s="152">
        <f t="shared" si="2"/>
        <v>38</v>
      </c>
      <c r="K49" s="154"/>
      <c r="L49" s="156">
        <f t="shared" ref="L49:L57" si="6">K49*I49</f>
        <v>0</v>
      </c>
      <c r="M49" s="9">
        <f t="shared" si="4"/>
        <v>0</v>
      </c>
    </row>
    <row r="50" spans="1:13">
      <c r="A50" s="9">
        <f t="shared" si="0"/>
        <v>0</v>
      </c>
      <c r="B50" s="9">
        <f t="shared" si="1"/>
        <v>0</v>
      </c>
      <c r="D50" s="64" t="s">
        <v>189</v>
      </c>
      <c r="E50" s="4" t="s">
        <v>190</v>
      </c>
      <c r="F50" s="4" t="s">
        <v>191</v>
      </c>
      <c r="G50" s="147" t="s">
        <v>77</v>
      </c>
      <c r="H50" s="4" t="s">
        <v>202</v>
      </c>
      <c r="I50" s="143">
        <v>20</v>
      </c>
      <c r="J50" s="143">
        <f t="shared" si="2"/>
        <v>40</v>
      </c>
      <c r="K50" s="153"/>
      <c r="L50" s="155">
        <f t="shared" si="6"/>
        <v>0</v>
      </c>
      <c r="M50" s="9">
        <f t="shared" si="4"/>
        <v>0</v>
      </c>
    </row>
    <row r="51" spans="1:13">
      <c r="A51" s="9">
        <f t="shared" si="0"/>
        <v>0</v>
      </c>
      <c r="B51" s="9">
        <f t="shared" si="1"/>
        <v>0</v>
      </c>
      <c r="D51" s="65" t="s">
        <v>192</v>
      </c>
      <c r="E51" s="141" t="s">
        <v>193</v>
      </c>
      <c r="F51" s="141" t="s">
        <v>194</v>
      </c>
      <c r="G51" s="146" t="s">
        <v>77</v>
      </c>
      <c r="H51" s="141" t="s">
        <v>59</v>
      </c>
      <c r="I51" s="145">
        <v>13</v>
      </c>
      <c r="J51" s="152">
        <f t="shared" si="2"/>
        <v>26</v>
      </c>
      <c r="K51" s="154"/>
      <c r="L51" s="156">
        <f t="shared" si="6"/>
        <v>0</v>
      </c>
      <c r="M51" s="9">
        <f t="shared" si="4"/>
        <v>0</v>
      </c>
    </row>
    <row r="52" spans="1:13">
      <c r="A52" s="9">
        <f t="shared" si="0"/>
        <v>0</v>
      </c>
      <c r="B52" s="9">
        <f t="shared" si="1"/>
        <v>0</v>
      </c>
      <c r="D52" s="64" t="s">
        <v>195</v>
      </c>
      <c r="E52" s="4" t="s">
        <v>196</v>
      </c>
      <c r="F52" s="4" t="s">
        <v>197</v>
      </c>
      <c r="G52" s="147" t="s">
        <v>77</v>
      </c>
      <c r="H52" s="4" t="s">
        <v>58</v>
      </c>
      <c r="I52" s="143">
        <v>17</v>
      </c>
      <c r="J52" s="143">
        <f t="shared" si="2"/>
        <v>34</v>
      </c>
      <c r="K52" s="153"/>
      <c r="L52" s="155">
        <f t="shared" si="6"/>
        <v>0</v>
      </c>
      <c r="M52" s="9">
        <f t="shared" si="4"/>
        <v>0</v>
      </c>
    </row>
    <row r="53" spans="1:13">
      <c r="A53" s="9">
        <f t="shared" si="0"/>
        <v>0</v>
      </c>
      <c r="B53" s="9">
        <f t="shared" si="1"/>
        <v>0</v>
      </c>
      <c r="D53" s="65" t="s">
        <v>198</v>
      </c>
      <c r="E53" s="151" t="s">
        <v>199</v>
      </c>
      <c r="F53" s="151" t="s">
        <v>200</v>
      </c>
      <c r="G53" s="146" t="s">
        <v>77</v>
      </c>
      <c r="H53" s="151" t="s">
        <v>202</v>
      </c>
      <c r="I53" s="145">
        <v>17</v>
      </c>
      <c r="J53" s="152">
        <f t="shared" si="2"/>
        <v>34</v>
      </c>
      <c r="K53" s="154"/>
      <c r="L53" s="156">
        <f t="shared" si="6"/>
        <v>0</v>
      </c>
      <c r="M53" s="9">
        <f t="shared" si="4"/>
        <v>0</v>
      </c>
    </row>
    <row r="54" spans="1:13">
      <c r="A54" s="9">
        <f t="shared" si="0"/>
        <v>0</v>
      </c>
      <c r="B54" s="9">
        <f t="shared" si="1"/>
        <v>0</v>
      </c>
      <c r="D54" s="64" t="s">
        <v>203</v>
      </c>
      <c r="E54" s="4" t="s">
        <v>204</v>
      </c>
      <c r="F54" s="4" t="s">
        <v>205</v>
      </c>
      <c r="G54" s="61" t="s">
        <v>77</v>
      </c>
      <c r="H54" s="4" t="s">
        <v>213</v>
      </c>
      <c r="I54" s="143">
        <v>15</v>
      </c>
      <c r="J54" s="143">
        <f t="shared" si="2"/>
        <v>30</v>
      </c>
      <c r="K54" s="4"/>
      <c r="L54" s="155">
        <f t="shared" si="6"/>
        <v>0</v>
      </c>
      <c r="M54" s="9">
        <f t="shared" si="4"/>
        <v>0</v>
      </c>
    </row>
    <row r="55" spans="1:13">
      <c r="A55" s="9">
        <f t="shared" si="0"/>
        <v>0</v>
      </c>
      <c r="B55" s="9">
        <f t="shared" si="1"/>
        <v>0</v>
      </c>
      <c r="D55" s="64" t="s">
        <v>206</v>
      </c>
      <c r="E55" s="4" t="s">
        <v>207</v>
      </c>
      <c r="F55" s="4" t="s">
        <v>205</v>
      </c>
      <c r="G55" s="61" t="s">
        <v>77</v>
      </c>
      <c r="H55" s="4" t="s">
        <v>60</v>
      </c>
      <c r="I55" s="143">
        <v>15</v>
      </c>
      <c r="J55" s="143">
        <f t="shared" si="2"/>
        <v>30</v>
      </c>
      <c r="K55" s="4"/>
      <c r="L55" s="155">
        <f t="shared" si="6"/>
        <v>0</v>
      </c>
      <c r="M55" s="9">
        <f t="shared" si="4"/>
        <v>0</v>
      </c>
    </row>
    <row r="56" spans="1:13">
      <c r="A56" s="9">
        <f t="shared" si="0"/>
        <v>0</v>
      </c>
      <c r="B56" s="9">
        <f t="shared" si="1"/>
        <v>0</v>
      </c>
      <c r="D56" s="65" t="s">
        <v>208</v>
      </c>
      <c r="E56" s="151" t="s">
        <v>209</v>
      </c>
      <c r="F56" s="151" t="s">
        <v>210</v>
      </c>
      <c r="G56" s="62" t="s">
        <v>77</v>
      </c>
      <c r="H56" s="151" t="s">
        <v>202</v>
      </c>
      <c r="I56" s="145">
        <v>15</v>
      </c>
      <c r="J56" s="152">
        <f t="shared" si="2"/>
        <v>30</v>
      </c>
      <c r="K56" s="154"/>
      <c r="L56" s="156">
        <f t="shared" si="6"/>
        <v>0</v>
      </c>
      <c r="M56" s="9">
        <f t="shared" si="4"/>
        <v>0</v>
      </c>
    </row>
    <row r="57" spans="1:13">
      <c r="A57" s="9">
        <f t="shared" si="0"/>
        <v>0</v>
      </c>
      <c r="B57" s="9">
        <f t="shared" si="1"/>
        <v>0</v>
      </c>
      <c r="D57" s="65" t="s">
        <v>211</v>
      </c>
      <c r="E57" s="151" t="s">
        <v>212</v>
      </c>
      <c r="F57" s="151" t="s">
        <v>210</v>
      </c>
      <c r="G57" s="62" t="s">
        <v>77</v>
      </c>
      <c r="H57" s="151" t="s">
        <v>57</v>
      </c>
      <c r="I57" s="145">
        <v>15</v>
      </c>
      <c r="J57" s="152">
        <f t="shared" si="2"/>
        <v>30</v>
      </c>
      <c r="K57" s="154"/>
      <c r="L57" s="156">
        <f t="shared" si="6"/>
        <v>0</v>
      </c>
      <c r="M57" s="9">
        <f t="shared" si="4"/>
        <v>0</v>
      </c>
    </row>
    <row r="58" spans="1:13">
      <c r="A58" s="9">
        <f t="shared" si="0"/>
        <v>0</v>
      </c>
      <c r="B58" s="9">
        <f t="shared" si="1"/>
        <v>0</v>
      </c>
      <c r="D58" s="157" t="s">
        <v>214</v>
      </c>
      <c r="E58" s="158"/>
      <c r="F58" s="158"/>
      <c r="G58" s="158"/>
      <c r="H58" s="158"/>
      <c r="I58" s="158"/>
      <c r="J58" s="158"/>
      <c r="K58" s="158"/>
      <c r="L58" s="158"/>
      <c r="M58" s="9">
        <f t="shared" si="4"/>
        <v>0</v>
      </c>
    </row>
    <row r="59" spans="1:13">
      <c r="A59" s="9">
        <f t="shared" si="0"/>
        <v>0</v>
      </c>
      <c r="B59" s="9">
        <f t="shared" si="1"/>
        <v>0</v>
      </c>
      <c r="D59" s="64" t="s">
        <v>215</v>
      </c>
      <c r="E59" s="4" t="s">
        <v>216</v>
      </c>
      <c r="F59" s="4" t="s">
        <v>217</v>
      </c>
      <c r="G59" s="4" t="s">
        <v>2</v>
      </c>
      <c r="H59" s="142" t="s">
        <v>69</v>
      </c>
      <c r="I59" s="159">
        <v>14</v>
      </c>
      <c r="J59" s="63">
        <f>SUM(I59*2)</f>
        <v>28</v>
      </c>
      <c r="K59" s="4"/>
      <c r="L59" s="11">
        <f>K59*I59</f>
        <v>0</v>
      </c>
      <c r="M59" s="9">
        <f t="shared" si="4"/>
        <v>0</v>
      </c>
    </row>
    <row r="60" spans="1:13">
      <c r="A60" s="9">
        <f t="shared" si="0"/>
        <v>0</v>
      </c>
      <c r="B60" s="9">
        <f t="shared" si="1"/>
        <v>0</v>
      </c>
      <c r="D60" s="64" t="s">
        <v>218</v>
      </c>
      <c r="E60" s="4" t="s">
        <v>219</v>
      </c>
      <c r="F60" s="4" t="s">
        <v>220</v>
      </c>
      <c r="G60" s="4" t="s">
        <v>2</v>
      </c>
      <c r="H60" s="142" t="s">
        <v>3</v>
      </c>
      <c r="I60" s="159">
        <v>14</v>
      </c>
      <c r="J60" s="63">
        <f t="shared" ref="J60:J113" si="7">SUM(I60*2)</f>
        <v>28</v>
      </c>
      <c r="K60" s="4"/>
      <c r="L60" s="11">
        <f t="shared" si="3"/>
        <v>0</v>
      </c>
      <c r="M60" s="9">
        <f t="shared" si="4"/>
        <v>0</v>
      </c>
    </row>
    <row r="61" spans="1:13">
      <c r="A61" s="9">
        <f t="shared" si="0"/>
        <v>0</v>
      </c>
      <c r="B61" s="9">
        <f t="shared" si="1"/>
        <v>0</v>
      </c>
      <c r="D61" s="64" t="s">
        <v>221</v>
      </c>
      <c r="E61" s="4" t="s">
        <v>222</v>
      </c>
      <c r="F61" s="4" t="s">
        <v>223</v>
      </c>
      <c r="G61" s="4" t="s">
        <v>2</v>
      </c>
      <c r="H61" s="142" t="s">
        <v>4</v>
      </c>
      <c r="I61" s="159">
        <v>14</v>
      </c>
      <c r="J61" s="63">
        <f t="shared" si="7"/>
        <v>28</v>
      </c>
      <c r="K61" s="4"/>
      <c r="L61" s="11">
        <f t="shared" si="3"/>
        <v>0</v>
      </c>
      <c r="M61" s="9">
        <f t="shared" si="4"/>
        <v>0</v>
      </c>
    </row>
    <row r="62" spans="1:13">
      <c r="A62" s="9">
        <f t="shared" si="0"/>
        <v>0</v>
      </c>
      <c r="B62" s="9">
        <f t="shared" si="1"/>
        <v>0</v>
      </c>
      <c r="D62" s="64" t="s">
        <v>224</v>
      </c>
      <c r="E62" s="4" t="s">
        <v>225</v>
      </c>
      <c r="F62" s="4" t="s">
        <v>226</v>
      </c>
      <c r="G62" s="4" t="s">
        <v>2</v>
      </c>
      <c r="H62" s="142" t="s">
        <v>5</v>
      </c>
      <c r="I62" s="159">
        <v>14</v>
      </c>
      <c r="J62" s="63">
        <f t="shared" si="7"/>
        <v>28</v>
      </c>
      <c r="K62" s="4"/>
      <c r="L62" s="11">
        <f t="shared" si="3"/>
        <v>0</v>
      </c>
      <c r="M62" s="9">
        <f t="shared" si="4"/>
        <v>0</v>
      </c>
    </row>
    <row r="63" spans="1:13">
      <c r="A63" s="9">
        <f t="shared" si="0"/>
        <v>0</v>
      </c>
      <c r="B63" s="9">
        <f t="shared" si="1"/>
        <v>0</v>
      </c>
      <c r="D63" s="64" t="s">
        <v>227</v>
      </c>
      <c r="E63" s="4" t="s">
        <v>228</v>
      </c>
      <c r="F63" s="4" t="s">
        <v>229</v>
      </c>
      <c r="G63" s="4" t="s">
        <v>2</v>
      </c>
      <c r="H63" s="142" t="s">
        <v>70</v>
      </c>
      <c r="I63" s="159">
        <v>14</v>
      </c>
      <c r="J63" s="63">
        <f t="shared" si="7"/>
        <v>28</v>
      </c>
      <c r="K63" s="4"/>
      <c r="L63" s="11">
        <f t="shared" si="3"/>
        <v>0</v>
      </c>
      <c r="M63" s="9">
        <f t="shared" si="4"/>
        <v>0</v>
      </c>
    </row>
    <row r="64" spans="1:13">
      <c r="A64" s="9">
        <f t="shared" si="0"/>
        <v>0</v>
      </c>
      <c r="B64" s="9">
        <f t="shared" si="1"/>
        <v>0</v>
      </c>
      <c r="D64" s="65" t="s">
        <v>230</v>
      </c>
      <c r="E64" s="151" t="s">
        <v>231</v>
      </c>
      <c r="F64" s="151" t="s">
        <v>232</v>
      </c>
      <c r="G64" s="151" t="s">
        <v>56</v>
      </c>
      <c r="H64" s="144" t="s">
        <v>69</v>
      </c>
      <c r="I64" s="160">
        <v>14</v>
      </c>
      <c r="J64" s="163">
        <f t="shared" si="7"/>
        <v>28</v>
      </c>
      <c r="K64" s="154"/>
      <c r="L64" s="156">
        <f t="shared" si="3"/>
        <v>0</v>
      </c>
      <c r="M64" s="9">
        <f t="shared" si="4"/>
        <v>0</v>
      </c>
    </row>
    <row r="65" spans="1:13">
      <c r="A65" s="9">
        <f t="shared" si="0"/>
        <v>0</v>
      </c>
      <c r="B65" s="9">
        <f t="shared" si="1"/>
        <v>0</v>
      </c>
      <c r="D65" s="65" t="s">
        <v>233</v>
      </c>
      <c r="E65" s="151" t="s">
        <v>234</v>
      </c>
      <c r="F65" s="151" t="s">
        <v>235</v>
      </c>
      <c r="G65" s="151" t="s">
        <v>56</v>
      </c>
      <c r="H65" s="144" t="s">
        <v>3</v>
      </c>
      <c r="I65" s="160">
        <v>14</v>
      </c>
      <c r="J65" s="163">
        <f t="shared" si="7"/>
        <v>28</v>
      </c>
      <c r="K65" s="154"/>
      <c r="L65" s="156">
        <f t="shared" si="3"/>
        <v>0</v>
      </c>
      <c r="M65" s="9">
        <f t="shared" si="4"/>
        <v>0</v>
      </c>
    </row>
    <row r="66" spans="1:13">
      <c r="A66" s="9">
        <f t="shared" si="0"/>
        <v>0</v>
      </c>
      <c r="B66" s="9">
        <f t="shared" si="1"/>
        <v>0</v>
      </c>
      <c r="D66" s="65" t="s">
        <v>236</v>
      </c>
      <c r="E66" s="151" t="s">
        <v>237</v>
      </c>
      <c r="F66" s="151" t="s">
        <v>238</v>
      </c>
      <c r="G66" s="151" t="s">
        <v>56</v>
      </c>
      <c r="H66" s="144" t="s">
        <v>4</v>
      </c>
      <c r="I66" s="160">
        <v>14</v>
      </c>
      <c r="J66" s="163">
        <f t="shared" si="7"/>
        <v>28</v>
      </c>
      <c r="K66" s="154"/>
      <c r="L66" s="156">
        <f t="shared" si="3"/>
        <v>0</v>
      </c>
      <c r="M66" s="9">
        <f t="shared" si="4"/>
        <v>0</v>
      </c>
    </row>
    <row r="67" spans="1:13">
      <c r="A67" s="9">
        <f t="shared" si="0"/>
        <v>0</v>
      </c>
      <c r="B67" s="9">
        <f t="shared" si="1"/>
        <v>0</v>
      </c>
      <c r="D67" s="65" t="s">
        <v>239</v>
      </c>
      <c r="E67" s="151" t="s">
        <v>240</v>
      </c>
      <c r="F67" s="151" t="s">
        <v>241</v>
      </c>
      <c r="G67" s="151" t="s">
        <v>56</v>
      </c>
      <c r="H67" s="144" t="s">
        <v>5</v>
      </c>
      <c r="I67" s="160">
        <v>14</v>
      </c>
      <c r="J67" s="163">
        <f t="shared" si="7"/>
        <v>28</v>
      </c>
      <c r="K67" s="154"/>
      <c r="L67" s="156">
        <f t="shared" si="3"/>
        <v>0</v>
      </c>
      <c r="M67" s="9">
        <f t="shared" si="4"/>
        <v>0</v>
      </c>
    </row>
    <row r="68" spans="1:13">
      <c r="A68" s="9">
        <f t="shared" si="0"/>
        <v>0</v>
      </c>
      <c r="B68" s="9">
        <f t="shared" si="1"/>
        <v>0</v>
      </c>
      <c r="D68" s="65" t="s">
        <v>242</v>
      </c>
      <c r="E68" s="151" t="s">
        <v>243</v>
      </c>
      <c r="F68" s="151" t="s">
        <v>244</v>
      </c>
      <c r="G68" s="151" t="s">
        <v>56</v>
      </c>
      <c r="H68" s="144" t="s">
        <v>70</v>
      </c>
      <c r="I68" s="160">
        <v>14</v>
      </c>
      <c r="J68" s="163">
        <f t="shared" si="7"/>
        <v>28</v>
      </c>
      <c r="K68" s="154"/>
      <c r="L68" s="156">
        <f t="shared" si="3"/>
        <v>0</v>
      </c>
      <c r="M68" s="9">
        <f t="shared" si="4"/>
        <v>0</v>
      </c>
    </row>
    <row r="69" spans="1:13">
      <c r="A69" s="9">
        <f t="shared" si="0"/>
        <v>0</v>
      </c>
      <c r="B69" s="9">
        <f t="shared" si="1"/>
        <v>0</v>
      </c>
      <c r="D69" s="64" t="s">
        <v>245</v>
      </c>
      <c r="E69" s="4" t="s">
        <v>246</v>
      </c>
      <c r="F69" s="4" t="s">
        <v>247</v>
      </c>
      <c r="G69" s="4" t="s">
        <v>71</v>
      </c>
      <c r="H69" s="142" t="s">
        <v>69</v>
      </c>
      <c r="I69" s="159">
        <v>14</v>
      </c>
      <c r="J69" s="63">
        <f t="shared" si="7"/>
        <v>28</v>
      </c>
      <c r="K69" s="4"/>
      <c r="L69" s="11">
        <f t="shared" si="3"/>
        <v>0</v>
      </c>
      <c r="M69" s="9">
        <f t="shared" si="4"/>
        <v>0</v>
      </c>
    </row>
    <row r="70" spans="1:13">
      <c r="A70" s="9">
        <f t="shared" si="0"/>
        <v>0</v>
      </c>
      <c r="B70" s="9">
        <f t="shared" si="1"/>
        <v>0</v>
      </c>
      <c r="D70" s="64" t="s">
        <v>248</v>
      </c>
      <c r="E70" s="4" t="s">
        <v>249</v>
      </c>
      <c r="F70" s="4" t="s">
        <v>250</v>
      </c>
      <c r="G70" s="4" t="s">
        <v>71</v>
      </c>
      <c r="H70" s="142" t="s">
        <v>3</v>
      </c>
      <c r="I70" s="159">
        <v>14</v>
      </c>
      <c r="J70" s="63">
        <f t="shared" si="7"/>
        <v>28</v>
      </c>
      <c r="K70" s="4"/>
      <c r="L70" s="11">
        <f t="shared" si="3"/>
        <v>0</v>
      </c>
      <c r="M70" s="9">
        <f t="shared" si="4"/>
        <v>0</v>
      </c>
    </row>
    <row r="71" spans="1:13">
      <c r="A71" s="9">
        <f t="shared" si="0"/>
        <v>0</v>
      </c>
      <c r="B71" s="9">
        <f t="shared" si="1"/>
        <v>0</v>
      </c>
      <c r="D71" s="64" t="s">
        <v>251</v>
      </c>
      <c r="E71" s="4" t="s">
        <v>252</v>
      </c>
      <c r="F71" s="4" t="s">
        <v>253</v>
      </c>
      <c r="G71" s="4" t="s">
        <v>71</v>
      </c>
      <c r="H71" s="142" t="s">
        <v>4</v>
      </c>
      <c r="I71" s="159">
        <v>14</v>
      </c>
      <c r="J71" s="63">
        <f t="shared" si="7"/>
        <v>28</v>
      </c>
      <c r="K71" s="4"/>
      <c r="L71" s="11">
        <f t="shared" si="3"/>
        <v>0</v>
      </c>
      <c r="M71" s="9">
        <f t="shared" si="4"/>
        <v>0</v>
      </c>
    </row>
    <row r="72" spans="1:13">
      <c r="A72" s="9">
        <f t="shared" si="0"/>
        <v>0</v>
      </c>
      <c r="B72" s="9">
        <f t="shared" si="1"/>
        <v>0</v>
      </c>
      <c r="D72" s="64" t="s">
        <v>254</v>
      </c>
      <c r="E72" s="4" t="s">
        <v>255</v>
      </c>
      <c r="F72" s="4" t="s">
        <v>256</v>
      </c>
      <c r="G72" s="4" t="s">
        <v>71</v>
      </c>
      <c r="H72" s="142" t="s">
        <v>5</v>
      </c>
      <c r="I72" s="159">
        <v>14</v>
      </c>
      <c r="J72" s="63">
        <f t="shared" si="7"/>
        <v>28</v>
      </c>
      <c r="K72" s="4"/>
      <c r="L72" s="11">
        <f t="shared" si="3"/>
        <v>0</v>
      </c>
      <c r="M72" s="9">
        <f t="shared" si="4"/>
        <v>0</v>
      </c>
    </row>
    <row r="73" spans="1:13">
      <c r="A73" s="9">
        <f t="shared" si="0"/>
        <v>0</v>
      </c>
      <c r="B73" s="9">
        <f t="shared" si="1"/>
        <v>0</v>
      </c>
      <c r="D73" s="64" t="s">
        <v>257</v>
      </c>
      <c r="E73" s="4" t="s">
        <v>258</v>
      </c>
      <c r="F73" s="4" t="s">
        <v>259</v>
      </c>
      <c r="G73" s="4" t="s">
        <v>71</v>
      </c>
      <c r="H73" s="142" t="s">
        <v>70</v>
      </c>
      <c r="I73" s="159">
        <v>14</v>
      </c>
      <c r="J73" s="63">
        <f t="shared" si="7"/>
        <v>28</v>
      </c>
      <c r="K73" s="4"/>
      <c r="L73" s="11">
        <f t="shared" ref="L73:L98" si="8">K73*I73</f>
        <v>0</v>
      </c>
      <c r="M73" s="9">
        <f t="shared" si="4"/>
        <v>0</v>
      </c>
    </row>
    <row r="74" spans="1:13">
      <c r="A74" s="9">
        <f t="shared" si="0"/>
        <v>0</v>
      </c>
      <c r="B74" s="9">
        <f t="shared" si="1"/>
        <v>0</v>
      </c>
      <c r="D74" s="65" t="s">
        <v>260</v>
      </c>
      <c r="E74" s="151" t="s">
        <v>261</v>
      </c>
      <c r="F74" s="151" t="s">
        <v>262</v>
      </c>
      <c r="G74" s="151" t="s">
        <v>263</v>
      </c>
      <c r="H74" s="144" t="s">
        <v>69</v>
      </c>
      <c r="I74" s="160">
        <v>14</v>
      </c>
      <c r="J74" s="163">
        <f t="shared" si="7"/>
        <v>28</v>
      </c>
      <c r="K74" s="154"/>
      <c r="L74" s="156">
        <f t="shared" si="8"/>
        <v>0</v>
      </c>
      <c r="M74" s="9">
        <f t="shared" si="4"/>
        <v>0</v>
      </c>
    </row>
    <row r="75" spans="1:13">
      <c r="A75" s="9">
        <f t="shared" si="0"/>
        <v>0</v>
      </c>
      <c r="B75" s="9">
        <f t="shared" si="1"/>
        <v>0</v>
      </c>
      <c r="D75" s="65" t="s">
        <v>264</v>
      </c>
      <c r="E75" s="151" t="s">
        <v>265</v>
      </c>
      <c r="F75" s="151" t="s">
        <v>266</v>
      </c>
      <c r="G75" s="151" t="s">
        <v>263</v>
      </c>
      <c r="H75" s="144" t="s">
        <v>3</v>
      </c>
      <c r="I75" s="160">
        <v>14</v>
      </c>
      <c r="J75" s="163">
        <f t="shared" si="7"/>
        <v>28</v>
      </c>
      <c r="K75" s="154"/>
      <c r="L75" s="156">
        <f t="shared" si="8"/>
        <v>0</v>
      </c>
      <c r="M75" s="9">
        <f t="shared" si="4"/>
        <v>0</v>
      </c>
    </row>
    <row r="76" spans="1:13">
      <c r="A76" s="9">
        <f t="shared" si="0"/>
        <v>0</v>
      </c>
      <c r="B76" s="9">
        <f t="shared" si="1"/>
        <v>0</v>
      </c>
      <c r="D76" s="65" t="s">
        <v>267</v>
      </c>
      <c r="E76" s="151" t="s">
        <v>268</v>
      </c>
      <c r="F76" s="151" t="s">
        <v>269</v>
      </c>
      <c r="G76" s="151" t="s">
        <v>263</v>
      </c>
      <c r="H76" s="144" t="s">
        <v>4</v>
      </c>
      <c r="I76" s="160">
        <v>14</v>
      </c>
      <c r="J76" s="163">
        <f t="shared" si="7"/>
        <v>28</v>
      </c>
      <c r="K76" s="154"/>
      <c r="L76" s="156">
        <f t="shared" si="8"/>
        <v>0</v>
      </c>
      <c r="M76" s="9">
        <f t="shared" si="4"/>
        <v>0</v>
      </c>
    </row>
    <row r="77" spans="1:13">
      <c r="A77" s="9">
        <f t="shared" si="0"/>
        <v>0</v>
      </c>
      <c r="B77" s="9">
        <f t="shared" si="1"/>
        <v>0</v>
      </c>
      <c r="D77" s="65" t="s">
        <v>270</v>
      </c>
      <c r="E77" s="151" t="s">
        <v>271</v>
      </c>
      <c r="F77" s="151" t="s">
        <v>272</v>
      </c>
      <c r="G77" s="151" t="s">
        <v>263</v>
      </c>
      <c r="H77" s="144" t="s">
        <v>5</v>
      </c>
      <c r="I77" s="160">
        <v>14</v>
      </c>
      <c r="J77" s="163">
        <f t="shared" si="7"/>
        <v>28</v>
      </c>
      <c r="K77" s="154"/>
      <c r="L77" s="156">
        <f t="shared" si="8"/>
        <v>0</v>
      </c>
      <c r="M77" s="9">
        <f t="shared" si="4"/>
        <v>0</v>
      </c>
    </row>
    <row r="78" spans="1:13">
      <c r="A78" s="9">
        <f t="shared" si="0"/>
        <v>0</v>
      </c>
      <c r="B78" s="9">
        <f t="shared" si="1"/>
        <v>0</v>
      </c>
      <c r="D78" s="65" t="s">
        <v>273</v>
      </c>
      <c r="E78" s="151" t="s">
        <v>274</v>
      </c>
      <c r="F78" s="151" t="s">
        <v>275</v>
      </c>
      <c r="G78" s="151" t="s">
        <v>263</v>
      </c>
      <c r="H78" s="144" t="s">
        <v>70</v>
      </c>
      <c r="I78" s="160">
        <v>14</v>
      </c>
      <c r="J78" s="163">
        <f t="shared" si="7"/>
        <v>28</v>
      </c>
      <c r="K78" s="154"/>
      <c r="L78" s="156">
        <f t="shared" si="8"/>
        <v>0</v>
      </c>
      <c r="M78" s="9">
        <f t="shared" si="4"/>
        <v>0</v>
      </c>
    </row>
    <row r="79" spans="1:13">
      <c r="A79" s="9">
        <f t="shared" si="0"/>
        <v>0</v>
      </c>
      <c r="B79" s="9">
        <f t="shared" si="1"/>
        <v>0</v>
      </c>
      <c r="D79" s="64" t="s">
        <v>276</v>
      </c>
      <c r="E79" s="4" t="s">
        <v>277</v>
      </c>
      <c r="F79" s="4" t="s">
        <v>278</v>
      </c>
      <c r="G79" s="4" t="s">
        <v>263</v>
      </c>
      <c r="H79" s="142" t="s">
        <v>69</v>
      </c>
      <c r="I79" s="159">
        <v>35</v>
      </c>
      <c r="J79" s="63">
        <f t="shared" si="7"/>
        <v>70</v>
      </c>
      <c r="K79" s="4"/>
      <c r="L79" s="11">
        <f t="shared" si="8"/>
        <v>0</v>
      </c>
      <c r="M79" s="9">
        <f t="shared" si="4"/>
        <v>0</v>
      </c>
    </row>
    <row r="80" spans="1:13">
      <c r="A80" s="9">
        <f t="shared" si="0"/>
        <v>0</v>
      </c>
      <c r="B80" s="9">
        <f t="shared" si="1"/>
        <v>0</v>
      </c>
      <c r="D80" s="64" t="s">
        <v>279</v>
      </c>
      <c r="E80" s="4" t="s">
        <v>280</v>
      </c>
      <c r="F80" s="4" t="s">
        <v>281</v>
      </c>
      <c r="G80" s="4" t="s">
        <v>263</v>
      </c>
      <c r="H80" s="142" t="s">
        <v>3</v>
      </c>
      <c r="I80" s="159">
        <v>35</v>
      </c>
      <c r="J80" s="63">
        <f t="shared" si="7"/>
        <v>70</v>
      </c>
      <c r="K80" s="4"/>
      <c r="L80" s="11">
        <f t="shared" si="8"/>
        <v>0</v>
      </c>
      <c r="M80" s="9">
        <f t="shared" si="4"/>
        <v>0</v>
      </c>
    </row>
    <row r="81" spans="1:13">
      <c r="A81" s="9">
        <f t="shared" si="0"/>
        <v>0</v>
      </c>
      <c r="B81" s="9">
        <f t="shared" si="1"/>
        <v>0</v>
      </c>
      <c r="D81" s="64" t="s">
        <v>282</v>
      </c>
      <c r="E81" s="4" t="s">
        <v>283</v>
      </c>
      <c r="F81" s="4" t="s">
        <v>284</v>
      </c>
      <c r="G81" s="4" t="s">
        <v>263</v>
      </c>
      <c r="H81" s="142" t="s">
        <v>4</v>
      </c>
      <c r="I81" s="159">
        <v>35</v>
      </c>
      <c r="J81" s="63">
        <f t="shared" si="7"/>
        <v>70</v>
      </c>
      <c r="K81" s="4"/>
      <c r="L81" s="11">
        <f t="shared" si="8"/>
        <v>0</v>
      </c>
      <c r="M81" s="9">
        <f t="shared" si="4"/>
        <v>0</v>
      </c>
    </row>
    <row r="82" spans="1:13">
      <c r="A82" s="9">
        <f t="shared" si="0"/>
        <v>0</v>
      </c>
      <c r="B82" s="9">
        <f t="shared" si="1"/>
        <v>0</v>
      </c>
      <c r="D82" s="64" t="s">
        <v>285</v>
      </c>
      <c r="E82" s="4" t="s">
        <v>286</v>
      </c>
      <c r="F82" s="4" t="s">
        <v>287</v>
      </c>
      <c r="G82" s="4" t="s">
        <v>263</v>
      </c>
      <c r="H82" s="142" t="s">
        <v>5</v>
      </c>
      <c r="I82" s="159">
        <v>35</v>
      </c>
      <c r="J82" s="63">
        <f t="shared" si="7"/>
        <v>70</v>
      </c>
      <c r="K82" s="4"/>
      <c r="L82" s="11">
        <f t="shared" si="8"/>
        <v>0</v>
      </c>
      <c r="M82" s="9">
        <f t="shared" si="4"/>
        <v>0</v>
      </c>
    </row>
    <row r="83" spans="1:13">
      <c r="A83" s="9">
        <f t="shared" si="0"/>
        <v>0</v>
      </c>
      <c r="B83" s="9">
        <f t="shared" si="1"/>
        <v>0</v>
      </c>
      <c r="D83" s="64" t="s">
        <v>288</v>
      </c>
      <c r="E83" s="4" t="s">
        <v>289</v>
      </c>
      <c r="F83" s="4" t="s">
        <v>290</v>
      </c>
      <c r="G83" s="4" t="s">
        <v>263</v>
      </c>
      <c r="H83" s="142" t="s">
        <v>70</v>
      </c>
      <c r="I83" s="159">
        <v>35</v>
      </c>
      <c r="J83" s="63">
        <f t="shared" si="7"/>
        <v>70</v>
      </c>
      <c r="K83" s="4"/>
      <c r="L83" s="11">
        <f t="shared" si="8"/>
        <v>0</v>
      </c>
      <c r="M83" s="9">
        <f t="shared" si="4"/>
        <v>0</v>
      </c>
    </row>
    <row r="84" spans="1:13">
      <c r="A84" s="9">
        <f t="shared" si="0"/>
        <v>0</v>
      </c>
      <c r="B84" s="9">
        <f t="shared" si="1"/>
        <v>0</v>
      </c>
      <c r="D84" s="65" t="s">
        <v>291</v>
      </c>
      <c r="E84" s="151" t="s">
        <v>292</v>
      </c>
      <c r="F84" s="151" t="s">
        <v>293</v>
      </c>
      <c r="G84" s="151" t="s">
        <v>58</v>
      </c>
      <c r="H84" s="144" t="s">
        <v>69</v>
      </c>
      <c r="I84" s="160">
        <v>32</v>
      </c>
      <c r="J84" s="163">
        <f t="shared" si="7"/>
        <v>64</v>
      </c>
      <c r="K84" s="154"/>
      <c r="L84" s="156">
        <f t="shared" si="8"/>
        <v>0</v>
      </c>
      <c r="M84" s="9">
        <f t="shared" si="4"/>
        <v>0</v>
      </c>
    </row>
    <row r="85" spans="1:13">
      <c r="A85" s="9">
        <f t="shared" si="0"/>
        <v>0</v>
      </c>
      <c r="B85" s="9">
        <f t="shared" si="1"/>
        <v>0</v>
      </c>
      <c r="D85" s="65" t="s">
        <v>294</v>
      </c>
      <c r="E85" s="151" t="s">
        <v>295</v>
      </c>
      <c r="F85" s="151" t="s">
        <v>296</v>
      </c>
      <c r="G85" s="151" t="s">
        <v>58</v>
      </c>
      <c r="H85" s="144" t="s">
        <v>3</v>
      </c>
      <c r="I85" s="160">
        <v>32</v>
      </c>
      <c r="J85" s="163">
        <f t="shared" si="7"/>
        <v>64</v>
      </c>
      <c r="K85" s="154"/>
      <c r="L85" s="156">
        <f t="shared" si="8"/>
        <v>0</v>
      </c>
      <c r="M85" s="9">
        <f t="shared" si="4"/>
        <v>0</v>
      </c>
    </row>
    <row r="86" spans="1:13">
      <c r="A86" s="9">
        <f t="shared" si="0"/>
        <v>0</v>
      </c>
      <c r="B86" s="9">
        <f t="shared" si="1"/>
        <v>0</v>
      </c>
      <c r="D86" s="65" t="s">
        <v>297</v>
      </c>
      <c r="E86" s="151" t="s">
        <v>298</v>
      </c>
      <c r="F86" s="151" t="s">
        <v>299</v>
      </c>
      <c r="G86" s="151" t="s">
        <v>58</v>
      </c>
      <c r="H86" s="144" t="s">
        <v>4</v>
      </c>
      <c r="I86" s="160">
        <v>32</v>
      </c>
      <c r="J86" s="163">
        <f t="shared" si="7"/>
        <v>64</v>
      </c>
      <c r="K86" s="154"/>
      <c r="L86" s="156">
        <f t="shared" si="8"/>
        <v>0</v>
      </c>
      <c r="M86" s="9">
        <f t="shared" si="4"/>
        <v>0</v>
      </c>
    </row>
    <row r="87" spans="1:13">
      <c r="A87" s="9">
        <f t="shared" si="0"/>
        <v>0</v>
      </c>
      <c r="B87" s="9">
        <f t="shared" si="1"/>
        <v>0</v>
      </c>
      <c r="D87" s="65" t="s">
        <v>300</v>
      </c>
      <c r="E87" s="151" t="s">
        <v>301</v>
      </c>
      <c r="F87" s="151" t="s">
        <v>302</v>
      </c>
      <c r="G87" s="151" t="s">
        <v>58</v>
      </c>
      <c r="H87" s="144" t="s">
        <v>5</v>
      </c>
      <c r="I87" s="160">
        <v>32</v>
      </c>
      <c r="J87" s="163">
        <f t="shared" si="7"/>
        <v>64</v>
      </c>
      <c r="K87" s="154"/>
      <c r="L87" s="156">
        <f t="shared" si="8"/>
        <v>0</v>
      </c>
      <c r="M87" s="9">
        <f t="shared" si="4"/>
        <v>0</v>
      </c>
    </row>
    <row r="88" spans="1:13">
      <c r="A88" s="9">
        <f t="shared" si="0"/>
        <v>0</v>
      </c>
      <c r="B88" s="9">
        <f t="shared" si="1"/>
        <v>0</v>
      </c>
      <c r="D88" s="65" t="s">
        <v>303</v>
      </c>
      <c r="E88" s="151" t="s">
        <v>304</v>
      </c>
      <c r="F88" s="151" t="s">
        <v>305</v>
      </c>
      <c r="G88" s="151" t="s">
        <v>58</v>
      </c>
      <c r="H88" s="144" t="s">
        <v>70</v>
      </c>
      <c r="I88" s="160">
        <v>32</v>
      </c>
      <c r="J88" s="163">
        <f t="shared" si="7"/>
        <v>64</v>
      </c>
      <c r="K88" s="154"/>
      <c r="L88" s="156">
        <f t="shared" si="8"/>
        <v>0</v>
      </c>
      <c r="M88" s="9">
        <f t="shared" si="4"/>
        <v>0</v>
      </c>
    </row>
    <row r="89" spans="1:13">
      <c r="A89" s="9">
        <f t="shared" si="0"/>
        <v>0</v>
      </c>
      <c r="B89" s="9">
        <f t="shared" si="1"/>
        <v>0</v>
      </c>
      <c r="D89" s="162" t="s">
        <v>306</v>
      </c>
      <c r="E89" s="153" t="s">
        <v>307</v>
      </c>
      <c r="F89" s="153" t="s">
        <v>308</v>
      </c>
      <c r="G89" s="153" t="s">
        <v>61</v>
      </c>
      <c r="H89" s="142" t="s">
        <v>69</v>
      </c>
      <c r="I89" s="161">
        <v>32</v>
      </c>
      <c r="J89" s="63">
        <f t="shared" si="7"/>
        <v>64</v>
      </c>
      <c r="K89" s="4"/>
      <c r="L89" s="11">
        <f t="shared" si="8"/>
        <v>0</v>
      </c>
      <c r="M89" s="9">
        <f t="shared" si="4"/>
        <v>0</v>
      </c>
    </row>
    <row r="90" spans="1:13">
      <c r="A90" s="9">
        <f t="shared" si="0"/>
        <v>0</v>
      </c>
      <c r="B90" s="9">
        <f t="shared" si="1"/>
        <v>0</v>
      </c>
      <c r="D90" s="64" t="s">
        <v>309</v>
      </c>
      <c r="E90" s="4" t="s">
        <v>310</v>
      </c>
      <c r="F90" s="4" t="s">
        <v>311</v>
      </c>
      <c r="G90" s="4" t="s">
        <v>61</v>
      </c>
      <c r="H90" s="142" t="s">
        <v>3</v>
      </c>
      <c r="I90" s="159">
        <v>32</v>
      </c>
      <c r="J90" s="63">
        <f t="shared" si="7"/>
        <v>64</v>
      </c>
      <c r="K90" s="4"/>
      <c r="L90" s="11">
        <f t="shared" si="8"/>
        <v>0</v>
      </c>
      <c r="M90" s="9">
        <f t="shared" si="4"/>
        <v>0</v>
      </c>
    </row>
    <row r="91" spans="1:13">
      <c r="A91" s="9">
        <f t="shared" ref="A91:A141" si="9">$E$6</f>
        <v>0</v>
      </c>
      <c r="B91" s="9">
        <f t="shared" ref="B91:B141" si="10">$E$7</f>
        <v>0</v>
      </c>
      <c r="D91" s="64" t="s">
        <v>312</v>
      </c>
      <c r="E91" s="4" t="s">
        <v>313</v>
      </c>
      <c r="F91" s="4" t="s">
        <v>314</v>
      </c>
      <c r="G91" s="4" t="s">
        <v>61</v>
      </c>
      <c r="H91" s="142" t="s">
        <v>4</v>
      </c>
      <c r="I91" s="159">
        <v>32</v>
      </c>
      <c r="J91" s="63">
        <f t="shared" si="7"/>
        <v>64</v>
      </c>
      <c r="K91" s="4"/>
      <c r="L91" s="11">
        <f t="shared" si="8"/>
        <v>0</v>
      </c>
      <c r="M91" s="9">
        <f t="shared" ref="M91:M141" si="11">$N$7</f>
        <v>0</v>
      </c>
    </row>
    <row r="92" spans="1:13">
      <c r="A92" s="9">
        <f t="shared" si="9"/>
        <v>0</v>
      </c>
      <c r="B92" s="9">
        <f t="shared" si="10"/>
        <v>0</v>
      </c>
      <c r="D92" s="64" t="s">
        <v>315</v>
      </c>
      <c r="E92" s="4" t="s">
        <v>316</v>
      </c>
      <c r="F92" s="4" t="s">
        <v>317</v>
      </c>
      <c r="G92" s="4" t="s">
        <v>61</v>
      </c>
      <c r="H92" s="142" t="s">
        <v>5</v>
      </c>
      <c r="I92" s="159">
        <v>32</v>
      </c>
      <c r="J92" s="63">
        <f t="shared" si="7"/>
        <v>64</v>
      </c>
      <c r="K92" s="4"/>
      <c r="L92" s="11">
        <f t="shared" si="8"/>
        <v>0</v>
      </c>
      <c r="M92" s="9">
        <f t="shared" si="11"/>
        <v>0</v>
      </c>
    </row>
    <row r="93" spans="1:13">
      <c r="A93" s="9">
        <f t="shared" si="9"/>
        <v>0</v>
      </c>
      <c r="B93" s="9">
        <f t="shared" si="10"/>
        <v>0</v>
      </c>
      <c r="D93" s="64" t="s">
        <v>318</v>
      </c>
      <c r="E93" s="4" t="s">
        <v>319</v>
      </c>
      <c r="F93" s="4" t="s">
        <v>320</v>
      </c>
      <c r="G93" s="4" t="s">
        <v>61</v>
      </c>
      <c r="H93" s="142" t="s">
        <v>70</v>
      </c>
      <c r="I93" s="159">
        <v>32</v>
      </c>
      <c r="J93" s="63">
        <f t="shared" si="7"/>
        <v>64</v>
      </c>
      <c r="K93" s="4"/>
      <c r="L93" s="11">
        <f t="shared" si="8"/>
        <v>0</v>
      </c>
      <c r="M93" s="9">
        <f t="shared" si="11"/>
        <v>0</v>
      </c>
    </row>
    <row r="94" spans="1:13">
      <c r="A94" s="9">
        <f t="shared" si="9"/>
        <v>0</v>
      </c>
      <c r="B94" s="9">
        <f t="shared" si="10"/>
        <v>0</v>
      </c>
      <c r="D94" s="65" t="s">
        <v>321</v>
      </c>
      <c r="E94" s="151" t="s">
        <v>322</v>
      </c>
      <c r="F94" s="151" t="s">
        <v>323</v>
      </c>
      <c r="G94" s="151" t="s">
        <v>2</v>
      </c>
      <c r="H94" s="144" t="s">
        <v>69</v>
      </c>
      <c r="I94" s="160">
        <v>35</v>
      </c>
      <c r="J94" s="163">
        <f t="shared" si="7"/>
        <v>70</v>
      </c>
      <c r="K94" s="154"/>
      <c r="L94" s="156">
        <f t="shared" si="8"/>
        <v>0</v>
      </c>
      <c r="M94" s="9">
        <f t="shared" si="11"/>
        <v>0</v>
      </c>
    </row>
    <row r="95" spans="1:13">
      <c r="A95" s="9">
        <f t="shared" si="9"/>
        <v>0</v>
      </c>
      <c r="B95" s="9">
        <f t="shared" si="10"/>
        <v>0</v>
      </c>
      <c r="D95" s="65" t="s">
        <v>324</v>
      </c>
      <c r="E95" s="151" t="s">
        <v>325</v>
      </c>
      <c r="F95" s="151" t="s">
        <v>326</v>
      </c>
      <c r="G95" s="151" t="s">
        <v>2</v>
      </c>
      <c r="H95" s="144" t="s">
        <v>3</v>
      </c>
      <c r="I95" s="160">
        <v>35</v>
      </c>
      <c r="J95" s="163">
        <f t="shared" si="7"/>
        <v>70</v>
      </c>
      <c r="K95" s="154"/>
      <c r="L95" s="156">
        <f t="shared" si="8"/>
        <v>0</v>
      </c>
      <c r="M95" s="9">
        <f t="shared" si="11"/>
        <v>0</v>
      </c>
    </row>
    <row r="96" spans="1:13">
      <c r="A96" s="9">
        <f t="shared" si="9"/>
        <v>0</v>
      </c>
      <c r="B96" s="9">
        <f t="shared" si="10"/>
        <v>0</v>
      </c>
      <c r="D96" s="65" t="s">
        <v>327</v>
      </c>
      <c r="E96" s="151" t="s">
        <v>328</v>
      </c>
      <c r="F96" s="151" t="s">
        <v>329</v>
      </c>
      <c r="G96" s="151" t="s">
        <v>2</v>
      </c>
      <c r="H96" s="144" t="s">
        <v>4</v>
      </c>
      <c r="I96" s="160">
        <v>35</v>
      </c>
      <c r="J96" s="163">
        <f t="shared" si="7"/>
        <v>70</v>
      </c>
      <c r="K96" s="154"/>
      <c r="L96" s="156">
        <f t="shared" si="8"/>
        <v>0</v>
      </c>
      <c r="M96" s="9">
        <f t="shared" si="11"/>
        <v>0</v>
      </c>
    </row>
    <row r="97" spans="1:13">
      <c r="A97" s="9">
        <f t="shared" si="9"/>
        <v>0</v>
      </c>
      <c r="B97" s="9">
        <f t="shared" si="10"/>
        <v>0</v>
      </c>
      <c r="D97" s="65" t="s">
        <v>330</v>
      </c>
      <c r="E97" s="151" t="s">
        <v>331</v>
      </c>
      <c r="F97" s="151" t="s">
        <v>332</v>
      </c>
      <c r="G97" s="151" t="s">
        <v>2</v>
      </c>
      <c r="H97" s="144" t="s">
        <v>5</v>
      </c>
      <c r="I97" s="160">
        <v>35</v>
      </c>
      <c r="J97" s="163">
        <f t="shared" si="7"/>
        <v>70</v>
      </c>
      <c r="K97" s="154"/>
      <c r="L97" s="156">
        <f t="shared" si="8"/>
        <v>0</v>
      </c>
      <c r="M97" s="9">
        <f t="shared" si="11"/>
        <v>0</v>
      </c>
    </row>
    <row r="98" spans="1:13">
      <c r="A98" s="9">
        <f t="shared" si="9"/>
        <v>0</v>
      </c>
      <c r="B98" s="9">
        <f t="shared" si="10"/>
        <v>0</v>
      </c>
      <c r="D98" s="65" t="s">
        <v>333</v>
      </c>
      <c r="E98" s="151" t="s">
        <v>334</v>
      </c>
      <c r="F98" s="151" t="s">
        <v>335</v>
      </c>
      <c r="G98" s="151" t="s">
        <v>2</v>
      </c>
      <c r="H98" s="144" t="s">
        <v>70</v>
      </c>
      <c r="I98" s="160">
        <v>35</v>
      </c>
      <c r="J98" s="163">
        <f t="shared" si="7"/>
        <v>70</v>
      </c>
      <c r="K98" s="154"/>
      <c r="L98" s="156">
        <f t="shared" si="8"/>
        <v>0</v>
      </c>
      <c r="M98" s="9">
        <f t="shared" si="11"/>
        <v>0</v>
      </c>
    </row>
    <row r="99" spans="1:13">
      <c r="A99" s="9">
        <f t="shared" si="9"/>
        <v>0</v>
      </c>
      <c r="B99" s="9">
        <f t="shared" si="10"/>
        <v>0</v>
      </c>
      <c r="D99" s="64" t="s">
        <v>336</v>
      </c>
      <c r="E99" s="4" t="s">
        <v>337</v>
      </c>
      <c r="F99" s="4" t="s">
        <v>338</v>
      </c>
      <c r="G99" s="4" t="s">
        <v>339</v>
      </c>
      <c r="H99" s="142" t="s">
        <v>69</v>
      </c>
      <c r="I99" s="143">
        <v>45</v>
      </c>
      <c r="J99" s="63">
        <f t="shared" si="7"/>
        <v>90</v>
      </c>
      <c r="K99" s="4"/>
      <c r="L99" s="11">
        <f t="shared" ref="L99:L113" si="12">K99*I99</f>
        <v>0</v>
      </c>
      <c r="M99" s="9">
        <f t="shared" si="11"/>
        <v>0</v>
      </c>
    </row>
    <row r="100" spans="1:13">
      <c r="A100" s="9">
        <f t="shared" si="9"/>
        <v>0</v>
      </c>
      <c r="B100" s="9">
        <f t="shared" si="10"/>
        <v>0</v>
      </c>
      <c r="D100" s="64" t="s">
        <v>340</v>
      </c>
      <c r="E100" s="4" t="s">
        <v>341</v>
      </c>
      <c r="F100" s="4" t="s">
        <v>342</v>
      </c>
      <c r="G100" s="4" t="s">
        <v>339</v>
      </c>
      <c r="H100" s="142" t="s">
        <v>3</v>
      </c>
      <c r="I100" s="143">
        <v>45</v>
      </c>
      <c r="J100" s="63">
        <f t="shared" si="7"/>
        <v>90</v>
      </c>
      <c r="K100" s="4"/>
      <c r="L100" s="11">
        <f t="shared" si="12"/>
        <v>0</v>
      </c>
      <c r="M100" s="9">
        <f t="shared" si="11"/>
        <v>0</v>
      </c>
    </row>
    <row r="101" spans="1:13">
      <c r="A101" s="9">
        <f t="shared" si="9"/>
        <v>0</v>
      </c>
      <c r="B101" s="9">
        <f t="shared" si="10"/>
        <v>0</v>
      </c>
      <c r="D101" s="64" t="s">
        <v>343</v>
      </c>
      <c r="E101" s="4" t="s">
        <v>344</v>
      </c>
      <c r="F101" s="4" t="s">
        <v>345</v>
      </c>
      <c r="G101" s="4" t="s">
        <v>339</v>
      </c>
      <c r="H101" s="142" t="s">
        <v>4</v>
      </c>
      <c r="I101" s="143">
        <v>45</v>
      </c>
      <c r="J101" s="63">
        <f t="shared" si="7"/>
        <v>90</v>
      </c>
      <c r="K101" s="4"/>
      <c r="L101" s="11">
        <f t="shared" si="12"/>
        <v>0</v>
      </c>
      <c r="M101" s="9">
        <f t="shared" si="11"/>
        <v>0</v>
      </c>
    </row>
    <row r="102" spans="1:13">
      <c r="A102" s="9">
        <f t="shared" si="9"/>
        <v>0</v>
      </c>
      <c r="B102" s="9">
        <f t="shared" si="10"/>
        <v>0</v>
      </c>
      <c r="D102" s="64" t="s">
        <v>346</v>
      </c>
      <c r="E102" s="4" t="s">
        <v>347</v>
      </c>
      <c r="F102" s="4" t="s">
        <v>348</v>
      </c>
      <c r="G102" s="4" t="s">
        <v>339</v>
      </c>
      <c r="H102" s="142" t="s">
        <v>5</v>
      </c>
      <c r="I102" s="143">
        <v>45</v>
      </c>
      <c r="J102" s="63">
        <f t="shared" si="7"/>
        <v>90</v>
      </c>
      <c r="K102" s="4"/>
      <c r="L102" s="11">
        <f t="shared" si="12"/>
        <v>0</v>
      </c>
      <c r="M102" s="9">
        <f t="shared" si="11"/>
        <v>0</v>
      </c>
    </row>
    <row r="103" spans="1:13">
      <c r="A103" s="9">
        <f t="shared" si="9"/>
        <v>0</v>
      </c>
      <c r="B103" s="9">
        <f t="shared" si="10"/>
        <v>0</v>
      </c>
      <c r="D103" s="64" t="s">
        <v>349</v>
      </c>
      <c r="E103" s="4" t="s">
        <v>350</v>
      </c>
      <c r="F103" s="4" t="s">
        <v>351</v>
      </c>
      <c r="G103" s="4" t="s">
        <v>339</v>
      </c>
      <c r="H103" s="142" t="s">
        <v>70</v>
      </c>
      <c r="I103" s="143">
        <v>45</v>
      </c>
      <c r="J103" s="63">
        <f t="shared" si="7"/>
        <v>90</v>
      </c>
      <c r="K103" s="4"/>
      <c r="L103" s="11">
        <f t="shared" si="12"/>
        <v>0</v>
      </c>
      <c r="M103" s="9">
        <f t="shared" si="11"/>
        <v>0</v>
      </c>
    </row>
    <row r="104" spans="1:13">
      <c r="A104" s="9">
        <f t="shared" si="9"/>
        <v>0</v>
      </c>
      <c r="B104" s="9">
        <f t="shared" si="10"/>
        <v>0</v>
      </c>
      <c r="D104" s="65" t="s">
        <v>352</v>
      </c>
      <c r="E104" s="151" t="s">
        <v>353</v>
      </c>
      <c r="F104" s="151" t="s">
        <v>338</v>
      </c>
      <c r="G104" s="151" t="s">
        <v>354</v>
      </c>
      <c r="H104" s="144" t="s">
        <v>69</v>
      </c>
      <c r="I104" s="145">
        <v>45</v>
      </c>
      <c r="J104" s="163">
        <f t="shared" si="7"/>
        <v>90</v>
      </c>
      <c r="K104" s="154"/>
      <c r="L104" s="156">
        <f t="shared" si="12"/>
        <v>0</v>
      </c>
      <c r="M104" s="9">
        <f t="shared" si="11"/>
        <v>0</v>
      </c>
    </row>
    <row r="105" spans="1:13">
      <c r="A105" s="9">
        <f t="shared" si="9"/>
        <v>0</v>
      </c>
      <c r="B105" s="9">
        <f t="shared" si="10"/>
        <v>0</v>
      </c>
      <c r="D105" s="65" t="s">
        <v>355</v>
      </c>
      <c r="E105" s="151" t="s">
        <v>356</v>
      </c>
      <c r="F105" s="151" t="s">
        <v>342</v>
      </c>
      <c r="G105" s="151" t="s">
        <v>354</v>
      </c>
      <c r="H105" s="144" t="s">
        <v>3</v>
      </c>
      <c r="I105" s="145">
        <v>45</v>
      </c>
      <c r="J105" s="163">
        <f t="shared" si="7"/>
        <v>90</v>
      </c>
      <c r="K105" s="154"/>
      <c r="L105" s="156">
        <f t="shared" si="12"/>
        <v>0</v>
      </c>
      <c r="M105" s="9">
        <f t="shared" si="11"/>
        <v>0</v>
      </c>
    </row>
    <row r="106" spans="1:13">
      <c r="A106" s="9">
        <f t="shared" si="9"/>
        <v>0</v>
      </c>
      <c r="B106" s="9">
        <f t="shared" si="10"/>
        <v>0</v>
      </c>
      <c r="D106" s="65" t="s">
        <v>357</v>
      </c>
      <c r="E106" s="151" t="s">
        <v>358</v>
      </c>
      <c r="F106" s="151" t="s">
        <v>345</v>
      </c>
      <c r="G106" s="151" t="s">
        <v>354</v>
      </c>
      <c r="H106" s="144" t="s">
        <v>4</v>
      </c>
      <c r="I106" s="145">
        <v>45</v>
      </c>
      <c r="J106" s="163">
        <f t="shared" si="7"/>
        <v>90</v>
      </c>
      <c r="K106" s="154"/>
      <c r="L106" s="156">
        <f t="shared" si="12"/>
        <v>0</v>
      </c>
      <c r="M106" s="9">
        <f t="shared" si="11"/>
        <v>0</v>
      </c>
    </row>
    <row r="107" spans="1:13">
      <c r="A107" s="9">
        <f t="shared" si="9"/>
        <v>0</v>
      </c>
      <c r="B107" s="9">
        <f t="shared" si="10"/>
        <v>0</v>
      </c>
      <c r="D107" s="65" t="s">
        <v>359</v>
      </c>
      <c r="E107" s="151" t="s">
        <v>360</v>
      </c>
      <c r="F107" s="151" t="s">
        <v>348</v>
      </c>
      <c r="G107" s="151" t="s">
        <v>354</v>
      </c>
      <c r="H107" s="144" t="s">
        <v>5</v>
      </c>
      <c r="I107" s="145">
        <v>45</v>
      </c>
      <c r="J107" s="163">
        <f t="shared" si="7"/>
        <v>90</v>
      </c>
      <c r="K107" s="154"/>
      <c r="L107" s="156">
        <f t="shared" si="12"/>
        <v>0</v>
      </c>
      <c r="M107" s="9">
        <f t="shared" si="11"/>
        <v>0</v>
      </c>
    </row>
    <row r="108" spans="1:13">
      <c r="A108" s="9">
        <f t="shared" si="9"/>
        <v>0</v>
      </c>
      <c r="B108" s="9">
        <f t="shared" si="10"/>
        <v>0</v>
      </c>
      <c r="D108" s="65" t="s">
        <v>361</v>
      </c>
      <c r="E108" s="151" t="s">
        <v>362</v>
      </c>
      <c r="F108" s="151" t="s">
        <v>351</v>
      </c>
      <c r="G108" s="151" t="s">
        <v>354</v>
      </c>
      <c r="H108" s="144" t="s">
        <v>70</v>
      </c>
      <c r="I108" s="145">
        <v>45</v>
      </c>
      <c r="J108" s="163">
        <f t="shared" si="7"/>
        <v>90</v>
      </c>
      <c r="K108" s="154"/>
      <c r="L108" s="156">
        <f t="shared" si="12"/>
        <v>0</v>
      </c>
      <c r="M108" s="9">
        <f t="shared" si="11"/>
        <v>0</v>
      </c>
    </row>
    <row r="109" spans="1:13">
      <c r="A109" s="9">
        <f t="shared" si="9"/>
        <v>0</v>
      </c>
      <c r="B109" s="9">
        <f t="shared" si="10"/>
        <v>0</v>
      </c>
      <c r="D109" s="64" t="s">
        <v>363</v>
      </c>
      <c r="E109" s="4" t="s">
        <v>364</v>
      </c>
      <c r="F109" s="4" t="s">
        <v>338</v>
      </c>
      <c r="G109" s="4" t="s">
        <v>365</v>
      </c>
      <c r="H109" s="142" t="s">
        <v>69</v>
      </c>
      <c r="I109" s="143">
        <v>45</v>
      </c>
      <c r="J109" s="63">
        <f t="shared" si="7"/>
        <v>90</v>
      </c>
      <c r="K109" s="4"/>
      <c r="L109" s="11">
        <f t="shared" si="12"/>
        <v>0</v>
      </c>
      <c r="M109" s="9">
        <f t="shared" si="11"/>
        <v>0</v>
      </c>
    </row>
    <row r="110" spans="1:13">
      <c r="A110" s="9">
        <f t="shared" si="9"/>
        <v>0</v>
      </c>
      <c r="B110" s="9">
        <f t="shared" si="10"/>
        <v>0</v>
      </c>
      <c r="D110" s="64" t="s">
        <v>366</v>
      </c>
      <c r="E110" s="4" t="s">
        <v>367</v>
      </c>
      <c r="F110" s="4" t="s">
        <v>342</v>
      </c>
      <c r="G110" s="4" t="s">
        <v>365</v>
      </c>
      <c r="H110" s="142" t="s">
        <v>3</v>
      </c>
      <c r="I110" s="143">
        <v>45</v>
      </c>
      <c r="J110" s="63">
        <f t="shared" si="7"/>
        <v>90</v>
      </c>
      <c r="K110" s="4"/>
      <c r="L110" s="11">
        <f t="shared" si="12"/>
        <v>0</v>
      </c>
      <c r="M110" s="9">
        <f t="shared" si="11"/>
        <v>0</v>
      </c>
    </row>
    <row r="111" spans="1:13">
      <c r="A111" s="9">
        <f t="shared" si="9"/>
        <v>0</v>
      </c>
      <c r="B111" s="9">
        <f t="shared" si="10"/>
        <v>0</v>
      </c>
      <c r="D111" s="64" t="s">
        <v>368</v>
      </c>
      <c r="E111" s="4" t="s">
        <v>369</v>
      </c>
      <c r="F111" s="4" t="s">
        <v>345</v>
      </c>
      <c r="G111" s="4" t="s">
        <v>365</v>
      </c>
      <c r="H111" s="142" t="s">
        <v>4</v>
      </c>
      <c r="I111" s="143">
        <v>45</v>
      </c>
      <c r="J111" s="63">
        <f t="shared" si="7"/>
        <v>90</v>
      </c>
      <c r="K111" s="4"/>
      <c r="L111" s="11">
        <f t="shared" si="12"/>
        <v>0</v>
      </c>
      <c r="M111" s="9">
        <f t="shared" si="11"/>
        <v>0</v>
      </c>
    </row>
    <row r="112" spans="1:13">
      <c r="A112" s="9">
        <f t="shared" si="9"/>
        <v>0</v>
      </c>
      <c r="B112" s="9">
        <f t="shared" si="10"/>
        <v>0</v>
      </c>
      <c r="D112" s="64" t="s">
        <v>370</v>
      </c>
      <c r="E112" s="4" t="s">
        <v>371</v>
      </c>
      <c r="F112" s="4" t="s">
        <v>348</v>
      </c>
      <c r="G112" s="4" t="s">
        <v>365</v>
      </c>
      <c r="H112" s="142" t="s">
        <v>5</v>
      </c>
      <c r="I112" s="143">
        <v>45</v>
      </c>
      <c r="J112" s="63">
        <f t="shared" si="7"/>
        <v>90</v>
      </c>
      <c r="K112" s="4"/>
      <c r="L112" s="11">
        <f t="shared" si="12"/>
        <v>0</v>
      </c>
      <c r="M112" s="9">
        <f t="shared" si="11"/>
        <v>0</v>
      </c>
    </row>
    <row r="113" spans="1:13">
      <c r="A113" s="9">
        <f t="shared" si="9"/>
        <v>0</v>
      </c>
      <c r="B113" s="9">
        <f t="shared" si="10"/>
        <v>0</v>
      </c>
      <c r="D113" s="64" t="s">
        <v>372</v>
      </c>
      <c r="E113" s="4" t="s">
        <v>373</v>
      </c>
      <c r="F113" s="4" t="s">
        <v>351</v>
      </c>
      <c r="G113" s="4" t="s">
        <v>365</v>
      </c>
      <c r="H113" s="142" t="s">
        <v>70</v>
      </c>
      <c r="I113" s="143">
        <v>45</v>
      </c>
      <c r="J113" s="63">
        <f t="shared" si="7"/>
        <v>90</v>
      </c>
      <c r="K113" s="4"/>
      <c r="L113" s="11">
        <f t="shared" si="12"/>
        <v>0</v>
      </c>
      <c r="M113" s="9">
        <f t="shared" si="11"/>
        <v>0</v>
      </c>
    </row>
    <row r="114" spans="1:13">
      <c r="A114" s="9">
        <f t="shared" si="9"/>
        <v>0</v>
      </c>
      <c r="B114" s="9">
        <f t="shared" si="10"/>
        <v>0</v>
      </c>
      <c r="K114" s="58">
        <f>SUM(K11:K57,K59:K113)</f>
        <v>0</v>
      </c>
      <c r="L114" s="59">
        <f>SUM(L11:L57,L59:L113)</f>
        <v>0</v>
      </c>
      <c r="M114" s="9">
        <f t="shared" si="11"/>
        <v>0</v>
      </c>
    </row>
    <row r="115" spans="1:13">
      <c r="A115" s="9">
        <f t="shared" si="9"/>
        <v>0</v>
      </c>
      <c r="B115" s="9">
        <f t="shared" si="10"/>
        <v>0</v>
      </c>
      <c r="M115" s="9">
        <f t="shared" si="11"/>
        <v>0</v>
      </c>
    </row>
    <row r="116" spans="1:13">
      <c r="A116" s="9">
        <f t="shared" si="9"/>
        <v>0</v>
      </c>
      <c r="B116" s="9">
        <f t="shared" si="10"/>
        <v>0</v>
      </c>
      <c r="M116" s="9">
        <f t="shared" si="11"/>
        <v>0</v>
      </c>
    </row>
    <row r="117" spans="1:13">
      <c r="A117" s="9">
        <f t="shared" si="9"/>
        <v>0</v>
      </c>
      <c r="B117" s="9">
        <f t="shared" si="10"/>
        <v>0</v>
      </c>
      <c r="M117" s="9">
        <f t="shared" si="11"/>
        <v>0</v>
      </c>
    </row>
    <row r="118" spans="1:13">
      <c r="A118" s="9">
        <f t="shared" si="9"/>
        <v>0</v>
      </c>
      <c r="B118" s="9">
        <f t="shared" si="10"/>
        <v>0</v>
      </c>
      <c r="M118" s="9">
        <f t="shared" si="11"/>
        <v>0</v>
      </c>
    </row>
    <row r="119" spans="1:13">
      <c r="A119" s="9">
        <f t="shared" si="9"/>
        <v>0</v>
      </c>
      <c r="B119" s="9">
        <f t="shared" si="10"/>
        <v>0</v>
      </c>
      <c r="M119" s="9">
        <f t="shared" si="11"/>
        <v>0</v>
      </c>
    </row>
    <row r="120" spans="1:13">
      <c r="A120" s="9">
        <f t="shared" si="9"/>
        <v>0</v>
      </c>
      <c r="B120" s="9">
        <f t="shared" si="10"/>
        <v>0</v>
      </c>
      <c r="M120" s="9">
        <f t="shared" si="11"/>
        <v>0</v>
      </c>
    </row>
    <row r="121" spans="1:13">
      <c r="A121" s="9">
        <f t="shared" si="9"/>
        <v>0</v>
      </c>
      <c r="B121" s="9">
        <f t="shared" si="10"/>
        <v>0</v>
      </c>
      <c r="M121" s="9">
        <f t="shared" si="11"/>
        <v>0</v>
      </c>
    </row>
    <row r="122" spans="1:13">
      <c r="A122" s="9">
        <f t="shared" si="9"/>
        <v>0</v>
      </c>
      <c r="B122" s="9">
        <f t="shared" si="10"/>
        <v>0</v>
      </c>
      <c r="M122" s="9">
        <f t="shared" si="11"/>
        <v>0</v>
      </c>
    </row>
    <row r="123" spans="1:13">
      <c r="A123" s="9">
        <f t="shared" si="9"/>
        <v>0</v>
      </c>
      <c r="B123" s="9">
        <f t="shared" si="10"/>
        <v>0</v>
      </c>
      <c r="M123" s="9">
        <f t="shared" si="11"/>
        <v>0</v>
      </c>
    </row>
    <row r="124" spans="1:13">
      <c r="A124" s="9">
        <f t="shared" si="9"/>
        <v>0</v>
      </c>
      <c r="B124" s="9">
        <f t="shared" si="10"/>
        <v>0</v>
      </c>
      <c r="M124" s="9">
        <f t="shared" si="11"/>
        <v>0</v>
      </c>
    </row>
    <row r="125" spans="1:13">
      <c r="A125" s="9">
        <f t="shared" si="9"/>
        <v>0</v>
      </c>
      <c r="B125" s="9">
        <f t="shared" si="10"/>
        <v>0</v>
      </c>
      <c r="M125" s="9">
        <f t="shared" si="11"/>
        <v>0</v>
      </c>
    </row>
    <row r="126" spans="1:13">
      <c r="A126" s="9">
        <f t="shared" si="9"/>
        <v>0</v>
      </c>
      <c r="B126" s="9">
        <f t="shared" si="10"/>
        <v>0</v>
      </c>
      <c r="M126" s="9">
        <f t="shared" si="11"/>
        <v>0</v>
      </c>
    </row>
    <row r="127" spans="1:13">
      <c r="A127" s="9">
        <f t="shared" si="9"/>
        <v>0</v>
      </c>
      <c r="B127" s="9">
        <f t="shared" si="10"/>
        <v>0</v>
      </c>
      <c r="M127" s="9">
        <f t="shared" si="11"/>
        <v>0</v>
      </c>
    </row>
    <row r="128" spans="1:13">
      <c r="A128" s="9">
        <f t="shared" si="9"/>
        <v>0</v>
      </c>
      <c r="B128" s="9">
        <f t="shared" si="10"/>
        <v>0</v>
      </c>
      <c r="M128" s="9">
        <f t="shared" si="11"/>
        <v>0</v>
      </c>
    </row>
    <row r="129" spans="1:13">
      <c r="A129" s="9">
        <f t="shared" si="9"/>
        <v>0</v>
      </c>
      <c r="B129" s="9">
        <f t="shared" si="10"/>
        <v>0</v>
      </c>
      <c r="M129" s="9">
        <f t="shared" si="11"/>
        <v>0</v>
      </c>
    </row>
    <row r="130" spans="1:13">
      <c r="A130" s="9">
        <f t="shared" si="9"/>
        <v>0</v>
      </c>
      <c r="B130" s="9">
        <f t="shared" si="10"/>
        <v>0</v>
      </c>
      <c r="M130" s="9">
        <f t="shared" si="11"/>
        <v>0</v>
      </c>
    </row>
    <row r="131" spans="1:13">
      <c r="A131" s="9">
        <f t="shared" si="9"/>
        <v>0</v>
      </c>
      <c r="B131" s="9">
        <f t="shared" si="10"/>
        <v>0</v>
      </c>
      <c r="M131" s="9">
        <f t="shared" si="11"/>
        <v>0</v>
      </c>
    </row>
    <row r="132" spans="1:13">
      <c r="A132" s="9">
        <f t="shared" si="9"/>
        <v>0</v>
      </c>
      <c r="B132" s="9">
        <f t="shared" si="10"/>
        <v>0</v>
      </c>
      <c r="M132" s="9">
        <f t="shared" si="11"/>
        <v>0</v>
      </c>
    </row>
    <row r="133" spans="1:13">
      <c r="A133" s="9">
        <f t="shared" si="9"/>
        <v>0</v>
      </c>
      <c r="B133" s="9">
        <f t="shared" si="10"/>
        <v>0</v>
      </c>
      <c r="M133" s="9">
        <f t="shared" si="11"/>
        <v>0</v>
      </c>
    </row>
    <row r="134" spans="1:13">
      <c r="A134" s="9">
        <f t="shared" si="9"/>
        <v>0</v>
      </c>
      <c r="B134" s="9">
        <f t="shared" si="10"/>
        <v>0</v>
      </c>
      <c r="M134" s="9">
        <f t="shared" si="11"/>
        <v>0</v>
      </c>
    </row>
    <row r="135" spans="1:13">
      <c r="A135" s="9">
        <f t="shared" si="9"/>
        <v>0</v>
      </c>
      <c r="B135" s="9">
        <f t="shared" si="10"/>
        <v>0</v>
      </c>
      <c r="M135" s="9">
        <f t="shared" si="11"/>
        <v>0</v>
      </c>
    </row>
    <row r="136" spans="1:13">
      <c r="A136" s="9">
        <f t="shared" si="9"/>
        <v>0</v>
      </c>
      <c r="B136" s="9">
        <f t="shared" si="10"/>
        <v>0</v>
      </c>
      <c r="M136" s="9">
        <f t="shared" si="11"/>
        <v>0</v>
      </c>
    </row>
    <row r="137" spans="1:13">
      <c r="A137" s="9">
        <f t="shared" si="9"/>
        <v>0</v>
      </c>
      <c r="B137" s="9">
        <f t="shared" si="10"/>
        <v>0</v>
      </c>
      <c r="M137" s="9">
        <f t="shared" si="11"/>
        <v>0</v>
      </c>
    </row>
    <row r="138" spans="1:13">
      <c r="A138" s="9">
        <f t="shared" si="9"/>
        <v>0</v>
      </c>
      <c r="B138" s="9">
        <f t="shared" si="10"/>
        <v>0</v>
      </c>
      <c r="M138" s="9">
        <f t="shared" si="11"/>
        <v>0</v>
      </c>
    </row>
    <row r="139" spans="1:13">
      <c r="A139" s="9">
        <f t="shared" si="9"/>
        <v>0</v>
      </c>
      <c r="B139" s="9">
        <f t="shared" si="10"/>
        <v>0</v>
      </c>
      <c r="M139" s="9">
        <f t="shared" si="11"/>
        <v>0</v>
      </c>
    </row>
    <row r="140" spans="1:13">
      <c r="A140" s="9">
        <f t="shared" si="9"/>
        <v>0</v>
      </c>
      <c r="B140" s="9">
        <f t="shared" si="10"/>
        <v>0</v>
      </c>
      <c r="M140" s="9">
        <f t="shared" si="11"/>
        <v>0</v>
      </c>
    </row>
    <row r="141" spans="1:13">
      <c r="A141" s="9">
        <f t="shared" si="9"/>
        <v>0</v>
      </c>
      <c r="B141" s="9">
        <f t="shared" si="10"/>
        <v>0</v>
      </c>
      <c r="M141" s="9">
        <f t="shared" si="11"/>
        <v>0</v>
      </c>
    </row>
  </sheetData>
  <mergeCells count="6">
    <mergeCell ref="D58:L58"/>
    <mergeCell ref="F6:H7"/>
    <mergeCell ref="I6:J6"/>
    <mergeCell ref="K6:L6"/>
    <mergeCell ref="I7:J7"/>
    <mergeCell ref="K7:L7"/>
  </mergeCells>
  <phoneticPr fontId="9" type="noConversion"/>
  <dataValidations count="2">
    <dataValidation type="textLength" operator="equal" allowBlank="1" showInputMessage="1" showErrorMessage="1" promptTitle="no action needed" prompt="prefilled data - no action needed" sqref="WVL983132:WVL983171 D65549:D65598 IZ65577:IZ65626 SV65577:SV65626 ACR65577:ACR65626 AMN65577:AMN65626 AWJ65577:AWJ65626 BGF65577:BGF65626 BQB65577:BQB65626 BZX65577:BZX65626 CJT65577:CJT65626 CTP65577:CTP65626 DDL65577:DDL65626 DNH65577:DNH65626 DXD65577:DXD65626 EGZ65577:EGZ65626 EQV65577:EQV65626 FAR65577:FAR65626 FKN65577:FKN65626 FUJ65577:FUJ65626 GEF65577:GEF65626 GOB65577:GOB65626 GXX65577:GXX65626 HHT65577:HHT65626 HRP65577:HRP65626 IBL65577:IBL65626 ILH65577:ILH65626 IVD65577:IVD65626 JEZ65577:JEZ65626 JOV65577:JOV65626 JYR65577:JYR65626 KIN65577:KIN65626 KSJ65577:KSJ65626 LCF65577:LCF65626 LMB65577:LMB65626 LVX65577:LVX65626 MFT65577:MFT65626 MPP65577:MPP65626 MZL65577:MZL65626 NJH65577:NJH65626 NTD65577:NTD65626 OCZ65577:OCZ65626 OMV65577:OMV65626 OWR65577:OWR65626 PGN65577:PGN65626 PQJ65577:PQJ65626 QAF65577:QAF65626 QKB65577:QKB65626 QTX65577:QTX65626 RDT65577:RDT65626 RNP65577:RNP65626 RXL65577:RXL65626 SHH65577:SHH65626 SRD65577:SRD65626 TAZ65577:TAZ65626 TKV65577:TKV65626 TUR65577:TUR65626 UEN65577:UEN65626 UOJ65577:UOJ65626 UYF65577:UYF65626 VIB65577:VIB65626 VRX65577:VRX65626 WBT65577:WBT65626 WLP65577:WLP65626 WVL65577:WVL65626 D131085:D131134 IZ131113:IZ131162 SV131113:SV131162 ACR131113:ACR131162 AMN131113:AMN131162 AWJ131113:AWJ131162 BGF131113:BGF131162 BQB131113:BQB131162 BZX131113:BZX131162 CJT131113:CJT131162 CTP131113:CTP131162 DDL131113:DDL131162 DNH131113:DNH131162 DXD131113:DXD131162 EGZ131113:EGZ131162 EQV131113:EQV131162 FAR131113:FAR131162 FKN131113:FKN131162 FUJ131113:FUJ131162 GEF131113:GEF131162 GOB131113:GOB131162 GXX131113:GXX131162 HHT131113:HHT131162 HRP131113:HRP131162 IBL131113:IBL131162 ILH131113:ILH131162 IVD131113:IVD131162 JEZ131113:JEZ131162 JOV131113:JOV131162 JYR131113:JYR131162 KIN131113:KIN131162 KSJ131113:KSJ131162 LCF131113:LCF131162 LMB131113:LMB131162 LVX131113:LVX131162 MFT131113:MFT131162 MPP131113:MPP131162 MZL131113:MZL131162 NJH131113:NJH131162 NTD131113:NTD131162 OCZ131113:OCZ131162 OMV131113:OMV131162 OWR131113:OWR131162 PGN131113:PGN131162 PQJ131113:PQJ131162 QAF131113:QAF131162 QKB131113:QKB131162 QTX131113:QTX131162 RDT131113:RDT131162 RNP131113:RNP131162 RXL131113:RXL131162 SHH131113:SHH131162 SRD131113:SRD131162 TAZ131113:TAZ131162 TKV131113:TKV131162 TUR131113:TUR131162 UEN131113:UEN131162 UOJ131113:UOJ131162 UYF131113:UYF131162 VIB131113:VIB131162 VRX131113:VRX131162 WBT131113:WBT131162 WLP131113:WLP131162 WVL131113:WVL131162 D196621:D196670 IZ196649:IZ196698 SV196649:SV196698 ACR196649:ACR196698 AMN196649:AMN196698 AWJ196649:AWJ196698 BGF196649:BGF196698 BQB196649:BQB196698 BZX196649:BZX196698 CJT196649:CJT196698 CTP196649:CTP196698 DDL196649:DDL196698 DNH196649:DNH196698 DXD196649:DXD196698 EGZ196649:EGZ196698 EQV196649:EQV196698 FAR196649:FAR196698 FKN196649:FKN196698 FUJ196649:FUJ196698 GEF196649:GEF196698 GOB196649:GOB196698 GXX196649:GXX196698 HHT196649:HHT196698 HRP196649:HRP196698 IBL196649:IBL196698 ILH196649:ILH196698 IVD196649:IVD196698 JEZ196649:JEZ196698 JOV196649:JOV196698 JYR196649:JYR196698 KIN196649:KIN196698 KSJ196649:KSJ196698 LCF196649:LCF196698 LMB196649:LMB196698 LVX196649:LVX196698 MFT196649:MFT196698 MPP196649:MPP196698 MZL196649:MZL196698 NJH196649:NJH196698 NTD196649:NTD196698 OCZ196649:OCZ196698 OMV196649:OMV196698 OWR196649:OWR196698 PGN196649:PGN196698 PQJ196649:PQJ196698 QAF196649:QAF196698 QKB196649:QKB196698 QTX196649:QTX196698 RDT196649:RDT196698 RNP196649:RNP196698 RXL196649:RXL196698 SHH196649:SHH196698 SRD196649:SRD196698 TAZ196649:TAZ196698 TKV196649:TKV196698 TUR196649:TUR196698 UEN196649:UEN196698 UOJ196649:UOJ196698 UYF196649:UYF196698 VIB196649:VIB196698 VRX196649:VRX196698 WBT196649:WBT196698 WLP196649:WLP196698 WVL196649:WVL196698 D262157:D262206 IZ262185:IZ262234 SV262185:SV262234 ACR262185:ACR262234 AMN262185:AMN262234 AWJ262185:AWJ262234 BGF262185:BGF262234 BQB262185:BQB262234 BZX262185:BZX262234 CJT262185:CJT262234 CTP262185:CTP262234 DDL262185:DDL262234 DNH262185:DNH262234 DXD262185:DXD262234 EGZ262185:EGZ262234 EQV262185:EQV262234 FAR262185:FAR262234 FKN262185:FKN262234 FUJ262185:FUJ262234 GEF262185:GEF262234 GOB262185:GOB262234 GXX262185:GXX262234 HHT262185:HHT262234 HRP262185:HRP262234 IBL262185:IBL262234 ILH262185:ILH262234 IVD262185:IVD262234 JEZ262185:JEZ262234 JOV262185:JOV262234 JYR262185:JYR262234 KIN262185:KIN262234 KSJ262185:KSJ262234 LCF262185:LCF262234 LMB262185:LMB262234 LVX262185:LVX262234 MFT262185:MFT262234 MPP262185:MPP262234 MZL262185:MZL262234 NJH262185:NJH262234 NTD262185:NTD262234 OCZ262185:OCZ262234 OMV262185:OMV262234 OWR262185:OWR262234 PGN262185:PGN262234 PQJ262185:PQJ262234 QAF262185:QAF262234 QKB262185:QKB262234 QTX262185:QTX262234 RDT262185:RDT262234 RNP262185:RNP262234 RXL262185:RXL262234 SHH262185:SHH262234 SRD262185:SRD262234 TAZ262185:TAZ262234 TKV262185:TKV262234 TUR262185:TUR262234 UEN262185:UEN262234 UOJ262185:UOJ262234 UYF262185:UYF262234 VIB262185:VIB262234 VRX262185:VRX262234 WBT262185:WBT262234 WLP262185:WLP262234 WVL262185:WVL262234 D327693:D327742 IZ327721:IZ327770 SV327721:SV327770 ACR327721:ACR327770 AMN327721:AMN327770 AWJ327721:AWJ327770 BGF327721:BGF327770 BQB327721:BQB327770 BZX327721:BZX327770 CJT327721:CJT327770 CTP327721:CTP327770 DDL327721:DDL327770 DNH327721:DNH327770 DXD327721:DXD327770 EGZ327721:EGZ327770 EQV327721:EQV327770 FAR327721:FAR327770 FKN327721:FKN327770 FUJ327721:FUJ327770 GEF327721:GEF327770 GOB327721:GOB327770 GXX327721:GXX327770 HHT327721:HHT327770 HRP327721:HRP327770 IBL327721:IBL327770 ILH327721:ILH327770 IVD327721:IVD327770 JEZ327721:JEZ327770 JOV327721:JOV327770 JYR327721:JYR327770 KIN327721:KIN327770 KSJ327721:KSJ327770 LCF327721:LCF327770 LMB327721:LMB327770 LVX327721:LVX327770 MFT327721:MFT327770 MPP327721:MPP327770 MZL327721:MZL327770 NJH327721:NJH327770 NTD327721:NTD327770 OCZ327721:OCZ327770 OMV327721:OMV327770 OWR327721:OWR327770 PGN327721:PGN327770 PQJ327721:PQJ327770 QAF327721:QAF327770 QKB327721:QKB327770 QTX327721:QTX327770 RDT327721:RDT327770 RNP327721:RNP327770 RXL327721:RXL327770 SHH327721:SHH327770 SRD327721:SRD327770 TAZ327721:TAZ327770 TKV327721:TKV327770 TUR327721:TUR327770 UEN327721:UEN327770 UOJ327721:UOJ327770 UYF327721:UYF327770 VIB327721:VIB327770 VRX327721:VRX327770 WBT327721:WBT327770 WLP327721:WLP327770 WVL327721:WVL327770 D393229:D393278 IZ393257:IZ393306 SV393257:SV393306 ACR393257:ACR393306 AMN393257:AMN393306 AWJ393257:AWJ393306 BGF393257:BGF393306 BQB393257:BQB393306 BZX393257:BZX393306 CJT393257:CJT393306 CTP393257:CTP393306 DDL393257:DDL393306 DNH393257:DNH393306 DXD393257:DXD393306 EGZ393257:EGZ393306 EQV393257:EQV393306 FAR393257:FAR393306 FKN393257:FKN393306 FUJ393257:FUJ393306 GEF393257:GEF393306 GOB393257:GOB393306 GXX393257:GXX393306 HHT393257:HHT393306 HRP393257:HRP393306 IBL393257:IBL393306 ILH393257:ILH393306 IVD393257:IVD393306 JEZ393257:JEZ393306 JOV393257:JOV393306 JYR393257:JYR393306 KIN393257:KIN393306 KSJ393257:KSJ393306 LCF393257:LCF393306 LMB393257:LMB393306 LVX393257:LVX393306 MFT393257:MFT393306 MPP393257:MPP393306 MZL393257:MZL393306 NJH393257:NJH393306 NTD393257:NTD393306 OCZ393257:OCZ393306 OMV393257:OMV393306 OWR393257:OWR393306 PGN393257:PGN393306 PQJ393257:PQJ393306 QAF393257:QAF393306 QKB393257:QKB393306 QTX393257:QTX393306 RDT393257:RDT393306 RNP393257:RNP393306 RXL393257:RXL393306 SHH393257:SHH393306 SRD393257:SRD393306 TAZ393257:TAZ393306 TKV393257:TKV393306 TUR393257:TUR393306 UEN393257:UEN393306 UOJ393257:UOJ393306 UYF393257:UYF393306 VIB393257:VIB393306 VRX393257:VRX393306 WBT393257:WBT393306 WLP393257:WLP393306 WVL393257:WVL393306 D458765:D458814 IZ458793:IZ458842 SV458793:SV458842 ACR458793:ACR458842 AMN458793:AMN458842 AWJ458793:AWJ458842 BGF458793:BGF458842 BQB458793:BQB458842 BZX458793:BZX458842 CJT458793:CJT458842 CTP458793:CTP458842 DDL458793:DDL458842 DNH458793:DNH458842 DXD458793:DXD458842 EGZ458793:EGZ458842 EQV458793:EQV458842 FAR458793:FAR458842 FKN458793:FKN458842 FUJ458793:FUJ458842 GEF458793:GEF458842 GOB458793:GOB458842 GXX458793:GXX458842 HHT458793:HHT458842 HRP458793:HRP458842 IBL458793:IBL458842 ILH458793:ILH458842 IVD458793:IVD458842 JEZ458793:JEZ458842 JOV458793:JOV458842 JYR458793:JYR458842 KIN458793:KIN458842 KSJ458793:KSJ458842 LCF458793:LCF458842 LMB458793:LMB458842 LVX458793:LVX458842 MFT458793:MFT458842 MPP458793:MPP458842 MZL458793:MZL458842 NJH458793:NJH458842 NTD458793:NTD458842 OCZ458793:OCZ458842 OMV458793:OMV458842 OWR458793:OWR458842 PGN458793:PGN458842 PQJ458793:PQJ458842 QAF458793:QAF458842 QKB458793:QKB458842 QTX458793:QTX458842 RDT458793:RDT458842 RNP458793:RNP458842 RXL458793:RXL458842 SHH458793:SHH458842 SRD458793:SRD458842 TAZ458793:TAZ458842 TKV458793:TKV458842 TUR458793:TUR458842 UEN458793:UEN458842 UOJ458793:UOJ458842 UYF458793:UYF458842 VIB458793:VIB458842 VRX458793:VRX458842 WBT458793:WBT458842 WLP458793:WLP458842 WVL458793:WVL458842 D524301:D524350 IZ524329:IZ524378 SV524329:SV524378 ACR524329:ACR524378 AMN524329:AMN524378 AWJ524329:AWJ524378 BGF524329:BGF524378 BQB524329:BQB524378 BZX524329:BZX524378 CJT524329:CJT524378 CTP524329:CTP524378 DDL524329:DDL524378 DNH524329:DNH524378 DXD524329:DXD524378 EGZ524329:EGZ524378 EQV524329:EQV524378 FAR524329:FAR524378 FKN524329:FKN524378 FUJ524329:FUJ524378 GEF524329:GEF524378 GOB524329:GOB524378 GXX524329:GXX524378 HHT524329:HHT524378 HRP524329:HRP524378 IBL524329:IBL524378 ILH524329:ILH524378 IVD524329:IVD524378 JEZ524329:JEZ524378 JOV524329:JOV524378 JYR524329:JYR524378 KIN524329:KIN524378 KSJ524329:KSJ524378 LCF524329:LCF524378 LMB524329:LMB524378 LVX524329:LVX524378 MFT524329:MFT524378 MPP524329:MPP524378 MZL524329:MZL524378 NJH524329:NJH524378 NTD524329:NTD524378 OCZ524329:OCZ524378 OMV524329:OMV524378 OWR524329:OWR524378 PGN524329:PGN524378 PQJ524329:PQJ524378 QAF524329:QAF524378 QKB524329:QKB524378 QTX524329:QTX524378 RDT524329:RDT524378 RNP524329:RNP524378 RXL524329:RXL524378 SHH524329:SHH524378 SRD524329:SRD524378 TAZ524329:TAZ524378 TKV524329:TKV524378 TUR524329:TUR524378 UEN524329:UEN524378 UOJ524329:UOJ524378 UYF524329:UYF524378 VIB524329:VIB524378 VRX524329:VRX524378 WBT524329:WBT524378 WLP524329:WLP524378 WVL524329:WVL524378 D589837:D589886 IZ589865:IZ589914 SV589865:SV589914 ACR589865:ACR589914 AMN589865:AMN589914 AWJ589865:AWJ589914 BGF589865:BGF589914 BQB589865:BQB589914 BZX589865:BZX589914 CJT589865:CJT589914 CTP589865:CTP589914 DDL589865:DDL589914 DNH589865:DNH589914 DXD589865:DXD589914 EGZ589865:EGZ589914 EQV589865:EQV589914 FAR589865:FAR589914 FKN589865:FKN589914 FUJ589865:FUJ589914 GEF589865:GEF589914 GOB589865:GOB589914 GXX589865:GXX589914 HHT589865:HHT589914 HRP589865:HRP589914 IBL589865:IBL589914 ILH589865:ILH589914 IVD589865:IVD589914 JEZ589865:JEZ589914 JOV589865:JOV589914 JYR589865:JYR589914 KIN589865:KIN589914 KSJ589865:KSJ589914 LCF589865:LCF589914 LMB589865:LMB589914 LVX589865:LVX589914 MFT589865:MFT589914 MPP589865:MPP589914 MZL589865:MZL589914 NJH589865:NJH589914 NTD589865:NTD589914 OCZ589865:OCZ589914 OMV589865:OMV589914 OWR589865:OWR589914 PGN589865:PGN589914 PQJ589865:PQJ589914 QAF589865:QAF589914 QKB589865:QKB589914 QTX589865:QTX589914 RDT589865:RDT589914 RNP589865:RNP589914 RXL589865:RXL589914 SHH589865:SHH589914 SRD589865:SRD589914 TAZ589865:TAZ589914 TKV589865:TKV589914 TUR589865:TUR589914 UEN589865:UEN589914 UOJ589865:UOJ589914 UYF589865:UYF589914 VIB589865:VIB589914 VRX589865:VRX589914 WBT589865:WBT589914 WLP589865:WLP589914 WVL589865:WVL589914 D655373:D655422 IZ655401:IZ655450 SV655401:SV655450 ACR655401:ACR655450 AMN655401:AMN655450 AWJ655401:AWJ655450 BGF655401:BGF655450 BQB655401:BQB655450 BZX655401:BZX655450 CJT655401:CJT655450 CTP655401:CTP655450 DDL655401:DDL655450 DNH655401:DNH655450 DXD655401:DXD655450 EGZ655401:EGZ655450 EQV655401:EQV655450 FAR655401:FAR655450 FKN655401:FKN655450 FUJ655401:FUJ655450 GEF655401:GEF655450 GOB655401:GOB655450 GXX655401:GXX655450 HHT655401:HHT655450 HRP655401:HRP655450 IBL655401:IBL655450 ILH655401:ILH655450 IVD655401:IVD655450 JEZ655401:JEZ655450 JOV655401:JOV655450 JYR655401:JYR655450 KIN655401:KIN655450 KSJ655401:KSJ655450 LCF655401:LCF655450 LMB655401:LMB655450 LVX655401:LVX655450 MFT655401:MFT655450 MPP655401:MPP655450 MZL655401:MZL655450 NJH655401:NJH655450 NTD655401:NTD655450 OCZ655401:OCZ655450 OMV655401:OMV655450 OWR655401:OWR655450 PGN655401:PGN655450 PQJ655401:PQJ655450 QAF655401:QAF655450 QKB655401:QKB655450 QTX655401:QTX655450 RDT655401:RDT655450 RNP655401:RNP655450 RXL655401:RXL655450 SHH655401:SHH655450 SRD655401:SRD655450 TAZ655401:TAZ655450 TKV655401:TKV655450 TUR655401:TUR655450 UEN655401:UEN655450 UOJ655401:UOJ655450 UYF655401:UYF655450 VIB655401:VIB655450 VRX655401:VRX655450 WBT655401:WBT655450 WLP655401:WLP655450 WVL655401:WVL655450 D720909:D720958 IZ720937:IZ720986 SV720937:SV720986 ACR720937:ACR720986 AMN720937:AMN720986 AWJ720937:AWJ720986 BGF720937:BGF720986 BQB720937:BQB720986 BZX720937:BZX720986 CJT720937:CJT720986 CTP720937:CTP720986 DDL720937:DDL720986 DNH720937:DNH720986 DXD720937:DXD720986 EGZ720937:EGZ720986 EQV720937:EQV720986 FAR720937:FAR720986 FKN720937:FKN720986 FUJ720937:FUJ720986 GEF720937:GEF720986 GOB720937:GOB720986 GXX720937:GXX720986 HHT720937:HHT720986 HRP720937:HRP720986 IBL720937:IBL720986 ILH720937:ILH720986 IVD720937:IVD720986 JEZ720937:JEZ720986 JOV720937:JOV720986 JYR720937:JYR720986 KIN720937:KIN720986 KSJ720937:KSJ720986 LCF720937:LCF720986 LMB720937:LMB720986 LVX720937:LVX720986 MFT720937:MFT720986 MPP720937:MPP720986 MZL720937:MZL720986 NJH720937:NJH720986 NTD720937:NTD720986 OCZ720937:OCZ720986 OMV720937:OMV720986 OWR720937:OWR720986 PGN720937:PGN720986 PQJ720937:PQJ720986 QAF720937:QAF720986 QKB720937:QKB720986 QTX720937:QTX720986 RDT720937:RDT720986 RNP720937:RNP720986 RXL720937:RXL720986 SHH720937:SHH720986 SRD720937:SRD720986 TAZ720937:TAZ720986 TKV720937:TKV720986 TUR720937:TUR720986 UEN720937:UEN720986 UOJ720937:UOJ720986 UYF720937:UYF720986 VIB720937:VIB720986 VRX720937:VRX720986 WBT720937:WBT720986 WLP720937:WLP720986 WVL720937:WVL720986 D786445:D786494 IZ786473:IZ786522 SV786473:SV786522 ACR786473:ACR786522 AMN786473:AMN786522 AWJ786473:AWJ786522 BGF786473:BGF786522 BQB786473:BQB786522 BZX786473:BZX786522 CJT786473:CJT786522 CTP786473:CTP786522 DDL786473:DDL786522 DNH786473:DNH786522 DXD786473:DXD786522 EGZ786473:EGZ786522 EQV786473:EQV786522 FAR786473:FAR786522 FKN786473:FKN786522 FUJ786473:FUJ786522 GEF786473:GEF786522 GOB786473:GOB786522 GXX786473:GXX786522 HHT786473:HHT786522 HRP786473:HRP786522 IBL786473:IBL786522 ILH786473:ILH786522 IVD786473:IVD786522 JEZ786473:JEZ786522 JOV786473:JOV786522 JYR786473:JYR786522 KIN786473:KIN786522 KSJ786473:KSJ786522 LCF786473:LCF786522 LMB786473:LMB786522 LVX786473:LVX786522 MFT786473:MFT786522 MPP786473:MPP786522 MZL786473:MZL786522 NJH786473:NJH786522 NTD786473:NTD786522 OCZ786473:OCZ786522 OMV786473:OMV786522 OWR786473:OWR786522 PGN786473:PGN786522 PQJ786473:PQJ786522 QAF786473:QAF786522 QKB786473:QKB786522 QTX786473:QTX786522 RDT786473:RDT786522 RNP786473:RNP786522 RXL786473:RXL786522 SHH786473:SHH786522 SRD786473:SRD786522 TAZ786473:TAZ786522 TKV786473:TKV786522 TUR786473:TUR786522 UEN786473:UEN786522 UOJ786473:UOJ786522 UYF786473:UYF786522 VIB786473:VIB786522 VRX786473:VRX786522 WBT786473:WBT786522 WLP786473:WLP786522 WVL786473:WVL786522 D851981:D852030 IZ852009:IZ852058 SV852009:SV852058 ACR852009:ACR852058 AMN852009:AMN852058 AWJ852009:AWJ852058 BGF852009:BGF852058 BQB852009:BQB852058 BZX852009:BZX852058 CJT852009:CJT852058 CTP852009:CTP852058 DDL852009:DDL852058 DNH852009:DNH852058 DXD852009:DXD852058 EGZ852009:EGZ852058 EQV852009:EQV852058 FAR852009:FAR852058 FKN852009:FKN852058 FUJ852009:FUJ852058 GEF852009:GEF852058 GOB852009:GOB852058 GXX852009:GXX852058 HHT852009:HHT852058 HRP852009:HRP852058 IBL852009:IBL852058 ILH852009:ILH852058 IVD852009:IVD852058 JEZ852009:JEZ852058 JOV852009:JOV852058 JYR852009:JYR852058 KIN852009:KIN852058 KSJ852009:KSJ852058 LCF852009:LCF852058 LMB852009:LMB852058 LVX852009:LVX852058 MFT852009:MFT852058 MPP852009:MPP852058 MZL852009:MZL852058 NJH852009:NJH852058 NTD852009:NTD852058 OCZ852009:OCZ852058 OMV852009:OMV852058 OWR852009:OWR852058 PGN852009:PGN852058 PQJ852009:PQJ852058 QAF852009:QAF852058 QKB852009:QKB852058 QTX852009:QTX852058 RDT852009:RDT852058 RNP852009:RNP852058 RXL852009:RXL852058 SHH852009:SHH852058 SRD852009:SRD852058 TAZ852009:TAZ852058 TKV852009:TKV852058 TUR852009:TUR852058 UEN852009:UEN852058 UOJ852009:UOJ852058 UYF852009:UYF852058 VIB852009:VIB852058 VRX852009:VRX852058 WBT852009:WBT852058 WLP852009:WLP852058 WVL852009:WVL852058 D917517:D917566 IZ917545:IZ917594 SV917545:SV917594 ACR917545:ACR917594 AMN917545:AMN917594 AWJ917545:AWJ917594 BGF917545:BGF917594 BQB917545:BQB917594 BZX917545:BZX917594 CJT917545:CJT917594 CTP917545:CTP917594 DDL917545:DDL917594 DNH917545:DNH917594 DXD917545:DXD917594 EGZ917545:EGZ917594 EQV917545:EQV917594 FAR917545:FAR917594 FKN917545:FKN917594 FUJ917545:FUJ917594 GEF917545:GEF917594 GOB917545:GOB917594 GXX917545:GXX917594 HHT917545:HHT917594 HRP917545:HRP917594 IBL917545:IBL917594 ILH917545:ILH917594 IVD917545:IVD917594 JEZ917545:JEZ917594 JOV917545:JOV917594 JYR917545:JYR917594 KIN917545:KIN917594 KSJ917545:KSJ917594 LCF917545:LCF917594 LMB917545:LMB917594 LVX917545:LVX917594 MFT917545:MFT917594 MPP917545:MPP917594 MZL917545:MZL917594 NJH917545:NJH917594 NTD917545:NTD917594 OCZ917545:OCZ917594 OMV917545:OMV917594 OWR917545:OWR917594 PGN917545:PGN917594 PQJ917545:PQJ917594 QAF917545:QAF917594 QKB917545:QKB917594 QTX917545:QTX917594 RDT917545:RDT917594 RNP917545:RNP917594 RXL917545:RXL917594 SHH917545:SHH917594 SRD917545:SRD917594 TAZ917545:TAZ917594 TKV917545:TKV917594 TUR917545:TUR917594 UEN917545:UEN917594 UOJ917545:UOJ917594 UYF917545:UYF917594 VIB917545:VIB917594 VRX917545:VRX917594 WBT917545:WBT917594 WLP917545:WLP917594 WVL917545:WVL917594 D983053:D983102 IZ983081:IZ983130 SV983081:SV983130 ACR983081:ACR983130 AMN983081:AMN983130 AWJ983081:AWJ983130 BGF983081:BGF983130 BQB983081:BQB983130 BZX983081:BZX983130 CJT983081:CJT983130 CTP983081:CTP983130 DDL983081:DDL983130 DNH983081:DNH983130 DXD983081:DXD983130 EGZ983081:EGZ983130 EQV983081:EQV983130 FAR983081:FAR983130 FKN983081:FKN983130 FUJ983081:FUJ983130 GEF983081:GEF983130 GOB983081:GOB983130 GXX983081:GXX983130 HHT983081:HHT983130 HRP983081:HRP983130 IBL983081:IBL983130 ILH983081:ILH983130 IVD983081:IVD983130 JEZ983081:JEZ983130 JOV983081:JOV983130 JYR983081:JYR983130 KIN983081:KIN983130 KSJ983081:KSJ983130 LCF983081:LCF983130 LMB983081:LMB983130 LVX983081:LVX983130 MFT983081:MFT983130 MPP983081:MPP983130 MZL983081:MZL983130 NJH983081:NJH983130 NTD983081:NTD983130 OCZ983081:OCZ983130 OMV983081:OMV983130 OWR983081:OWR983130 PGN983081:PGN983130 PQJ983081:PQJ983130 QAF983081:QAF983130 QKB983081:QKB983130 QTX983081:QTX983130 RDT983081:RDT983130 RNP983081:RNP983130 RXL983081:RXL983130 SHH983081:SHH983130 SRD983081:SRD983130 TAZ983081:TAZ983130 TKV983081:TKV983130 TUR983081:TUR983130 UEN983081:UEN983130 UOJ983081:UOJ983130 UYF983081:UYF983130 VIB983081:VIB983130 VRX983081:VRX983130 WBT983081:WBT983130 WLP983081:WLP983130 WVL983081:WVL983130 D11:D57 D65600:D65639 IZ65628:IZ65667 SV65628:SV65667 ACR65628:ACR65667 AMN65628:AMN65667 AWJ65628:AWJ65667 BGF65628:BGF65667 BQB65628:BQB65667 BZX65628:BZX65667 CJT65628:CJT65667 CTP65628:CTP65667 DDL65628:DDL65667 DNH65628:DNH65667 DXD65628:DXD65667 EGZ65628:EGZ65667 EQV65628:EQV65667 FAR65628:FAR65667 FKN65628:FKN65667 FUJ65628:FUJ65667 GEF65628:GEF65667 GOB65628:GOB65667 GXX65628:GXX65667 HHT65628:HHT65667 HRP65628:HRP65667 IBL65628:IBL65667 ILH65628:ILH65667 IVD65628:IVD65667 JEZ65628:JEZ65667 JOV65628:JOV65667 JYR65628:JYR65667 KIN65628:KIN65667 KSJ65628:KSJ65667 LCF65628:LCF65667 LMB65628:LMB65667 LVX65628:LVX65667 MFT65628:MFT65667 MPP65628:MPP65667 MZL65628:MZL65667 NJH65628:NJH65667 NTD65628:NTD65667 OCZ65628:OCZ65667 OMV65628:OMV65667 OWR65628:OWR65667 PGN65628:PGN65667 PQJ65628:PQJ65667 QAF65628:QAF65667 QKB65628:QKB65667 QTX65628:QTX65667 RDT65628:RDT65667 RNP65628:RNP65667 RXL65628:RXL65667 SHH65628:SHH65667 SRD65628:SRD65667 TAZ65628:TAZ65667 TKV65628:TKV65667 TUR65628:TUR65667 UEN65628:UEN65667 UOJ65628:UOJ65667 UYF65628:UYF65667 VIB65628:VIB65667 VRX65628:VRX65667 WBT65628:WBT65667 WLP65628:WLP65667 WVL65628:WVL65667 D131136:D131175 IZ131164:IZ131203 SV131164:SV131203 ACR131164:ACR131203 AMN131164:AMN131203 AWJ131164:AWJ131203 BGF131164:BGF131203 BQB131164:BQB131203 BZX131164:BZX131203 CJT131164:CJT131203 CTP131164:CTP131203 DDL131164:DDL131203 DNH131164:DNH131203 DXD131164:DXD131203 EGZ131164:EGZ131203 EQV131164:EQV131203 FAR131164:FAR131203 FKN131164:FKN131203 FUJ131164:FUJ131203 GEF131164:GEF131203 GOB131164:GOB131203 GXX131164:GXX131203 HHT131164:HHT131203 HRP131164:HRP131203 IBL131164:IBL131203 ILH131164:ILH131203 IVD131164:IVD131203 JEZ131164:JEZ131203 JOV131164:JOV131203 JYR131164:JYR131203 KIN131164:KIN131203 KSJ131164:KSJ131203 LCF131164:LCF131203 LMB131164:LMB131203 LVX131164:LVX131203 MFT131164:MFT131203 MPP131164:MPP131203 MZL131164:MZL131203 NJH131164:NJH131203 NTD131164:NTD131203 OCZ131164:OCZ131203 OMV131164:OMV131203 OWR131164:OWR131203 PGN131164:PGN131203 PQJ131164:PQJ131203 QAF131164:QAF131203 QKB131164:QKB131203 QTX131164:QTX131203 RDT131164:RDT131203 RNP131164:RNP131203 RXL131164:RXL131203 SHH131164:SHH131203 SRD131164:SRD131203 TAZ131164:TAZ131203 TKV131164:TKV131203 TUR131164:TUR131203 UEN131164:UEN131203 UOJ131164:UOJ131203 UYF131164:UYF131203 VIB131164:VIB131203 VRX131164:VRX131203 WBT131164:WBT131203 WLP131164:WLP131203 WVL131164:WVL131203 D196672:D196711 IZ196700:IZ196739 SV196700:SV196739 ACR196700:ACR196739 AMN196700:AMN196739 AWJ196700:AWJ196739 BGF196700:BGF196739 BQB196700:BQB196739 BZX196700:BZX196739 CJT196700:CJT196739 CTP196700:CTP196739 DDL196700:DDL196739 DNH196700:DNH196739 DXD196700:DXD196739 EGZ196700:EGZ196739 EQV196700:EQV196739 FAR196700:FAR196739 FKN196700:FKN196739 FUJ196700:FUJ196739 GEF196700:GEF196739 GOB196700:GOB196739 GXX196700:GXX196739 HHT196700:HHT196739 HRP196700:HRP196739 IBL196700:IBL196739 ILH196700:ILH196739 IVD196700:IVD196739 JEZ196700:JEZ196739 JOV196700:JOV196739 JYR196700:JYR196739 KIN196700:KIN196739 KSJ196700:KSJ196739 LCF196700:LCF196739 LMB196700:LMB196739 LVX196700:LVX196739 MFT196700:MFT196739 MPP196700:MPP196739 MZL196700:MZL196739 NJH196700:NJH196739 NTD196700:NTD196739 OCZ196700:OCZ196739 OMV196700:OMV196739 OWR196700:OWR196739 PGN196700:PGN196739 PQJ196700:PQJ196739 QAF196700:QAF196739 QKB196700:QKB196739 QTX196700:QTX196739 RDT196700:RDT196739 RNP196700:RNP196739 RXL196700:RXL196739 SHH196700:SHH196739 SRD196700:SRD196739 TAZ196700:TAZ196739 TKV196700:TKV196739 TUR196700:TUR196739 UEN196700:UEN196739 UOJ196700:UOJ196739 UYF196700:UYF196739 VIB196700:VIB196739 VRX196700:VRX196739 WBT196700:WBT196739 WLP196700:WLP196739 WVL196700:WVL196739 D262208:D262247 IZ262236:IZ262275 SV262236:SV262275 ACR262236:ACR262275 AMN262236:AMN262275 AWJ262236:AWJ262275 BGF262236:BGF262275 BQB262236:BQB262275 BZX262236:BZX262275 CJT262236:CJT262275 CTP262236:CTP262275 DDL262236:DDL262275 DNH262236:DNH262275 DXD262236:DXD262275 EGZ262236:EGZ262275 EQV262236:EQV262275 FAR262236:FAR262275 FKN262236:FKN262275 FUJ262236:FUJ262275 GEF262236:GEF262275 GOB262236:GOB262275 GXX262236:GXX262275 HHT262236:HHT262275 HRP262236:HRP262275 IBL262236:IBL262275 ILH262236:ILH262275 IVD262236:IVD262275 JEZ262236:JEZ262275 JOV262236:JOV262275 JYR262236:JYR262275 KIN262236:KIN262275 KSJ262236:KSJ262275 LCF262236:LCF262275 LMB262236:LMB262275 LVX262236:LVX262275 MFT262236:MFT262275 MPP262236:MPP262275 MZL262236:MZL262275 NJH262236:NJH262275 NTD262236:NTD262275 OCZ262236:OCZ262275 OMV262236:OMV262275 OWR262236:OWR262275 PGN262236:PGN262275 PQJ262236:PQJ262275 QAF262236:QAF262275 QKB262236:QKB262275 QTX262236:QTX262275 RDT262236:RDT262275 RNP262236:RNP262275 RXL262236:RXL262275 SHH262236:SHH262275 SRD262236:SRD262275 TAZ262236:TAZ262275 TKV262236:TKV262275 TUR262236:TUR262275 UEN262236:UEN262275 UOJ262236:UOJ262275 UYF262236:UYF262275 VIB262236:VIB262275 VRX262236:VRX262275 WBT262236:WBT262275 WLP262236:WLP262275 WVL262236:WVL262275 D327744:D327783 IZ327772:IZ327811 SV327772:SV327811 ACR327772:ACR327811 AMN327772:AMN327811 AWJ327772:AWJ327811 BGF327772:BGF327811 BQB327772:BQB327811 BZX327772:BZX327811 CJT327772:CJT327811 CTP327772:CTP327811 DDL327772:DDL327811 DNH327772:DNH327811 DXD327772:DXD327811 EGZ327772:EGZ327811 EQV327772:EQV327811 FAR327772:FAR327811 FKN327772:FKN327811 FUJ327772:FUJ327811 GEF327772:GEF327811 GOB327772:GOB327811 GXX327772:GXX327811 HHT327772:HHT327811 HRP327772:HRP327811 IBL327772:IBL327811 ILH327772:ILH327811 IVD327772:IVD327811 JEZ327772:JEZ327811 JOV327772:JOV327811 JYR327772:JYR327811 KIN327772:KIN327811 KSJ327772:KSJ327811 LCF327772:LCF327811 LMB327772:LMB327811 LVX327772:LVX327811 MFT327772:MFT327811 MPP327772:MPP327811 MZL327772:MZL327811 NJH327772:NJH327811 NTD327772:NTD327811 OCZ327772:OCZ327811 OMV327772:OMV327811 OWR327772:OWR327811 PGN327772:PGN327811 PQJ327772:PQJ327811 QAF327772:QAF327811 QKB327772:QKB327811 QTX327772:QTX327811 RDT327772:RDT327811 RNP327772:RNP327811 RXL327772:RXL327811 SHH327772:SHH327811 SRD327772:SRD327811 TAZ327772:TAZ327811 TKV327772:TKV327811 TUR327772:TUR327811 UEN327772:UEN327811 UOJ327772:UOJ327811 UYF327772:UYF327811 VIB327772:VIB327811 VRX327772:VRX327811 WBT327772:WBT327811 WLP327772:WLP327811 WVL327772:WVL327811 D393280:D393319 IZ393308:IZ393347 SV393308:SV393347 ACR393308:ACR393347 AMN393308:AMN393347 AWJ393308:AWJ393347 BGF393308:BGF393347 BQB393308:BQB393347 BZX393308:BZX393347 CJT393308:CJT393347 CTP393308:CTP393347 DDL393308:DDL393347 DNH393308:DNH393347 DXD393308:DXD393347 EGZ393308:EGZ393347 EQV393308:EQV393347 FAR393308:FAR393347 FKN393308:FKN393347 FUJ393308:FUJ393347 GEF393308:GEF393347 GOB393308:GOB393347 GXX393308:GXX393347 HHT393308:HHT393347 HRP393308:HRP393347 IBL393308:IBL393347 ILH393308:ILH393347 IVD393308:IVD393347 JEZ393308:JEZ393347 JOV393308:JOV393347 JYR393308:JYR393347 KIN393308:KIN393347 KSJ393308:KSJ393347 LCF393308:LCF393347 LMB393308:LMB393347 LVX393308:LVX393347 MFT393308:MFT393347 MPP393308:MPP393347 MZL393308:MZL393347 NJH393308:NJH393347 NTD393308:NTD393347 OCZ393308:OCZ393347 OMV393308:OMV393347 OWR393308:OWR393347 PGN393308:PGN393347 PQJ393308:PQJ393347 QAF393308:QAF393347 QKB393308:QKB393347 QTX393308:QTX393347 RDT393308:RDT393347 RNP393308:RNP393347 RXL393308:RXL393347 SHH393308:SHH393347 SRD393308:SRD393347 TAZ393308:TAZ393347 TKV393308:TKV393347 TUR393308:TUR393347 UEN393308:UEN393347 UOJ393308:UOJ393347 UYF393308:UYF393347 VIB393308:VIB393347 VRX393308:VRX393347 WBT393308:WBT393347 WLP393308:WLP393347 WVL393308:WVL393347 D458816:D458855 IZ458844:IZ458883 SV458844:SV458883 ACR458844:ACR458883 AMN458844:AMN458883 AWJ458844:AWJ458883 BGF458844:BGF458883 BQB458844:BQB458883 BZX458844:BZX458883 CJT458844:CJT458883 CTP458844:CTP458883 DDL458844:DDL458883 DNH458844:DNH458883 DXD458844:DXD458883 EGZ458844:EGZ458883 EQV458844:EQV458883 FAR458844:FAR458883 FKN458844:FKN458883 FUJ458844:FUJ458883 GEF458844:GEF458883 GOB458844:GOB458883 GXX458844:GXX458883 HHT458844:HHT458883 HRP458844:HRP458883 IBL458844:IBL458883 ILH458844:ILH458883 IVD458844:IVD458883 JEZ458844:JEZ458883 JOV458844:JOV458883 JYR458844:JYR458883 KIN458844:KIN458883 KSJ458844:KSJ458883 LCF458844:LCF458883 LMB458844:LMB458883 LVX458844:LVX458883 MFT458844:MFT458883 MPP458844:MPP458883 MZL458844:MZL458883 NJH458844:NJH458883 NTD458844:NTD458883 OCZ458844:OCZ458883 OMV458844:OMV458883 OWR458844:OWR458883 PGN458844:PGN458883 PQJ458844:PQJ458883 QAF458844:QAF458883 QKB458844:QKB458883 QTX458844:QTX458883 RDT458844:RDT458883 RNP458844:RNP458883 RXL458844:RXL458883 SHH458844:SHH458883 SRD458844:SRD458883 TAZ458844:TAZ458883 TKV458844:TKV458883 TUR458844:TUR458883 UEN458844:UEN458883 UOJ458844:UOJ458883 UYF458844:UYF458883 VIB458844:VIB458883 VRX458844:VRX458883 WBT458844:WBT458883 WLP458844:WLP458883 WVL458844:WVL458883 D524352:D524391 IZ524380:IZ524419 SV524380:SV524419 ACR524380:ACR524419 AMN524380:AMN524419 AWJ524380:AWJ524419 BGF524380:BGF524419 BQB524380:BQB524419 BZX524380:BZX524419 CJT524380:CJT524419 CTP524380:CTP524419 DDL524380:DDL524419 DNH524380:DNH524419 DXD524380:DXD524419 EGZ524380:EGZ524419 EQV524380:EQV524419 FAR524380:FAR524419 FKN524380:FKN524419 FUJ524380:FUJ524419 GEF524380:GEF524419 GOB524380:GOB524419 GXX524380:GXX524419 HHT524380:HHT524419 HRP524380:HRP524419 IBL524380:IBL524419 ILH524380:ILH524419 IVD524380:IVD524419 JEZ524380:JEZ524419 JOV524380:JOV524419 JYR524380:JYR524419 KIN524380:KIN524419 KSJ524380:KSJ524419 LCF524380:LCF524419 LMB524380:LMB524419 LVX524380:LVX524419 MFT524380:MFT524419 MPP524380:MPP524419 MZL524380:MZL524419 NJH524380:NJH524419 NTD524380:NTD524419 OCZ524380:OCZ524419 OMV524380:OMV524419 OWR524380:OWR524419 PGN524380:PGN524419 PQJ524380:PQJ524419 QAF524380:QAF524419 QKB524380:QKB524419 QTX524380:QTX524419 RDT524380:RDT524419 RNP524380:RNP524419 RXL524380:RXL524419 SHH524380:SHH524419 SRD524380:SRD524419 TAZ524380:TAZ524419 TKV524380:TKV524419 TUR524380:TUR524419 UEN524380:UEN524419 UOJ524380:UOJ524419 UYF524380:UYF524419 VIB524380:VIB524419 VRX524380:VRX524419 WBT524380:WBT524419 WLP524380:WLP524419 WVL524380:WVL524419 D589888:D589927 IZ589916:IZ589955 SV589916:SV589955 ACR589916:ACR589955 AMN589916:AMN589955 AWJ589916:AWJ589955 BGF589916:BGF589955 BQB589916:BQB589955 BZX589916:BZX589955 CJT589916:CJT589955 CTP589916:CTP589955 DDL589916:DDL589955 DNH589916:DNH589955 DXD589916:DXD589955 EGZ589916:EGZ589955 EQV589916:EQV589955 FAR589916:FAR589955 FKN589916:FKN589955 FUJ589916:FUJ589955 GEF589916:GEF589955 GOB589916:GOB589955 GXX589916:GXX589955 HHT589916:HHT589955 HRP589916:HRP589955 IBL589916:IBL589955 ILH589916:ILH589955 IVD589916:IVD589955 JEZ589916:JEZ589955 JOV589916:JOV589955 JYR589916:JYR589955 KIN589916:KIN589955 KSJ589916:KSJ589955 LCF589916:LCF589955 LMB589916:LMB589955 LVX589916:LVX589955 MFT589916:MFT589955 MPP589916:MPP589955 MZL589916:MZL589955 NJH589916:NJH589955 NTD589916:NTD589955 OCZ589916:OCZ589955 OMV589916:OMV589955 OWR589916:OWR589955 PGN589916:PGN589955 PQJ589916:PQJ589955 QAF589916:QAF589955 QKB589916:QKB589955 QTX589916:QTX589955 RDT589916:RDT589955 RNP589916:RNP589955 RXL589916:RXL589955 SHH589916:SHH589955 SRD589916:SRD589955 TAZ589916:TAZ589955 TKV589916:TKV589955 TUR589916:TUR589955 UEN589916:UEN589955 UOJ589916:UOJ589955 UYF589916:UYF589955 VIB589916:VIB589955 VRX589916:VRX589955 WBT589916:WBT589955 WLP589916:WLP589955 WVL589916:WVL589955 D655424:D655463 IZ655452:IZ655491 SV655452:SV655491 ACR655452:ACR655491 AMN655452:AMN655491 AWJ655452:AWJ655491 BGF655452:BGF655491 BQB655452:BQB655491 BZX655452:BZX655491 CJT655452:CJT655491 CTP655452:CTP655491 DDL655452:DDL655491 DNH655452:DNH655491 DXD655452:DXD655491 EGZ655452:EGZ655491 EQV655452:EQV655491 FAR655452:FAR655491 FKN655452:FKN655491 FUJ655452:FUJ655491 GEF655452:GEF655491 GOB655452:GOB655491 GXX655452:GXX655491 HHT655452:HHT655491 HRP655452:HRP655491 IBL655452:IBL655491 ILH655452:ILH655491 IVD655452:IVD655491 JEZ655452:JEZ655491 JOV655452:JOV655491 JYR655452:JYR655491 KIN655452:KIN655491 KSJ655452:KSJ655491 LCF655452:LCF655491 LMB655452:LMB655491 LVX655452:LVX655491 MFT655452:MFT655491 MPP655452:MPP655491 MZL655452:MZL655491 NJH655452:NJH655491 NTD655452:NTD655491 OCZ655452:OCZ655491 OMV655452:OMV655491 OWR655452:OWR655491 PGN655452:PGN655491 PQJ655452:PQJ655491 QAF655452:QAF655491 QKB655452:QKB655491 QTX655452:QTX655491 RDT655452:RDT655491 RNP655452:RNP655491 RXL655452:RXL655491 SHH655452:SHH655491 SRD655452:SRD655491 TAZ655452:TAZ655491 TKV655452:TKV655491 TUR655452:TUR655491 UEN655452:UEN655491 UOJ655452:UOJ655491 UYF655452:UYF655491 VIB655452:VIB655491 VRX655452:VRX655491 WBT655452:WBT655491 WLP655452:WLP655491 WVL655452:WVL655491 D720960:D720999 IZ720988:IZ721027 SV720988:SV721027 ACR720988:ACR721027 AMN720988:AMN721027 AWJ720988:AWJ721027 BGF720988:BGF721027 BQB720988:BQB721027 BZX720988:BZX721027 CJT720988:CJT721027 CTP720988:CTP721027 DDL720988:DDL721027 DNH720988:DNH721027 DXD720988:DXD721027 EGZ720988:EGZ721027 EQV720988:EQV721027 FAR720988:FAR721027 FKN720988:FKN721027 FUJ720988:FUJ721027 GEF720988:GEF721027 GOB720988:GOB721027 GXX720988:GXX721027 HHT720988:HHT721027 HRP720988:HRP721027 IBL720988:IBL721027 ILH720988:ILH721027 IVD720988:IVD721027 JEZ720988:JEZ721027 JOV720988:JOV721027 JYR720988:JYR721027 KIN720988:KIN721027 KSJ720988:KSJ721027 LCF720988:LCF721027 LMB720988:LMB721027 LVX720988:LVX721027 MFT720988:MFT721027 MPP720988:MPP721027 MZL720988:MZL721027 NJH720988:NJH721027 NTD720988:NTD721027 OCZ720988:OCZ721027 OMV720988:OMV721027 OWR720988:OWR721027 PGN720988:PGN721027 PQJ720988:PQJ721027 QAF720988:QAF721027 QKB720988:QKB721027 QTX720988:QTX721027 RDT720988:RDT721027 RNP720988:RNP721027 RXL720988:RXL721027 SHH720988:SHH721027 SRD720988:SRD721027 TAZ720988:TAZ721027 TKV720988:TKV721027 TUR720988:TUR721027 UEN720988:UEN721027 UOJ720988:UOJ721027 UYF720988:UYF721027 VIB720988:VIB721027 VRX720988:VRX721027 WBT720988:WBT721027 WLP720988:WLP721027 WVL720988:WVL721027 D786496:D786535 IZ786524:IZ786563 SV786524:SV786563 ACR786524:ACR786563 AMN786524:AMN786563 AWJ786524:AWJ786563 BGF786524:BGF786563 BQB786524:BQB786563 BZX786524:BZX786563 CJT786524:CJT786563 CTP786524:CTP786563 DDL786524:DDL786563 DNH786524:DNH786563 DXD786524:DXD786563 EGZ786524:EGZ786563 EQV786524:EQV786563 FAR786524:FAR786563 FKN786524:FKN786563 FUJ786524:FUJ786563 GEF786524:GEF786563 GOB786524:GOB786563 GXX786524:GXX786563 HHT786524:HHT786563 HRP786524:HRP786563 IBL786524:IBL786563 ILH786524:ILH786563 IVD786524:IVD786563 JEZ786524:JEZ786563 JOV786524:JOV786563 JYR786524:JYR786563 KIN786524:KIN786563 KSJ786524:KSJ786563 LCF786524:LCF786563 LMB786524:LMB786563 LVX786524:LVX786563 MFT786524:MFT786563 MPP786524:MPP786563 MZL786524:MZL786563 NJH786524:NJH786563 NTD786524:NTD786563 OCZ786524:OCZ786563 OMV786524:OMV786563 OWR786524:OWR786563 PGN786524:PGN786563 PQJ786524:PQJ786563 QAF786524:QAF786563 QKB786524:QKB786563 QTX786524:QTX786563 RDT786524:RDT786563 RNP786524:RNP786563 RXL786524:RXL786563 SHH786524:SHH786563 SRD786524:SRD786563 TAZ786524:TAZ786563 TKV786524:TKV786563 TUR786524:TUR786563 UEN786524:UEN786563 UOJ786524:UOJ786563 UYF786524:UYF786563 VIB786524:VIB786563 VRX786524:VRX786563 WBT786524:WBT786563 WLP786524:WLP786563 WVL786524:WVL786563 D852032:D852071 IZ852060:IZ852099 SV852060:SV852099 ACR852060:ACR852099 AMN852060:AMN852099 AWJ852060:AWJ852099 BGF852060:BGF852099 BQB852060:BQB852099 BZX852060:BZX852099 CJT852060:CJT852099 CTP852060:CTP852099 DDL852060:DDL852099 DNH852060:DNH852099 DXD852060:DXD852099 EGZ852060:EGZ852099 EQV852060:EQV852099 FAR852060:FAR852099 FKN852060:FKN852099 FUJ852060:FUJ852099 GEF852060:GEF852099 GOB852060:GOB852099 GXX852060:GXX852099 HHT852060:HHT852099 HRP852060:HRP852099 IBL852060:IBL852099 ILH852060:ILH852099 IVD852060:IVD852099 JEZ852060:JEZ852099 JOV852060:JOV852099 JYR852060:JYR852099 KIN852060:KIN852099 KSJ852060:KSJ852099 LCF852060:LCF852099 LMB852060:LMB852099 LVX852060:LVX852099 MFT852060:MFT852099 MPP852060:MPP852099 MZL852060:MZL852099 NJH852060:NJH852099 NTD852060:NTD852099 OCZ852060:OCZ852099 OMV852060:OMV852099 OWR852060:OWR852099 PGN852060:PGN852099 PQJ852060:PQJ852099 QAF852060:QAF852099 QKB852060:QKB852099 QTX852060:QTX852099 RDT852060:RDT852099 RNP852060:RNP852099 RXL852060:RXL852099 SHH852060:SHH852099 SRD852060:SRD852099 TAZ852060:TAZ852099 TKV852060:TKV852099 TUR852060:TUR852099 UEN852060:UEN852099 UOJ852060:UOJ852099 UYF852060:UYF852099 VIB852060:VIB852099 VRX852060:VRX852099 WBT852060:WBT852099 WLP852060:WLP852099 WVL852060:WVL852099 D917568:D917607 IZ917596:IZ917635 SV917596:SV917635 ACR917596:ACR917635 AMN917596:AMN917635 AWJ917596:AWJ917635 BGF917596:BGF917635 BQB917596:BQB917635 BZX917596:BZX917635 CJT917596:CJT917635 CTP917596:CTP917635 DDL917596:DDL917635 DNH917596:DNH917635 DXD917596:DXD917635 EGZ917596:EGZ917635 EQV917596:EQV917635 FAR917596:FAR917635 FKN917596:FKN917635 FUJ917596:FUJ917635 GEF917596:GEF917635 GOB917596:GOB917635 GXX917596:GXX917635 HHT917596:HHT917635 HRP917596:HRP917635 IBL917596:IBL917635 ILH917596:ILH917635 IVD917596:IVD917635 JEZ917596:JEZ917635 JOV917596:JOV917635 JYR917596:JYR917635 KIN917596:KIN917635 KSJ917596:KSJ917635 LCF917596:LCF917635 LMB917596:LMB917635 LVX917596:LVX917635 MFT917596:MFT917635 MPP917596:MPP917635 MZL917596:MZL917635 NJH917596:NJH917635 NTD917596:NTD917635 OCZ917596:OCZ917635 OMV917596:OMV917635 OWR917596:OWR917635 PGN917596:PGN917635 PQJ917596:PQJ917635 QAF917596:QAF917635 QKB917596:QKB917635 QTX917596:QTX917635 RDT917596:RDT917635 RNP917596:RNP917635 RXL917596:RXL917635 SHH917596:SHH917635 SRD917596:SRD917635 TAZ917596:TAZ917635 TKV917596:TKV917635 TUR917596:TUR917635 UEN917596:UEN917635 UOJ917596:UOJ917635 UYF917596:UYF917635 VIB917596:VIB917635 VRX917596:VRX917635 WBT917596:WBT917635 WLP917596:WLP917635 WVL917596:WVL917635 D983104:D983143 IZ983132:IZ983171 SV983132:SV983171 ACR983132:ACR983171 AMN983132:AMN983171 AWJ983132:AWJ983171 BGF983132:BGF983171 BQB983132:BQB983171 BZX983132:BZX983171 CJT983132:CJT983171 CTP983132:CTP983171 DDL983132:DDL983171 DNH983132:DNH983171 DXD983132:DXD983171 EGZ983132:EGZ983171 EQV983132:EQV983171 FAR983132:FAR983171 FKN983132:FKN983171 FUJ983132:FUJ983171 GEF983132:GEF983171 GOB983132:GOB983171 GXX983132:GXX983171 HHT983132:HHT983171 HRP983132:HRP983171 IBL983132:IBL983171 ILH983132:ILH983171 IVD983132:IVD983171 JEZ983132:JEZ983171 JOV983132:JOV983171 JYR983132:JYR983171 KIN983132:KIN983171 KSJ983132:KSJ983171 LCF983132:LCF983171 LMB983132:LMB983171 LVX983132:LVX983171 MFT983132:MFT983171 MPP983132:MPP983171 MZL983132:MZL983171 NJH983132:NJH983171 NTD983132:NTD983171 OCZ983132:OCZ983171 OMV983132:OMV983171 OWR983132:OWR983171 PGN983132:PGN983171 PQJ983132:PQJ983171 QAF983132:QAF983171 QKB983132:QKB983171 QTX983132:QTX983171 RDT983132:RDT983171 RNP983132:RNP983171 RXL983132:RXL983171 SHH983132:SHH983171 SRD983132:SRD983171 TAZ983132:TAZ983171 TKV983132:TKV983171 TUR983132:TUR983171 UEN983132:UEN983171 UOJ983132:UOJ983171 UYF983132:UYF983171 VIB983132:VIB983171 VRX983132:VRX983171 WBT983132:WBT983171 WLP983132:WLP983171 SV11:SV75 ACR11:ACR75 AMN11:AMN75 AWJ11:AWJ75 BGF11:BGF75 BQB11:BQB75 BZX11:BZX75 CJT11:CJT75 CTP11:CTP75 DDL11:DDL75 DNH11:DNH75 DXD11:DXD75 EGZ11:EGZ75 EQV11:EQV75 FAR11:FAR75 FKN11:FKN75 FUJ11:FUJ75 GEF11:GEF75 GOB11:GOB75 GXX11:GXX75 HHT11:HHT75 HRP11:HRP75 IBL11:IBL75 ILH11:ILH75 IVD11:IVD75 JEZ11:JEZ75 JOV11:JOV75 JYR11:JYR75 KIN11:KIN75 KSJ11:KSJ75 LCF11:LCF75 LMB11:LMB75 LVX11:LVX75 MFT11:MFT75 MPP11:MPP75 MZL11:MZL75 NJH11:NJH75 NTD11:NTD75 OCZ11:OCZ75 OMV11:OMV75 OWR11:OWR75 PGN11:PGN75 PQJ11:PQJ75 QAF11:QAF75 QKB11:QKB75 QTX11:QTX75 RDT11:RDT75 RNP11:RNP75 RXL11:RXL75 SHH11:SHH75 SRD11:SRD75 TAZ11:TAZ75 TKV11:TKV75 TUR11:TUR75 UEN11:UEN75 UOJ11:UOJ75 UYF11:UYF75 VIB11:VIB75 VRX11:VRX75 WBT11:WBT75 WLP11:WLP75 WVL11:WVL75 IZ11:IZ75 WVL77:WVL131 WLP77:WLP131 WBT77:WBT131 VRX77:VRX131 VIB77:VIB131 UYF77:UYF131 UOJ77:UOJ131 UEN77:UEN131 TUR77:TUR131 TKV77:TKV131 TAZ77:TAZ131 SRD77:SRD131 SHH77:SHH131 RXL77:RXL131 RNP77:RNP131 RDT77:RDT131 QTX77:QTX131 QKB77:QKB131 QAF77:QAF131 PQJ77:PQJ131 PGN77:PGN131 OWR77:OWR131 OMV77:OMV131 OCZ77:OCZ131 NTD77:NTD131 NJH77:NJH131 MZL77:MZL131 MPP77:MPP131 MFT77:MFT131 LVX77:LVX131 LMB77:LMB131 LCF77:LCF131 KSJ77:KSJ131 KIN77:KIN131 JYR77:JYR131 JOV77:JOV131 JEZ77:JEZ131 IVD77:IVD131 ILH77:ILH131 IBL77:IBL131 HRP77:HRP131 HHT77:HHT131 GXX77:GXX131 GOB77:GOB131 GEF77:GEF131 FUJ77:FUJ131 FKN77:FKN131 FAR77:FAR131 EQV77:EQV131 EGZ77:EGZ131 DXD77:DXD131 DNH77:DNH131 DDL77:DDL131 CTP77:CTP131 CJT77:CJT131 BZX77:BZX131 BQB77:BQB131 BGF77:BGF131 AWJ77:AWJ131 AMN77:AMN131 ACR77:ACR131 SV77:SV131 IZ77:IZ131 D59:D113" xr:uid="{80853F7F-A19A-9446-8E46-BF478E0246D3}">
      <formula1>14</formula1>
    </dataValidation>
    <dataValidation type="list" allowBlank="1" showInputMessage="1" showErrorMessage="1" sqref="N7 JJ7 TF7 ADB7 AMX7 AWT7 BGP7 BQL7 CAH7 CKD7 CTZ7 DDV7 DNR7 DXN7 EHJ7 ERF7 FBB7 FKX7 FUT7 GEP7 GOL7 GYH7 HID7 HRZ7 IBV7 ILR7 IVN7 JFJ7 JPF7 JZB7 KIX7 KST7 LCP7 LML7 LWH7 MGD7 MPZ7 MZV7 NJR7 NTN7 ODJ7 ONF7 OXB7 PGX7 PQT7 QAP7 QKL7 QUH7 RED7 RNZ7 RXV7 SHR7 SRN7 TBJ7 TLF7 TVB7 UEX7 UOT7 UYP7 VIL7 VSH7 WCD7 WLZ7 WVV7 N65573 JJ65573 TF65573 ADB65573 AMX65573 AWT65573 BGP65573 BQL65573 CAH65573 CKD65573 CTZ65573 DDV65573 DNR65573 DXN65573 EHJ65573 ERF65573 FBB65573 FKX65573 FUT65573 GEP65573 GOL65573 GYH65573 HID65573 HRZ65573 IBV65573 ILR65573 IVN65573 JFJ65573 JPF65573 JZB65573 KIX65573 KST65573 LCP65573 LML65573 LWH65573 MGD65573 MPZ65573 MZV65573 NJR65573 NTN65573 ODJ65573 ONF65573 OXB65573 PGX65573 PQT65573 QAP65573 QKL65573 QUH65573 RED65573 RNZ65573 RXV65573 SHR65573 SRN65573 TBJ65573 TLF65573 TVB65573 UEX65573 UOT65573 UYP65573 VIL65573 VSH65573 WCD65573 WLZ65573 WVV65573 N131109 JJ131109 TF131109 ADB131109 AMX131109 AWT131109 BGP131109 BQL131109 CAH131109 CKD131109 CTZ131109 DDV131109 DNR131109 DXN131109 EHJ131109 ERF131109 FBB131109 FKX131109 FUT131109 GEP131109 GOL131109 GYH131109 HID131109 HRZ131109 IBV131109 ILR131109 IVN131109 JFJ131109 JPF131109 JZB131109 KIX131109 KST131109 LCP131109 LML131109 LWH131109 MGD131109 MPZ131109 MZV131109 NJR131109 NTN131109 ODJ131109 ONF131109 OXB131109 PGX131109 PQT131109 QAP131109 QKL131109 QUH131109 RED131109 RNZ131109 RXV131109 SHR131109 SRN131109 TBJ131109 TLF131109 TVB131109 UEX131109 UOT131109 UYP131109 VIL131109 VSH131109 WCD131109 WLZ131109 WVV131109 N196645 JJ196645 TF196645 ADB196645 AMX196645 AWT196645 BGP196645 BQL196645 CAH196645 CKD196645 CTZ196645 DDV196645 DNR196645 DXN196645 EHJ196645 ERF196645 FBB196645 FKX196645 FUT196645 GEP196645 GOL196645 GYH196645 HID196645 HRZ196645 IBV196645 ILR196645 IVN196645 JFJ196645 JPF196645 JZB196645 KIX196645 KST196645 LCP196645 LML196645 LWH196645 MGD196645 MPZ196645 MZV196645 NJR196645 NTN196645 ODJ196645 ONF196645 OXB196645 PGX196645 PQT196645 QAP196645 QKL196645 QUH196645 RED196645 RNZ196645 RXV196645 SHR196645 SRN196645 TBJ196645 TLF196645 TVB196645 UEX196645 UOT196645 UYP196645 VIL196645 VSH196645 WCD196645 WLZ196645 WVV196645 N262181 JJ262181 TF262181 ADB262181 AMX262181 AWT262181 BGP262181 BQL262181 CAH262181 CKD262181 CTZ262181 DDV262181 DNR262181 DXN262181 EHJ262181 ERF262181 FBB262181 FKX262181 FUT262181 GEP262181 GOL262181 GYH262181 HID262181 HRZ262181 IBV262181 ILR262181 IVN262181 JFJ262181 JPF262181 JZB262181 KIX262181 KST262181 LCP262181 LML262181 LWH262181 MGD262181 MPZ262181 MZV262181 NJR262181 NTN262181 ODJ262181 ONF262181 OXB262181 PGX262181 PQT262181 QAP262181 QKL262181 QUH262181 RED262181 RNZ262181 RXV262181 SHR262181 SRN262181 TBJ262181 TLF262181 TVB262181 UEX262181 UOT262181 UYP262181 VIL262181 VSH262181 WCD262181 WLZ262181 WVV262181 N327717 JJ327717 TF327717 ADB327717 AMX327717 AWT327717 BGP327717 BQL327717 CAH327717 CKD327717 CTZ327717 DDV327717 DNR327717 DXN327717 EHJ327717 ERF327717 FBB327717 FKX327717 FUT327717 GEP327717 GOL327717 GYH327717 HID327717 HRZ327717 IBV327717 ILR327717 IVN327717 JFJ327717 JPF327717 JZB327717 KIX327717 KST327717 LCP327717 LML327717 LWH327717 MGD327717 MPZ327717 MZV327717 NJR327717 NTN327717 ODJ327717 ONF327717 OXB327717 PGX327717 PQT327717 QAP327717 QKL327717 QUH327717 RED327717 RNZ327717 RXV327717 SHR327717 SRN327717 TBJ327717 TLF327717 TVB327717 UEX327717 UOT327717 UYP327717 VIL327717 VSH327717 WCD327717 WLZ327717 WVV327717 N393253 JJ393253 TF393253 ADB393253 AMX393253 AWT393253 BGP393253 BQL393253 CAH393253 CKD393253 CTZ393253 DDV393253 DNR393253 DXN393253 EHJ393253 ERF393253 FBB393253 FKX393253 FUT393253 GEP393253 GOL393253 GYH393253 HID393253 HRZ393253 IBV393253 ILR393253 IVN393253 JFJ393253 JPF393253 JZB393253 KIX393253 KST393253 LCP393253 LML393253 LWH393253 MGD393253 MPZ393253 MZV393253 NJR393253 NTN393253 ODJ393253 ONF393253 OXB393253 PGX393253 PQT393253 QAP393253 QKL393253 QUH393253 RED393253 RNZ393253 RXV393253 SHR393253 SRN393253 TBJ393253 TLF393253 TVB393253 UEX393253 UOT393253 UYP393253 VIL393253 VSH393253 WCD393253 WLZ393253 WVV393253 N458789 JJ458789 TF458789 ADB458789 AMX458789 AWT458789 BGP458789 BQL458789 CAH458789 CKD458789 CTZ458789 DDV458789 DNR458789 DXN458789 EHJ458789 ERF458789 FBB458789 FKX458789 FUT458789 GEP458789 GOL458789 GYH458789 HID458789 HRZ458789 IBV458789 ILR458789 IVN458789 JFJ458789 JPF458789 JZB458789 KIX458789 KST458789 LCP458789 LML458789 LWH458789 MGD458789 MPZ458789 MZV458789 NJR458789 NTN458789 ODJ458789 ONF458789 OXB458789 PGX458789 PQT458789 QAP458789 QKL458789 QUH458789 RED458789 RNZ458789 RXV458789 SHR458789 SRN458789 TBJ458789 TLF458789 TVB458789 UEX458789 UOT458789 UYP458789 VIL458789 VSH458789 WCD458789 WLZ458789 WVV458789 N524325 JJ524325 TF524325 ADB524325 AMX524325 AWT524325 BGP524325 BQL524325 CAH524325 CKD524325 CTZ524325 DDV524325 DNR524325 DXN524325 EHJ524325 ERF524325 FBB524325 FKX524325 FUT524325 GEP524325 GOL524325 GYH524325 HID524325 HRZ524325 IBV524325 ILR524325 IVN524325 JFJ524325 JPF524325 JZB524325 KIX524325 KST524325 LCP524325 LML524325 LWH524325 MGD524325 MPZ524325 MZV524325 NJR524325 NTN524325 ODJ524325 ONF524325 OXB524325 PGX524325 PQT524325 QAP524325 QKL524325 QUH524325 RED524325 RNZ524325 RXV524325 SHR524325 SRN524325 TBJ524325 TLF524325 TVB524325 UEX524325 UOT524325 UYP524325 VIL524325 VSH524325 WCD524325 WLZ524325 WVV524325 N589861 JJ589861 TF589861 ADB589861 AMX589861 AWT589861 BGP589861 BQL589861 CAH589861 CKD589861 CTZ589861 DDV589861 DNR589861 DXN589861 EHJ589861 ERF589861 FBB589861 FKX589861 FUT589861 GEP589861 GOL589861 GYH589861 HID589861 HRZ589861 IBV589861 ILR589861 IVN589861 JFJ589861 JPF589861 JZB589861 KIX589861 KST589861 LCP589861 LML589861 LWH589861 MGD589861 MPZ589861 MZV589861 NJR589861 NTN589861 ODJ589861 ONF589861 OXB589861 PGX589861 PQT589861 QAP589861 QKL589861 QUH589861 RED589861 RNZ589861 RXV589861 SHR589861 SRN589861 TBJ589861 TLF589861 TVB589861 UEX589861 UOT589861 UYP589861 VIL589861 VSH589861 WCD589861 WLZ589861 WVV589861 N655397 JJ655397 TF655397 ADB655397 AMX655397 AWT655397 BGP655397 BQL655397 CAH655397 CKD655397 CTZ655397 DDV655397 DNR655397 DXN655397 EHJ655397 ERF655397 FBB655397 FKX655397 FUT655397 GEP655397 GOL655397 GYH655397 HID655397 HRZ655397 IBV655397 ILR655397 IVN655397 JFJ655397 JPF655397 JZB655397 KIX655397 KST655397 LCP655397 LML655397 LWH655397 MGD655397 MPZ655397 MZV655397 NJR655397 NTN655397 ODJ655397 ONF655397 OXB655397 PGX655397 PQT655397 QAP655397 QKL655397 QUH655397 RED655397 RNZ655397 RXV655397 SHR655397 SRN655397 TBJ655397 TLF655397 TVB655397 UEX655397 UOT655397 UYP655397 VIL655397 VSH655397 WCD655397 WLZ655397 WVV655397 N720933 JJ720933 TF720933 ADB720933 AMX720933 AWT720933 BGP720933 BQL720933 CAH720933 CKD720933 CTZ720933 DDV720933 DNR720933 DXN720933 EHJ720933 ERF720933 FBB720933 FKX720933 FUT720933 GEP720933 GOL720933 GYH720933 HID720933 HRZ720933 IBV720933 ILR720933 IVN720933 JFJ720933 JPF720933 JZB720933 KIX720933 KST720933 LCP720933 LML720933 LWH720933 MGD720933 MPZ720933 MZV720933 NJR720933 NTN720933 ODJ720933 ONF720933 OXB720933 PGX720933 PQT720933 QAP720933 QKL720933 QUH720933 RED720933 RNZ720933 RXV720933 SHR720933 SRN720933 TBJ720933 TLF720933 TVB720933 UEX720933 UOT720933 UYP720933 VIL720933 VSH720933 WCD720933 WLZ720933 WVV720933 N786469 JJ786469 TF786469 ADB786469 AMX786469 AWT786469 BGP786469 BQL786469 CAH786469 CKD786469 CTZ786469 DDV786469 DNR786469 DXN786469 EHJ786469 ERF786469 FBB786469 FKX786469 FUT786469 GEP786469 GOL786469 GYH786469 HID786469 HRZ786469 IBV786469 ILR786469 IVN786469 JFJ786469 JPF786469 JZB786469 KIX786469 KST786469 LCP786469 LML786469 LWH786469 MGD786469 MPZ786469 MZV786469 NJR786469 NTN786469 ODJ786469 ONF786469 OXB786469 PGX786469 PQT786469 QAP786469 QKL786469 QUH786469 RED786469 RNZ786469 RXV786469 SHR786469 SRN786469 TBJ786469 TLF786469 TVB786469 UEX786469 UOT786469 UYP786469 VIL786469 VSH786469 WCD786469 WLZ786469 WVV786469 N852005 JJ852005 TF852005 ADB852005 AMX852005 AWT852005 BGP852005 BQL852005 CAH852005 CKD852005 CTZ852005 DDV852005 DNR852005 DXN852005 EHJ852005 ERF852005 FBB852005 FKX852005 FUT852005 GEP852005 GOL852005 GYH852005 HID852005 HRZ852005 IBV852005 ILR852005 IVN852005 JFJ852005 JPF852005 JZB852005 KIX852005 KST852005 LCP852005 LML852005 LWH852005 MGD852005 MPZ852005 MZV852005 NJR852005 NTN852005 ODJ852005 ONF852005 OXB852005 PGX852005 PQT852005 QAP852005 QKL852005 QUH852005 RED852005 RNZ852005 RXV852005 SHR852005 SRN852005 TBJ852005 TLF852005 TVB852005 UEX852005 UOT852005 UYP852005 VIL852005 VSH852005 WCD852005 WLZ852005 WVV852005 N917541 JJ917541 TF917541 ADB917541 AMX917541 AWT917541 BGP917541 BQL917541 CAH917541 CKD917541 CTZ917541 DDV917541 DNR917541 DXN917541 EHJ917541 ERF917541 FBB917541 FKX917541 FUT917541 GEP917541 GOL917541 GYH917541 HID917541 HRZ917541 IBV917541 ILR917541 IVN917541 JFJ917541 JPF917541 JZB917541 KIX917541 KST917541 LCP917541 LML917541 LWH917541 MGD917541 MPZ917541 MZV917541 NJR917541 NTN917541 ODJ917541 ONF917541 OXB917541 PGX917541 PQT917541 QAP917541 QKL917541 QUH917541 RED917541 RNZ917541 RXV917541 SHR917541 SRN917541 TBJ917541 TLF917541 TVB917541 UEX917541 UOT917541 UYP917541 VIL917541 VSH917541 WCD917541 WLZ917541 WVV917541 N983077 JJ983077 TF983077 ADB983077 AMX983077 AWT983077 BGP983077 BQL983077 CAH983077 CKD983077 CTZ983077 DDV983077 DNR983077 DXN983077 EHJ983077 ERF983077 FBB983077 FKX983077 FUT983077 GEP983077 GOL983077 GYH983077 HID983077 HRZ983077 IBV983077 ILR983077 IVN983077 JFJ983077 JPF983077 JZB983077 KIX983077 KST983077 LCP983077 LML983077 LWH983077 MGD983077 MPZ983077 MZV983077 NJR983077 NTN983077 ODJ983077 ONF983077 OXB983077 PGX983077 PQT983077 QAP983077 QKL983077 QUH983077 RED983077 RNZ983077 RXV983077 SHR983077 SRN983077 TBJ983077 TLF983077 TVB983077 UEX983077 UOT983077 UYP983077 VIL983077 VSH983077 WCD983077 WLZ983077 WVV983077" xr:uid="{3508ED9F-83C6-FB49-A31A-40410A48322E}">
      <formula1>"GST, HST, N Non Taxable"</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Policy</vt:lpstr>
      <vt:lpstr>FW25 Orderform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Alband</dc:creator>
  <cp:lastModifiedBy>Jeffrey Richards</cp:lastModifiedBy>
  <dcterms:created xsi:type="dcterms:W3CDTF">2021-10-12T03:02:47Z</dcterms:created>
  <dcterms:modified xsi:type="dcterms:W3CDTF">2024-12-02T21:10:43Z</dcterms:modified>
</cp:coreProperties>
</file>